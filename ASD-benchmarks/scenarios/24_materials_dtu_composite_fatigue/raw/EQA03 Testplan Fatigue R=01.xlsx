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chartsheets/sheet3.xml" ContentType="application/vnd.openxmlformats-officedocument.spreadsheetml.chart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15" windowWidth="12390" windowHeight="8640" tabRatio="640" firstSheet="1" activeTab="8"/>
  </bookViews>
  <sheets>
    <sheet name="Plan" sheetId="3" r:id="rId1"/>
    <sheet name="Results" sheetId="2" r:id="rId2"/>
    <sheet name="ASTM E739 stat (Max Strain)" sheetId="10" r:id="rId3"/>
    <sheet name="Max Strain based" sheetId="5" r:id="rId4"/>
    <sheet name="ASTM E739 stat (Strain Range)" sheetId="21" r:id="rId5"/>
    <sheet name="Strain Range based" sheetId="22" r:id="rId6"/>
    <sheet name="ASTM E739 stat (Max Stress)" sheetId="23" r:id="rId7"/>
    <sheet name="Max Stress based" sheetId="24" r:id="rId8"/>
    <sheet name="Report Tables" sheetId="25" r:id="rId9"/>
  </sheets>
  <calcPr calcId="145621"/>
</workbook>
</file>

<file path=xl/calcChain.xml><?xml version="1.0" encoding="utf-8"?>
<calcChain xmlns="http://schemas.openxmlformats.org/spreadsheetml/2006/main">
  <c r="F13" i="10" l="1"/>
  <c r="D13" i="10"/>
  <c r="C13" i="10"/>
  <c r="E13" i="10" s="1"/>
  <c r="B13" i="10"/>
  <c r="A13" i="10"/>
  <c r="E12" i="10"/>
  <c r="C12" i="10"/>
  <c r="B12" i="10"/>
  <c r="D12" i="10" s="1"/>
  <c r="A12" i="10"/>
  <c r="D11" i="10"/>
  <c r="F11" i="10" s="1"/>
  <c r="B11" i="10"/>
  <c r="A11" i="10"/>
  <c r="C11" i="10" s="1"/>
  <c r="B9" i="10"/>
  <c r="A9" i="10"/>
  <c r="C8" i="10"/>
  <c r="B8" i="10"/>
  <c r="D8" i="10" s="1"/>
  <c r="F8" i="10" s="1"/>
  <c r="A8" i="10"/>
  <c r="B7" i="10"/>
  <c r="D7" i="10" s="1"/>
  <c r="F7" i="10" s="1"/>
  <c r="A7" i="10"/>
  <c r="C7" i="10" s="1"/>
  <c r="A6" i="10"/>
  <c r="G8" i="10" l="1"/>
  <c r="G12" i="10"/>
  <c r="F12" i="10"/>
  <c r="G7" i="10"/>
  <c r="E7" i="10"/>
  <c r="G11" i="10"/>
  <c r="E11" i="10"/>
  <c r="G13" i="10"/>
  <c r="E8" i="10"/>
  <c r="B34" i="2"/>
  <c r="D34" i="2"/>
  <c r="F34" i="2"/>
  <c r="A20" i="2"/>
  <c r="B20" i="2"/>
  <c r="C20" i="2"/>
  <c r="D20" i="2"/>
  <c r="E20" i="2"/>
  <c r="F20" i="2"/>
  <c r="E34" i="2" s="1"/>
  <c r="G20" i="2"/>
  <c r="H20" i="2"/>
  <c r="J20" i="2"/>
  <c r="I20" i="2" s="1"/>
  <c r="R20" i="2"/>
  <c r="S20" i="2"/>
  <c r="C34" i="2" l="1"/>
  <c r="A34" i="2"/>
  <c r="K20" i="2"/>
  <c r="L20" i="2" s="1"/>
  <c r="M20" i="2"/>
  <c r="A10" i="10"/>
  <c r="B10" i="10"/>
  <c r="D10" i="10" s="1"/>
  <c r="F10" i="10" s="1"/>
  <c r="C10" i="10"/>
  <c r="E10" i="10" s="1"/>
  <c r="G10" i="10" l="1"/>
  <c r="A19" i="2"/>
  <c r="C19" i="2"/>
  <c r="D19" i="2"/>
  <c r="F19" i="2"/>
  <c r="A33" i="2" s="1"/>
  <c r="G19" i="2"/>
  <c r="B33" i="2" s="1"/>
  <c r="H19" i="2"/>
  <c r="D33" i="2" s="1"/>
  <c r="R19" i="2"/>
  <c r="S19" i="2"/>
  <c r="A18" i="2"/>
  <c r="C18" i="2"/>
  <c r="D18" i="2"/>
  <c r="F18" i="2"/>
  <c r="C32" i="2" s="1"/>
  <c r="G18" i="2"/>
  <c r="B32" i="2" s="1"/>
  <c r="R18" i="2"/>
  <c r="S18" i="2"/>
  <c r="E33" i="2" l="1"/>
  <c r="C33" i="2"/>
  <c r="H18" i="2"/>
  <c r="D32" i="2" s="1"/>
  <c r="A32" i="2"/>
  <c r="E32" i="2"/>
  <c r="G16" i="2"/>
  <c r="G17" i="2"/>
  <c r="B20" i="3" l="1"/>
  <c r="B19" i="3"/>
  <c r="B19" i="2" s="1"/>
  <c r="B18" i="3"/>
  <c r="B18" i="2" s="1"/>
  <c r="E18" i="3"/>
  <c r="E18" i="2" s="1"/>
  <c r="J18" i="2" s="1"/>
  <c r="E19" i="3"/>
  <c r="E19" i="2" s="1"/>
  <c r="J19" i="2" s="1"/>
  <c r="E20" i="3"/>
  <c r="B15" i="3"/>
  <c r="B16" i="3"/>
  <c r="B17" i="3"/>
  <c r="I19" i="2" l="1"/>
  <c r="F33" i="2" s="1"/>
  <c r="K19" i="2"/>
  <c r="L19" i="2" s="1"/>
  <c r="I18" i="2"/>
  <c r="F32" i="2" s="1"/>
  <c r="K18" i="2"/>
  <c r="M18" i="2" s="1"/>
  <c r="M5" i="25"/>
  <c r="M6" i="25"/>
  <c r="M7" i="25"/>
  <c r="M8" i="25"/>
  <c r="F9" i="25"/>
  <c r="G9" i="25"/>
  <c r="M9" i="25"/>
  <c r="F10" i="25"/>
  <c r="G10" i="25"/>
  <c r="M10" i="25"/>
  <c r="F11" i="25"/>
  <c r="G11" i="25"/>
  <c r="M11" i="25"/>
  <c r="F12" i="25"/>
  <c r="G12" i="25"/>
  <c r="M12" i="25"/>
  <c r="L18" i="2" l="1"/>
  <c r="M19" i="2"/>
  <c r="F15" i="25"/>
  <c r="F14" i="25"/>
  <c r="F13" i="25"/>
  <c r="F4" i="25"/>
  <c r="F3" i="25"/>
  <c r="B12" i="3"/>
  <c r="B11" i="3"/>
  <c r="B10" i="3"/>
  <c r="B9" i="3"/>
  <c r="M15" i="25"/>
  <c r="M14" i="25"/>
  <c r="M13" i="25"/>
  <c r="K15" i="25"/>
  <c r="Q12" i="2"/>
  <c r="P12" i="2"/>
  <c r="O12" i="2"/>
  <c r="G8" i="25" s="1"/>
  <c r="N12" i="2"/>
  <c r="F8" i="25" s="1"/>
  <c r="Q11" i="2"/>
  <c r="P11" i="2"/>
  <c r="O11" i="2"/>
  <c r="G7" i="25" s="1"/>
  <c r="N11" i="2"/>
  <c r="F7" i="25" s="1"/>
  <c r="Q10" i="2"/>
  <c r="P10" i="2"/>
  <c r="O10" i="2"/>
  <c r="G6" i="25" s="1"/>
  <c r="N10" i="2"/>
  <c r="F6" i="25" s="1"/>
  <c r="Q9" i="2"/>
  <c r="P9" i="2"/>
  <c r="O9" i="2"/>
  <c r="G5" i="25" s="1"/>
  <c r="N9" i="2"/>
  <c r="F5" i="25" s="1"/>
  <c r="F17" i="2"/>
  <c r="E31" i="2" s="1"/>
  <c r="F16" i="2"/>
  <c r="F15" i="2"/>
  <c r="F14" i="2"/>
  <c r="F13" i="2"/>
  <c r="F12" i="2"/>
  <c r="F11" i="2"/>
  <c r="F10" i="2"/>
  <c r="E25" i="2" l="1"/>
  <c r="L7" i="25"/>
  <c r="E29" i="2"/>
  <c r="L11" i="25"/>
  <c r="E27" i="2"/>
  <c r="L9" i="25"/>
  <c r="A24" i="2"/>
  <c r="L6" i="25"/>
  <c r="A28" i="2"/>
  <c r="L10" i="25"/>
  <c r="E26" i="2"/>
  <c r="L8" i="25"/>
  <c r="E30" i="2"/>
  <c r="L12" i="25"/>
  <c r="A31" i="2"/>
  <c r="A27" i="2"/>
  <c r="B6" i="10" s="1"/>
  <c r="C27" i="2"/>
  <c r="C24" i="2"/>
  <c r="E28" i="2"/>
  <c r="A30" i="2"/>
  <c r="C28" i="2"/>
  <c r="A26" i="2"/>
  <c r="E24" i="2"/>
  <c r="A25" i="2"/>
  <c r="A29" i="2"/>
  <c r="C26" i="2"/>
  <c r="C30" i="2"/>
  <c r="C31" i="2"/>
  <c r="C25" i="2"/>
  <c r="C29" i="2"/>
  <c r="F9" i="2"/>
  <c r="L5" i="25" s="1"/>
  <c r="E12" i="3"/>
  <c r="E12" i="2" s="1"/>
  <c r="E8" i="25" s="1"/>
  <c r="E11" i="3"/>
  <c r="E11" i="2" s="1"/>
  <c r="E7" i="25" s="1"/>
  <c r="E10" i="3"/>
  <c r="E10" i="2" s="1"/>
  <c r="E6" i="25" s="1"/>
  <c r="E9" i="3"/>
  <c r="E9" i="2" s="1"/>
  <c r="E5" i="25" s="1"/>
  <c r="L14" i="25"/>
  <c r="H14" i="25"/>
  <c r="R17" i="2"/>
  <c r="H13" i="25" s="1"/>
  <c r="S11" i="2"/>
  <c r="S12" i="2"/>
  <c r="S13" i="2"/>
  <c r="S14" i="2"/>
  <c r="S15" i="2"/>
  <c r="S16" i="2"/>
  <c r="S17" i="2"/>
  <c r="C14" i="25"/>
  <c r="D14" i="25"/>
  <c r="I14" i="25"/>
  <c r="G14" i="25"/>
  <c r="D16" i="2"/>
  <c r="D12" i="25" s="1"/>
  <c r="C16" i="2"/>
  <c r="C12" i="25" s="1"/>
  <c r="A16" i="2"/>
  <c r="D15" i="2"/>
  <c r="D11" i="25" s="1"/>
  <c r="C15" i="2"/>
  <c r="C11" i="25" s="1"/>
  <c r="A15" i="2"/>
  <c r="D14" i="2"/>
  <c r="D10" i="25" s="1"/>
  <c r="C14" i="2"/>
  <c r="C10" i="25" s="1"/>
  <c r="A14" i="2"/>
  <c r="D13" i="2"/>
  <c r="D9" i="25" s="1"/>
  <c r="C13" i="2"/>
  <c r="C9" i="25" s="1"/>
  <c r="A13" i="2"/>
  <c r="D12" i="2"/>
  <c r="D8" i="25" s="1"/>
  <c r="C12" i="2"/>
  <c r="C8" i="25" s="1"/>
  <c r="B12" i="2"/>
  <c r="B8" i="25" s="1"/>
  <c r="A12" i="2"/>
  <c r="D11" i="2"/>
  <c r="D7" i="25" s="1"/>
  <c r="C11" i="2"/>
  <c r="C7" i="25" s="1"/>
  <c r="B11" i="2"/>
  <c r="B7" i="25" s="1"/>
  <c r="A11" i="2"/>
  <c r="D10" i="2"/>
  <c r="D6" i="25" s="1"/>
  <c r="C10" i="2"/>
  <c r="C6" i="25" s="1"/>
  <c r="B10" i="2"/>
  <c r="B6" i="25" s="1"/>
  <c r="A10" i="2"/>
  <c r="D9" i="2"/>
  <c r="D5" i="25" s="1"/>
  <c r="C9" i="2"/>
  <c r="C5" i="25" s="1"/>
  <c r="B9" i="2"/>
  <c r="B5" i="25" s="1"/>
  <c r="A9" i="2"/>
  <c r="I12" i="25"/>
  <c r="G15" i="2"/>
  <c r="G14" i="2"/>
  <c r="I10" i="25" s="1"/>
  <c r="G13" i="2"/>
  <c r="G12" i="2"/>
  <c r="G11" i="2"/>
  <c r="S10" i="2"/>
  <c r="G10" i="2"/>
  <c r="S9" i="2"/>
  <c r="G9" i="2"/>
  <c r="I5" i="25" s="1"/>
  <c r="R16" i="2"/>
  <c r="H12" i="25" s="1"/>
  <c r="R15" i="2"/>
  <c r="H11" i="25" s="1"/>
  <c r="R14" i="2"/>
  <c r="H10" i="25" s="1"/>
  <c r="R13" i="2"/>
  <c r="H9" i="25" s="1"/>
  <c r="R12" i="2"/>
  <c r="H8" i="25" s="1"/>
  <c r="R11" i="2"/>
  <c r="H7" i="25" s="1"/>
  <c r="R10" i="2"/>
  <c r="H6" i="25" s="1"/>
  <c r="R9" i="2"/>
  <c r="H5" i="25" s="1"/>
  <c r="B14" i="25"/>
  <c r="B16" i="2"/>
  <c r="B12" i="25" s="1"/>
  <c r="B15" i="2"/>
  <c r="B11" i="25" s="1"/>
  <c r="B14" i="3"/>
  <c r="B14" i="2" s="1"/>
  <c r="B10" i="25" s="1"/>
  <c r="B13" i="3"/>
  <c r="B13" i="2" s="1"/>
  <c r="B9" i="25" s="1"/>
  <c r="B15" i="25"/>
  <c r="C15" i="25"/>
  <c r="D15" i="25"/>
  <c r="E15" i="25"/>
  <c r="G15" i="25"/>
  <c r="H15" i="25"/>
  <c r="I15" i="25"/>
  <c r="J15" i="25"/>
  <c r="L15" i="25"/>
  <c r="K4" i="25"/>
  <c r="J4" i="25"/>
  <c r="I4" i="25"/>
  <c r="H4" i="25"/>
  <c r="G4" i="25"/>
  <c r="E4" i="25"/>
  <c r="D4" i="25"/>
  <c r="C4" i="25"/>
  <c r="B4" i="25"/>
  <c r="M3" i="25"/>
  <c r="L3" i="25"/>
  <c r="K3" i="25"/>
  <c r="J3" i="25"/>
  <c r="I3" i="25"/>
  <c r="H3" i="25"/>
  <c r="G3" i="25"/>
  <c r="E3" i="25"/>
  <c r="D3" i="25"/>
  <c r="C3" i="25"/>
  <c r="B3" i="25"/>
  <c r="B24" i="2" l="1"/>
  <c r="I6" i="25"/>
  <c r="B25" i="2"/>
  <c r="I7" i="25"/>
  <c r="B27" i="2"/>
  <c r="I9" i="25"/>
  <c r="B29" i="2"/>
  <c r="I11" i="25"/>
  <c r="B26" i="2"/>
  <c r="I8" i="25"/>
  <c r="J11" i="2"/>
  <c r="B30" i="2"/>
  <c r="B28" i="2"/>
  <c r="J9" i="2"/>
  <c r="B23" i="2"/>
  <c r="E23" i="2"/>
  <c r="A23" i="2"/>
  <c r="C23" i="2"/>
  <c r="J12" i="2"/>
  <c r="J10" i="2"/>
  <c r="I9" i="2" l="1"/>
  <c r="K5" i="25" s="1"/>
  <c r="I11" i="2"/>
  <c r="K7" i="25" s="1"/>
  <c r="I12" i="2"/>
  <c r="K8" i="25" s="1"/>
  <c r="I10" i="2"/>
  <c r="K6" i="25" s="1"/>
  <c r="F23" i="2" l="1"/>
  <c r="F26" i="2"/>
  <c r="F25" i="2"/>
  <c r="F24" i="2"/>
  <c r="M19" i="23"/>
  <c r="M18" i="23"/>
  <c r="M17" i="23"/>
  <c r="M16" i="23"/>
  <c r="M15" i="23"/>
  <c r="M14" i="23"/>
  <c r="M13" i="23"/>
  <c r="M12" i="23"/>
  <c r="M11" i="23"/>
  <c r="M19" i="21"/>
  <c r="M18" i="21"/>
  <c r="M17" i="21"/>
  <c r="M16" i="21"/>
  <c r="M15" i="21"/>
  <c r="M14" i="21"/>
  <c r="M13" i="21"/>
  <c r="M12" i="21"/>
  <c r="M11" i="21"/>
  <c r="L13" i="25" l="1"/>
  <c r="E17" i="3"/>
  <c r="E16" i="3"/>
  <c r="E16" i="2" s="1"/>
  <c r="E15" i="3"/>
  <c r="E15" i="2" s="1"/>
  <c r="E14" i="3"/>
  <c r="E14" i="2" s="1"/>
  <c r="E13" i="3"/>
  <c r="E13" i="2" s="1"/>
  <c r="E9" i="25" s="1"/>
  <c r="E11" i="25" l="1"/>
  <c r="J15" i="2"/>
  <c r="E10" i="25"/>
  <c r="J14" i="2"/>
  <c r="E12" i="25"/>
  <c r="J16" i="2"/>
  <c r="J13" i="2"/>
  <c r="I13" i="25"/>
  <c r="B31" i="2"/>
  <c r="M19" i="10"/>
  <c r="I14" i="2" l="1"/>
  <c r="I16" i="2"/>
  <c r="I15" i="2"/>
  <c r="I13" i="2"/>
  <c r="K9" i="25" s="1"/>
  <c r="E17" i="2"/>
  <c r="D17" i="2"/>
  <c r="D13" i="25" s="1"/>
  <c r="C17" i="2"/>
  <c r="C13" i="25" s="1"/>
  <c r="B17" i="2"/>
  <c r="B13" i="25" s="1"/>
  <c r="A17" i="2"/>
  <c r="F6" i="2"/>
  <c r="E6" i="2"/>
  <c r="D6" i="2"/>
  <c r="K14" i="2" s="1"/>
  <c r="C6" i="2"/>
  <c r="A5" i="2"/>
  <c r="B4" i="2"/>
  <c r="D1" i="2" s="1"/>
  <c r="A4" i="2"/>
  <c r="A3" i="2"/>
  <c r="A1" i="2"/>
  <c r="L14" i="2" l="1"/>
  <c r="M14" i="2"/>
  <c r="K9" i="2"/>
  <c r="K10" i="2"/>
  <c r="K12" i="2"/>
  <c r="K11" i="2"/>
  <c r="K16" i="2"/>
  <c r="K13" i="2"/>
  <c r="K15" i="2"/>
  <c r="K12" i="25"/>
  <c r="F30" i="2"/>
  <c r="K10" i="25"/>
  <c r="F28" i="2"/>
  <c r="E14" i="25"/>
  <c r="K11" i="25"/>
  <c r="F29" i="2"/>
  <c r="F27" i="2"/>
  <c r="J14" i="25"/>
  <c r="H17" i="2"/>
  <c r="E13" i="25"/>
  <c r="J17" i="2"/>
  <c r="K17" i="2" s="1"/>
  <c r="H16" i="2"/>
  <c r="J12" i="25" s="1"/>
  <c r="H11" i="2"/>
  <c r="J7" i="25" s="1"/>
  <c r="H9" i="2"/>
  <c r="J5" i="25" s="1"/>
  <c r="H13" i="2"/>
  <c r="J9" i="25" s="1"/>
  <c r="H12" i="2"/>
  <c r="J8" i="25" s="1"/>
  <c r="H15" i="2"/>
  <c r="J11" i="25" s="1"/>
  <c r="H10" i="2"/>
  <c r="J6" i="25" s="1"/>
  <c r="H14" i="2"/>
  <c r="J10" i="25" s="1"/>
  <c r="B3" i="21"/>
  <c r="D3" i="21" s="1"/>
  <c r="F3" i="21" s="1"/>
  <c r="B2" i="21"/>
  <c r="D2" i="21" s="1"/>
  <c r="B2" i="23"/>
  <c r="D2" i="23" s="1"/>
  <c r="M7" i="10"/>
  <c r="A4" i="23"/>
  <c r="C4" i="23" s="1"/>
  <c r="A3" i="23"/>
  <c r="C3" i="23" s="1"/>
  <c r="A5" i="23"/>
  <c r="C5" i="23" s="1"/>
  <c r="L15" i="2" l="1"/>
  <c r="M15" i="2"/>
  <c r="L13" i="2"/>
  <c r="M13" i="2"/>
  <c r="M11" i="2"/>
  <c r="L11" i="2"/>
  <c r="M12" i="2"/>
  <c r="L12" i="2"/>
  <c r="M10" i="2"/>
  <c r="L10" i="2"/>
  <c r="L16" i="2"/>
  <c r="M16" i="2"/>
  <c r="L9" i="2"/>
  <c r="M9" i="2"/>
  <c r="K14" i="25"/>
  <c r="D28" i="2"/>
  <c r="D30" i="2"/>
  <c r="D29" i="2"/>
  <c r="J13" i="25"/>
  <c r="D31" i="2"/>
  <c r="D24" i="2"/>
  <c r="A3" i="21" s="1"/>
  <c r="C3" i="21" s="1"/>
  <c r="D23" i="2"/>
  <c r="A2" i="21" s="1"/>
  <c r="D27" i="2"/>
  <c r="D26" i="2"/>
  <c r="A5" i="21" s="1"/>
  <c r="C5" i="21" s="1"/>
  <c r="D25" i="2"/>
  <c r="A4" i="21" s="1"/>
  <c r="C4" i="21" s="1"/>
  <c r="L17" i="2"/>
  <c r="I17" i="2"/>
  <c r="M17" i="2"/>
  <c r="B4" i="21"/>
  <c r="D4" i="21" s="1"/>
  <c r="F4" i="21" s="1"/>
  <c r="B3" i="23"/>
  <c r="D3" i="23" s="1"/>
  <c r="F3" i="23" s="1"/>
  <c r="B5" i="21"/>
  <c r="D5" i="21" s="1"/>
  <c r="F5" i="21" s="1"/>
  <c r="G13" i="25"/>
  <c r="B5" i="23"/>
  <c r="D5" i="23" s="1"/>
  <c r="F5" i="23" s="1"/>
  <c r="B4" i="23"/>
  <c r="D4" i="23" s="1"/>
  <c r="F4" i="23" s="1"/>
  <c r="E3" i="23"/>
  <c r="M3" i="23"/>
  <c r="M4" i="23"/>
  <c r="E4" i="23"/>
  <c r="M7" i="23"/>
  <c r="M6" i="23"/>
  <c r="M10" i="23"/>
  <c r="F2" i="23"/>
  <c r="M5" i="23"/>
  <c r="E5" i="23"/>
  <c r="M8" i="23"/>
  <c r="F2" i="21"/>
  <c r="A2" i="23"/>
  <c r="M8" i="10"/>
  <c r="M17" i="10"/>
  <c r="M18" i="10"/>
  <c r="M4" i="10"/>
  <c r="M6" i="10"/>
  <c r="M2" i="10"/>
  <c r="M9" i="10"/>
  <c r="K13" i="25" l="1"/>
  <c r="F31" i="2"/>
  <c r="I5" i="21"/>
  <c r="G4" i="23"/>
  <c r="I5" i="23"/>
  <c r="G3" i="23"/>
  <c r="I3" i="21"/>
  <c r="G5" i="23"/>
  <c r="I3" i="23"/>
  <c r="C2" i="21"/>
  <c r="I20" i="21"/>
  <c r="I19" i="21"/>
  <c r="G3" i="21"/>
  <c r="E3" i="21"/>
  <c r="M3" i="21"/>
  <c r="M10" i="21"/>
  <c r="E5" i="21"/>
  <c r="M5" i="21"/>
  <c r="G5" i="21"/>
  <c r="M8" i="21"/>
  <c r="G4" i="21"/>
  <c r="M4" i="21"/>
  <c r="E4" i="21"/>
  <c r="M7" i="21"/>
  <c r="M9" i="21"/>
  <c r="M6" i="21"/>
  <c r="C2" i="23"/>
  <c r="M5" i="10"/>
  <c r="I3" i="10"/>
  <c r="M16" i="10"/>
  <c r="M3" i="10"/>
  <c r="M14" i="10"/>
  <c r="M13" i="10"/>
  <c r="M10" i="10" l="1"/>
  <c r="G2" i="23"/>
  <c r="E2" i="23"/>
  <c r="M2" i="23"/>
  <c r="I2" i="21"/>
  <c r="G2" i="21"/>
  <c r="I6" i="21" s="1"/>
  <c r="I1" i="21"/>
  <c r="E2" i="21"/>
  <c r="I4" i="21" s="1"/>
  <c r="M2" i="21"/>
  <c r="O93" i="21"/>
  <c r="O77" i="21"/>
  <c r="O61" i="21"/>
  <c r="O45" i="21"/>
  <c r="O29" i="21"/>
  <c r="O92" i="21"/>
  <c r="O76" i="21"/>
  <c r="O60" i="21"/>
  <c r="O44" i="21"/>
  <c r="O26" i="21"/>
  <c r="O17" i="21"/>
  <c r="O87" i="21"/>
  <c r="O55" i="21"/>
  <c r="O21" i="21"/>
  <c r="O67" i="21"/>
  <c r="O98" i="21"/>
  <c r="O66" i="21"/>
  <c r="O34" i="21"/>
  <c r="O6" i="21"/>
  <c r="O75" i="21"/>
  <c r="O13" i="21"/>
  <c r="O20" i="21"/>
  <c r="O8" i="21"/>
  <c r="O30" i="21"/>
  <c r="O102" i="21"/>
  <c r="O85" i="21"/>
  <c r="O97" i="21"/>
  <c r="O81" i="21"/>
  <c r="O65" i="21"/>
  <c r="O49" i="21"/>
  <c r="O33" i="21"/>
  <c r="O96" i="21"/>
  <c r="O80" i="21"/>
  <c r="O64" i="21"/>
  <c r="O48" i="21"/>
  <c r="O32" i="21"/>
  <c r="O18" i="21"/>
  <c r="O95" i="21"/>
  <c r="O63" i="21"/>
  <c r="O31" i="21"/>
  <c r="O83" i="21"/>
  <c r="O25" i="21"/>
  <c r="O74" i="21"/>
  <c r="O42" i="21"/>
  <c r="O10" i="21"/>
  <c r="O91" i="21"/>
  <c r="O15" i="21"/>
  <c r="O28" i="21"/>
  <c r="O3" i="21"/>
  <c r="O62" i="21"/>
  <c r="O12" i="21"/>
  <c r="O101" i="21"/>
  <c r="O69" i="21"/>
  <c r="O53" i="21"/>
  <c r="O37" i="21"/>
  <c r="O100" i="21"/>
  <c r="O84" i="21"/>
  <c r="O68" i="21"/>
  <c r="O52" i="21"/>
  <c r="O36" i="21"/>
  <c r="O22" i="21"/>
  <c r="O14" i="21"/>
  <c r="O71" i="21"/>
  <c r="O39" i="21"/>
  <c r="O5" i="21"/>
  <c r="O35" i="21"/>
  <c r="O82" i="21"/>
  <c r="O50" i="21"/>
  <c r="O19" i="21"/>
  <c r="O99" i="21"/>
  <c r="O43" i="21"/>
  <c r="O54" i="21"/>
  <c r="O4" i="21"/>
  <c r="O94" i="21"/>
  <c r="O46" i="21"/>
  <c r="O38" i="21"/>
  <c r="O89" i="21"/>
  <c r="O73" i="21"/>
  <c r="O57" i="21"/>
  <c r="O41" i="21"/>
  <c r="O27" i="21"/>
  <c r="O88" i="21"/>
  <c r="O72" i="21"/>
  <c r="O56" i="21"/>
  <c r="O40" i="21"/>
  <c r="O24" i="21"/>
  <c r="O16" i="21"/>
  <c r="O79" i="21"/>
  <c r="O47" i="21"/>
  <c r="O9" i="21"/>
  <c r="O51" i="21"/>
  <c r="O90" i="21"/>
  <c r="O58" i="21"/>
  <c r="O23" i="21"/>
  <c r="O2" i="21"/>
  <c r="O59" i="21"/>
  <c r="O86" i="21"/>
  <c r="O11" i="21"/>
  <c r="O7" i="21"/>
  <c r="O78" i="21"/>
  <c r="O70" i="21"/>
  <c r="O96" i="10" l="1"/>
  <c r="U96" i="10" s="1"/>
  <c r="I10" i="21"/>
  <c r="W78" i="21"/>
  <c r="U78" i="21"/>
  <c r="Y78" i="21"/>
  <c r="W90" i="21"/>
  <c r="U90" i="21"/>
  <c r="Y90" i="21"/>
  <c r="Y56" i="21"/>
  <c r="U56" i="21"/>
  <c r="W56" i="21"/>
  <c r="W38" i="21"/>
  <c r="U38" i="21"/>
  <c r="Y38" i="21"/>
  <c r="W50" i="21"/>
  <c r="Y50" i="21"/>
  <c r="U50" i="21"/>
  <c r="U36" i="21"/>
  <c r="Y36" i="21"/>
  <c r="W36" i="21"/>
  <c r="Y101" i="21"/>
  <c r="W101" i="21"/>
  <c r="U101" i="21"/>
  <c r="Y42" i="21"/>
  <c r="W42" i="21"/>
  <c r="U42" i="21"/>
  <c r="W32" i="21"/>
  <c r="Y32" i="21"/>
  <c r="U32" i="21"/>
  <c r="W81" i="21"/>
  <c r="U81" i="21"/>
  <c r="Y81" i="21"/>
  <c r="Y75" i="21"/>
  <c r="W75" i="21"/>
  <c r="U75" i="21"/>
  <c r="Y87" i="21"/>
  <c r="W87" i="21"/>
  <c r="U87" i="21"/>
  <c r="Y70" i="21"/>
  <c r="U70" i="21"/>
  <c r="W70" i="21"/>
  <c r="Y58" i="21"/>
  <c r="W58" i="21"/>
  <c r="U58" i="21"/>
  <c r="Y40" i="21"/>
  <c r="U40" i="21"/>
  <c r="W40" i="21"/>
  <c r="U89" i="21"/>
  <c r="Y89" i="21"/>
  <c r="W89" i="21"/>
  <c r="U4" i="21"/>
  <c r="Y4" i="21"/>
  <c r="W4" i="21"/>
  <c r="U5" i="21"/>
  <c r="Y5" i="21"/>
  <c r="W5" i="21"/>
  <c r="Y84" i="21"/>
  <c r="W84" i="21"/>
  <c r="U84" i="21"/>
  <c r="U3" i="21"/>
  <c r="Y3" i="21"/>
  <c r="W3" i="21"/>
  <c r="W83" i="21"/>
  <c r="Y83" i="21"/>
  <c r="U83" i="21"/>
  <c r="U80" i="21"/>
  <c r="W80" i="21"/>
  <c r="Y80" i="21"/>
  <c r="W102" i="21"/>
  <c r="Y102" i="21"/>
  <c r="U102" i="21"/>
  <c r="W66" i="21"/>
  <c r="U66" i="21"/>
  <c r="Y66" i="21"/>
  <c r="Y93" i="21"/>
  <c r="U93" i="21"/>
  <c r="W93" i="21"/>
  <c r="W23" i="21"/>
  <c r="U23" i="21"/>
  <c r="Y23" i="21"/>
  <c r="Y9" i="21"/>
  <c r="W9" i="21"/>
  <c r="U9" i="21"/>
  <c r="U88" i="21"/>
  <c r="W88" i="21"/>
  <c r="Y88" i="21"/>
  <c r="Y94" i="21"/>
  <c r="U94" i="21"/>
  <c r="W94" i="21"/>
  <c r="Y7" i="21"/>
  <c r="W7" i="21"/>
  <c r="U7" i="21"/>
  <c r="U2" i="21"/>
  <c r="Y2" i="21"/>
  <c r="W2" i="21"/>
  <c r="Y51" i="21"/>
  <c r="U51" i="21"/>
  <c r="W51" i="21"/>
  <c r="Y16" i="21"/>
  <c r="W16" i="21"/>
  <c r="U16" i="21"/>
  <c r="W72" i="21"/>
  <c r="U72" i="21"/>
  <c r="Y72" i="21"/>
  <c r="W57" i="21"/>
  <c r="U57" i="21"/>
  <c r="Y57" i="21"/>
  <c r="W46" i="21"/>
  <c r="U46" i="21"/>
  <c r="Y46" i="21"/>
  <c r="W43" i="21"/>
  <c r="U43" i="21"/>
  <c r="Y43" i="21"/>
  <c r="W82" i="21"/>
  <c r="U82" i="21"/>
  <c r="Y82" i="21"/>
  <c r="U71" i="21"/>
  <c r="Y71" i="21"/>
  <c r="W71" i="21"/>
  <c r="W52" i="21"/>
  <c r="U52" i="21"/>
  <c r="Y52" i="21"/>
  <c r="U37" i="21"/>
  <c r="W37" i="21"/>
  <c r="Y37" i="21"/>
  <c r="U12" i="21"/>
  <c r="W12" i="21"/>
  <c r="Y12" i="21"/>
  <c r="U15" i="21"/>
  <c r="Y15" i="21"/>
  <c r="W15" i="21"/>
  <c r="U74" i="21"/>
  <c r="W74" i="21"/>
  <c r="Y74" i="21"/>
  <c r="U63" i="21"/>
  <c r="Y63" i="21"/>
  <c r="W63" i="21"/>
  <c r="U48" i="21"/>
  <c r="Y48" i="21"/>
  <c r="W48" i="21"/>
  <c r="Y33" i="21"/>
  <c r="U33" i="21"/>
  <c r="W33" i="21"/>
  <c r="Y97" i="21"/>
  <c r="W97" i="21"/>
  <c r="U97" i="21"/>
  <c r="Y8" i="21"/>
  <c r="U8" i="21"/>
  <c r="W8" i="21"/>
  <c r="Y6" i="21"/>
  <c r="W6" i="21"/>
  <c r="U6" i="21"/>
  <c r="Y67" i="21"/>
  <c r="W67" i="21"/>
  <c r="U67" i="21"/>
  <c r="Y17" i="21"/>
  <c r="W17" i="21"/>
  <c r="U17" i="21"/>
  <c r="U76" i="21"/>
  <c r="Y76" i="21"/>
  <c r="W76" i="21"/>
  <c r="U61" i="21"/>
  <c r="W61" i="21"/>
  <c r="Y61" i="21"/>
  <c r="I7" i="21"/>
  <c r="U59" i="21"/>
  <c r="Y59" i="21"/>
  <c r="W59" i="21"/>
  <c r="Y79" i="21"/>
  <c r="U79" i="21"/>
  <c r="W79" i="21"/>
  <c r="U41" i="21"/>
  <c r="W41" i="21"/>
  <c r="Y41" i="21"/>
  <c r="W54" i="21"/>
  <c r="U54" i="21"/>
  <c r="Y54" i="21"/>
  <c r="W39" i="21"/>
  <c r="Y39" i="21"/>
  <c r="U39" i="21"/>
  <c r="U100" i="21"/>
  <c r="Y100" i="21"/>
  <c r="W100" i="21"/>
  <c r="Y28" i="21"/>
  <c r="W28" i="21"/>
  <c r="U28" i="21"/>
  <c r="Y31" i="21"/>
  <c r="U31" i="21"/>
  <c r="W31" i="21"/>
  <c r="W96" i="21"/>
  <c r="U96" i="21"/>
  <c r="Y96" i="21"/>
  <c r="W30" i="21"/>
  <c r="U30" i="21"/>
  <c r="Y30" i="21"/>
  <c r="W98" i="21"/>
  <c r="U98" i="21"/>
  <c r="Y98" i="21"/>
  <c r="U60" i="21"/>
  <c r="Y60" i="21"/>
  <c r="W60" i="21"/>
  <c r="U45" i="21"/>
  <c r="W45" i="21"/>
  <c r="Y45" i="21"/>
  <c r="U86" i="21"/>
  <c r="W86" i="21"/>
  <c r="Y86" i="21"/>
  <c r="U47" i="21"/>
  <c r="Y47" i="21"/>
  <c r="W47" i="21"/>
  <c r="Y27" i="21"/>
  <c r="U27" i="21"/>
  <c r="W27" i="21"/>
  <c r="U19" i="21"/>
  <c r="W19" i="21"/>
  <c r="Y19" i="21"/>
  <c r="U22" i="21"/>
  <c r="W22" i="21"/>
  <c r="Y22" i="21"/>
  <c r="U69" i="21"/>
  <c r="Y69" i="21"/>
  <c r="W69" i="21"/>
  <c r="W10" i="21"/>
  <c r="U10" i="21"/>
  <c r="Y10" i="21"/>
  <c r="Y18" i="21"/>
  <c r="U18" i="21"/>
  <c r="W18" i="21"/>
  <c r="U65" i="21"/>
  <c r="Y65" i="21"/>
  <c r="W65" i="21"/>
  <c r="U13" i="21"/>
  <c r="W13" i="21"/>
  <c r="Y13" i="21"/>
  <c r="U55" i="21"/>
  <c r="W55" i="21"/>
  <c r="Y55" i="21"/>
  <c r="Y44" i="21"/>
  <c r="W44" i="21"/>
  <c r="U44" i="21"/>
  <c r="W29" i="21"/>
  <c r="Y29" i="21"/>
  <c r="U29" i="21"/>
  <c r="Y11" i="21"/>
  <c r="W11" i="21"/>
  <c r="U11" i="21"/>
  <c r="Y24" i="21"/>
  <c r="W24" i="21"/>
  <c r="U24" i="21"/>
  <c r="Y73" i="21"/>
  <c r="W73" i="21"/>
  <c r="U73" i="21"/>
  <c r="Y99" i="21"/>
  <c r="U99" i="21"/>
  <c r="W99" i="21"/>
  <c r="Y35" i="21"/>
  <c r="W35" i="21"/>
  <c r="U35" i="21"/>
  <c r="W14" i="21"/>
  <c r="U14" i="21"/>
  <c r="Y14" i="21"/>
  <c r="W68" i="21"/>
  <c r="U68" i="21"/>
  <c r="Y68" i="21"/>
  <c r="W53" i="21"/>
  <c r="U53" i="21"/>
  <c r="Y53" i="21"/>
  <c r="W62" i="21"/>
  <c r="Y62" i="21"/>
  <c r="U62" i="21"/>
  <c r="W91" i="21"/>
  <c r="U91" i="21"/>
  <c r="Y91" i="21"/>
  <c r="W25" i="21"/>
  <c r="U25" i="21"/>
  <c r="Y25" i="21"/>
  <c r="W95" i="21"/>
  <c r="Y95" i="21"/>
  <c r="U95" i="21"/>
  <c r="Y64" i="21"/>
  <c r="W64" i="21"/>
  <c r="U64" i="21"/>
  <c r="U49" i="21"/>
  <c r="Y49" i="21"/>
  <c r="W49" i="21"/>
  <c r="Y85" i="21"/>
  <c r="W85" i="21"/>
  <c r="U85" i="21"/>
  <c r="W20" i="21"/>
  <c r="U20" i="21"/>
  <c r="Y20" i="21"/>
  <c r="U34" i="21"/>
  <c r="Y34" i="21"/>
  <c r="W34" i="21"/>
  <c r="W21" i="21"/>
  <c r="U21" i="21"/>
  <c r="Y21" i="21"/>
  <c r="Y26" i="21"/>
  <c r="W26" i="21"/>
  <c r="U26" i="21"/>
  <c r="W92" i="21"/>
  <c r="U92" i="21"/>
  <c r="Y92" i="21"/>
  <c r="Y77" i="21"/>
  <c r="U77" i="21"/>
  <c r="W77" i="21"/>
  <c r="J24" i="21"/>
  <c r="I11" i="21"/>
  <c r="I8" i="21"/>
  <c r="I9" i="21"/>
  <c r="O4" i="10"/>
  <c r="O11" i="10"/>
  <c r="O18" i="10"/>
  <c r="O16" i="10"/>
  <c r="O33" i="10"/>
  <c r="O57" i="10"/>
  <c r="O38" i="10"/>
  <c r="O20" i="10"/>
  <c r="O32" i="10"/>
  <c r="O48" i="10"/>
  <c r="O27" i="10"/>
  <c r="O28" i="10"/>
  <c r="O31" i="10"/>
  <c r="O47" i="10"/>
  <c r="O73" i="10"/>
  <c r="O78" i="10"/>
  <c r="O68" i="10"/>
  <c r="O69" i="10"/>
  <c r="O67" i="10"/>
  <c r="O94" i="10"/>
  <c r="O87" i="10"/>
  <c r="O85" i="10"/>
  <c r="O101" i="10"/>
  <c r="O99" i="10"/>
  <c r="O92" i="10"/>
  <c r="M15" i="10"/>
  <c r="I4" i="10"/>
  <c r="I1" i="10"/>
  <c r="I11" i="10" s="1"/>
  <c r="I2" i="10"/>
  <c r="O3" i="10"/>
  <c r="O7" i="10"/>
  <c r="O9" i="10"/>
  <c r="O15" i="10"/>
  <c r="O19" i="10"/>
  <c r="O53" i="10"/>
  <c r="O34" i="10"/>
  <c r="O50" i="10"/>
  <c r="O26" i="10"/>
  <c r="O44" i="10"/>
  <c r="O21" i="10"/>
  <c r="O49" i="10"/>
  <c r="O25" i="10"/>
  <c r="O43" i="10"/>
  <c r="O65" i="10"/>
  <c r="O70" i="10"/>
  <c r="O64" i="10"/>
  <c r="O61" i="10"/>
  <c r="O59" i="10"/>
  <c r="O82" i="10"/>
  <c r="O83" i="10"/>
  <c r="O81" i="10"/>
  <c r="O97" i="10"/>
  <c r="O98" i="10"/>
  <c r="O88" i="10"/>
  <c r="O2" i="10"/>
  <c r="O6" i="10"/>
  <c r="O10" i="10"/>
  <c r="O12" i="10"/>
  <c r="O14" i="10"/>
  <c r="O41" i="10"/>
  <c r="O30" i="10"/>
  <c r="O46" i="10"/>
  <c r="O24" i="10"/>
  <c r="O40" i="10"/>
  <c r="O56" i="10"/>
  <c r="O45" i="10"/>
  <c r="O58" i="10"/>
  <c r="O39" i="10"/>
  <c r="O55" i="10"/>
  <c r="O62" i="10"/>
  <c r="O60" i="10"/>
  <c r="O76" i="10"/>
  <c r="O74" i="10"/>
  <c r="O75" i="10"/>
  <c r="O79" i="10"/>
  <c r="O95" i="10"/>
  <c r="O93" i="10"/>
  <c r="O90" i="10"/>
  <c r="O84" i="10"/>
  <c r="O100" i="10"/>
  <c r="O5" i="10"/>
  <c r="O8" i="10"/>
  <c r="O13" i="10"/>
  <c r="O17" i="10"/>
  <c r="O37" i="10"/>
  <c r="O22" i="10"/>
  <c r="O42" i="10"/>
  <c r="O23" i="10"/>
  <c r="O36" i="10"/>
  <c r="O52" i="10"/>
  <c r="O29" i="10"/>
  <c r="O54" i="10"/>
  <c r="O35" i="10"/>
  <c r="O51" i="10"/>
  <c r="O77" i="10"/>
  <c r="O63" i="10"/>
  <c r="O72" i="10"/>
  <c r="O66" i="10"/>
  <c r="O71" i="10"/>
  <c r="O102" i="10"/>
  <c r="O91" i="10"/>
  <c r="O89" i="10"/>
  <c r="O86" i="10"/>
  <c r="O80" i="10"/>
  <c r="Y96" i="10" l="1"/>
  <c r="I15" i="21"/>
  <c r="I16" i="21"/>
  <c r="J25" i="21"/>
  <c r="I12" i="21"/>
  <c r="I23" i="21"/>
  <c r="I14" i="21"/>
  <c r="I10" i="10"/>
  <c r="Y80" i="10"/>
  <c r="U80" i="10"/>
  <c r="W102" i="10"/>
  <c r="U102" i="10"/>
  <c r="W63" i="10"/>
  <c r="Y63" i="10"/>
  <c r="Y54" i="10"/>
  <c r="W54" i="10"/>
  <c r="U23" i="10"/>
  <c r="Y23" i="10"/>
  <c r="Y17" i="10"/>
  <c r="W17" i="10"/>
  <c r="U100" i="10"/>
  <c r="Y100" i="10"/>
  <c r="W95" i="10"/>
  <c r="Y95" i="10"/>
  <c r="Y75" i="10"/>
  <c r="W76" i="10"/>
  <c r="Y76" i="10"/>
  <c r="W39" i="10"/>
  <c r="Y39" i="10"/>
  <c r="W40" i="10"/>
  <c r="Y40" i="10"/>
  <c r="Y41" i="10"/>
  <c r="W41" i="10"/>
  <c r="Y6" i="10"/>
  <c r="U6" i="10"/>
  <c r="U97" i="10"/>
  <c r="Y97" i="10"/>
  <c r="Y58" i="10"/>
  <c r="W59" i="10"/>
  <c r="U59" i="10"/>
  <c r="Y65" i="10"/>
  <c r="U65" i="10"/>
  <c r="W21" i="10"/>
  <c r="U21" i="10"/>
  <c r="W34" i="10"/>
  <c r="Y34" i="10"/>
  <c r="U9" i="10"/>
  <c r="W9" i="10"/>
  <c r="Y9" i="10"/>
  <c r="Y66" i="10"/>
  <c r="Y67" i="10"/>
  <c r="U67" i="10"/>
  <c r="Y73" i="10"/>
  <c r="W73" i="10"/>
  <c r="Y26" i="10"/>
  <c r="Y27" i="10"/>
  <c r="W27" i="10"/>
  <c r="Y38" i="10"/>
  <c r="W38" i="10"/>
  <c r="U72" i="10"/>
  <c r="Y72" i="10"/>
  <c r="Y36" i="10"/>
  <c r="Y37" i="10"/>
  <c r="U37" i="10"/>
  <c r="U5" i="10"/>
  <c r="Y5" i="10"/>
  <c r="W74" i="10"/>
  <c r="U74" i="10"/>
  <c r="W55" i="10"/>
  <c r="Y55" i="10"/>
  <c r="U56" i="10"/>
  <c r="Y56" i="10"/>
  <c r="Y30" i="10"/>
  <c r="U30" i="10"/>
  <c r="W10" i="10"/>
  <c r="Y10" i="10"/>
  <c r="W98" i="10"/>
  <c r="U98" i="10"/>
  <c r="W82" i="10"/>
  <c r="U82" i="10"/>
  <c r="Y70" i="10"/>
  <c r="W70" i="10"/>
  <c r="Y49" i="10"/>
  <c r="U49" i="10"/>
  <c r="W50" i="10"/>
  <c r="U50" i="10"/>
  <c r="W15" i="10"/>
  <c r="Y15" i="10"/>
  <c r="Y98" i="10"/>
  <c r="W99" i="10"/>
  <c r="Y99" i="10"/>
  <c r="Y94" i="10"/>
  <c r="U94" i="10"/>
  <c r="W78" i="10"/>
  <c r="U78" i="10"/>
  <c r="Y28" i="10"/>
  <c r="U28" i="10"/>
  <c r="U20" i="10"/>
  <c r="Y20" i="10"/>
  <c r="W16" i="10"/>
  <c r="U16" i="10"/>
  <c r="U89" i="10"/>
  <c r="W89" i="10"/>
  <c r="U66" i="10"/>
  <c r="W66" i="10"/>
  <c r="Y50" i="10"/>
  <c r="U51" i="10"/>
  <c r="Y51" i="10"/>
  <c r="U52" i="10"/>
  <c r="Y52" i="10"/>
  <c r="Y21" i="10"/>
  <c r="W22" i="10"/>
  <c r="U22" i="10"/>
  <c r="W8" i="10"/>
  <c r="Y8" i="10"/>
  <c r="Y89" i="10"/>
  <c r="W90" i="10"/>
  <c r="U90" i="10"/>
  <c r="Y74" i="10"/>
  <c r="U75" i="10"/>
  <c r="W75" i="10"/>
  <c r="Y62" i="10"/>
  <c r="W62" i="10"/>
  <c r="Y45" i="10"/>
  <c r="W45" i="10"/>
  <c r="Y46" i="10"/>
  <c r="U46" i="10"/>
  <c r="W12" i="10"/>
  <c r="Y12" i="10"/>
  <c r="Y88" i="10"/>
  <c r="U88" i="10"/>
  <c r="Y82" i="10"/>
  <c r="W83" i="10"/>
  <c r="Y83" i="10"/>
  <c r="U64" i="10"/>
  <c r="Y64" i="10"/>
  <c r="W25" i="10"/>
  <c r="Y25" i="10"/>
  <c r="U26" i="10"/>
  <c r="W26" i="10"/>
  <c r="Y19" i="10"/>
  <c r="W19" i="10"/>
  <c r="W3" i="10"/>
  <c r="Y3" i="10"/>
  <c r="Y91" i="10"/>
  <c r="W92" i="10"/>
  <c r="Y92" i="10"/>
  <c r="W87" i="10"/>
  <c r="Y87" i="10"/>
  <c r="U68" i="10"/>
  <c r="Y68" i="10"/>
  <c r="U31" i="10"/>
  <c r="W31" i="10"/>
  <c r="Y31" i="10"/>
  <c r="U32" i="10"/>
  <c r="W32" i="10"/>
  <c r="Y32" i="10"/>
  <c r="Y33" i="10"/>
  <c r="W33" i="10"/>
  <c r="U4" i="10"/>
  <c r="Y4" i="10"/>
  <c r="I7" i="10"/>
  <c r="W101" i="10"/>
  <c r="Y101" i="10"/>
  <c r="W18" i="10"/>
  <c r="U18" i="10"/>
  <c r="Y18" i="10"/>
  <c r="Y90" i="10"/>
  <c r="W91" i="10"/>
  <c r="U91" i="10"/>
  <c r="U35" i="10"/>
  <c r="W35" i="10"/>
  <c r="Y35" i="10"/>
  <c r="U36" i="10"/>
  <c r="W36" i="10"/>
  <c r="W93" i="10"/>
  <c r="Y93" i="10"/>
  <c r="Y86" i="10"/>
  <c r="W86" i="10"/>
  <c r="W71" i="10"/>
  <c r="Y71" i="10"/>
  <c r="Y77" i="10"/>
  <c r="W77" i="10"/>
  <c r="Y29" i="10"/>
  <c r="W29" i="10"/>
  <c r="U42" i="10"/>
  <c r="W42" i="10"/>
  <c r="Y13" i="10"/>
  <c r="U13" i="10"/>
  <c r="Y84" i="10"/>
  <c r="W84" i="10"/>
  <c r="Y78" i="10"/>
  <c r="W79" i="10"/>
  <c r="Y79" i="10"/>
  <c r="Y59" i="10"/>
  <c r="W60" i="10"/>
  <c r="Y60" i="10"/>
  <c r="W58" i="10"/>
  <c r="U58" i="10"/>
  <c r="U24" i="10"/>
  <c r="Y24" i="10"/>
  <c r="U14" i="10"/>
  <c r="Y14" i="10"/>
  <c r="U2" i="10"/>
  <c r="W2" i="10"/>
  <c r="Y2" i="10"/>
  <c r="U81" i="10"/>
  <c r="Y81" i="10"/>
  <c r="W61" i="10"/>
  <c r="Y61" i="10"/>
  <c r="Y42" i="10"/>
  <c r="W43" i="10"/>
  <c r="U43" i="10"/>
  <c r="Y43" i="10"/>
  <c r="W44" i="10"/>
  <c r="Y44" i="10"/>
  <c r="Y53" i="10"/>
  <c r="W53" i="10"/>
  <c r="Y7" i="10"/>
  <c r="U7" i="10"/>
  <c r="W85" i="10"/>
  <c r="Y85" i="10"/>
  <c r="Y69" i="10"/>
  <c r="W69" i="10"/>
  <c r="W47" i="10"/>
  <c r="Y47" i="10"/>
  <c r="U48" i="10"/>
  <c r="Y48" i="10"/>
  <c r="Y57" i="10"/>
  <c r="W57" i="10"/>
  <c r="U11" i="10"/>
  <c r="Y11" i="10"/>
  <c r="K23" i="21" l="1"/>
  <c r="J12" i="21"/>
  <c r="K12" i="21" s="1"/>
  <c r="L29" i="21"/>
  <c r="I24" i="21"/>
  <c r="K24" i="21" s="1"/>
  <c r="P91" i="21" s="1"/>
  <c r="I13" i="21"/>
  <c r="J24" i="10"/>
  <c r="I15" i="10" s="1"/>
  <c r="W24" i="10"/>
  <c r="W5" i="10"/>
  <c r="W46" i="10"/>
  <c r="W30" i="10"/>
  <c r="U17" i="10"/>
  <c r="U87" i="10"/>
  <c r="U99" i="10"/>
  <c r="W13" i="10"/>
  <c r="W7" i="10"/>
  <c r="U41" i="10"/>
  <c r="U83" i="10"/>
  <c r="U101" i="10"/>
  <c r="U95" i="10"/>
  <c r="U15" i="10"/>
  <c r="W68" i="10"/>
  <c r="U29" i="10"/>
  <c r="W11" i="10"/>
  <c r="U76" i="10"/>
  <c r="U8" i="10"/>
  <c r="U92" i="10"/>
  <c r="U93" i="10"/>
  <c r="U44" i="10"/>
  <c r="U34" i="10"/>
  <c r="U25" i="10"/>
  <c r="U57" i="10"/>
  <c r="U54" i="10"/>
  <c r="W28" i="10"/>
  <c r="U12" i="10"/>
  <c r="U61" i="10"/>
  <c r="U47" i="10"/>
  <c r="U70" i="10"/>
  <c r="W52" i="10"/>
  <c r="U19" i="10"/>
  <c r="U71" i="10"/>
  <c r="W72" i="10"/>
  <c r="U45" i="10"/>
  <c r="U53" i="10"/>
  <c r="W67" i="10"/>
  <c r="W49" i="10"/>
  <c r="W20" i="10"/>
  <c r="W48" i="10"/>
  <c r="W100" i="10"/>
  <c r="W80" i="10"/>
  <c r="W97" i="10"/>
  <c r="U55" i="10"/>
  <c r="W4" i="10"/>
  <c r="U84" i="10"/>
  <c r="U39" i="10"/>
  <c r="W94" i="10"/>
  <c r="W51" i="10"/>
  <c r="U85" i="10"/>
  <c r="W14" i="10"/>
  <c r="U63" i="10"/>
  <c r="U86" i="10"/>
  <c r="W37" i="10"/>
  <c r="U3" i="10"/>
  <c r="U33" i="10"/>
  <c r="U79" i="10"/>
  <c r="W81" i="10"/>
  <c r="U69" i="10"/>
  <c r="W23" i="10"/>
  <c r="W6" i="10"/>
  <c r="W88" i="10"/>
  <c r="U27" i="10"/>
  <c r="U77" i="10"/>
  <c r="W56" i="10"/>
  <c r="W64" i="10"/>
  <c r="U60" i="10"/>
  <c r="W65" i="10"/>
  <c r="U38" i="10"/>
  <c r="U10" i="10"/>
  <c r="U62" i="10"/>
  <c r="U40" i="10"/>
  <c r="U73" i="10"/>
  <c r="W96" i="10"/>
  <c r="Y22" i="10"/>
  <c r="Y16" i="10"/>
  <c r="M11" i="10"/>
  <c r="M12" i="10"/>
  <c r="Y102" i="10"/>
  <c r="P16" i="21" l="1"/>
  <c r="P45" i="21"/>
  <c r="R45" i="21" s="1"/>
  <c r="V45" i="21" s="1"/>
  <c r="P70" i="21"/>
  <c r="P95" i="21"/>
  <c r="S95" i="21" s="1"/>
  <c r="X95" i="21" s="1"/>
  <c r="P32" i="21"/>
  <c r="R32" i="21" s="1"/>
  <c r="V32" i="21" s="1"/>
  <c r="P61" i="21"/>
  <c r="R61" i="21" s="1"/>
  <c r="V61" i="21" s="1"/>
  <c r="P86" i="21"/>
  <c r="R86" i="21" s="1"/>
  <c r="V86" i="21" s="1"/>
  <c r="P48" i="21"/>
  <c r="S48" i="21" s="1"/>
  <c r="X48" i="21" s="1"/>
  <c r="P77" i="21"/>
  <c r="S77" i="21" s="1"/>
  <c r="X77" i="21" s="1"/>
  <c r="P102" i="21"/>
  <c r="S102" i="21" s="1"/>
  <c r="X102" i="21" s="1"/>
  <c r="P64" i="21"/>
  <c r="R64" i="21" s="1"/>
  <c r="V64" i="21" s="1"/>
  <c r="P93" i="21"/>
  <c r="S93" i="21" s="1"/>
  <c r="X93" i="21" s="1"/>
  <c r="P15" i="21"/>
  <c r="R15" i="21" s="1"/>
  <c r="V15" i="21" s="1"/>
  <c r="P80" i="21"/>
  <c r="R80" i="21" s="1"/>
  <c r="V80" i="21" s="1"/>
  <c r="P31" i="21"/>
  <c r="S31" i="21" s="1"/>
  <c r="X31" i="21" s="1"/>
  <c r="P96" i="21"/>
  <c r="R96" i="21" s="1"/>
  <c r="V96" i="21" s="1"/>
  <c r="P13" i="21"/>
  <c r="P38" i="21"/>
  <c r="S38" i="21" s="1"/>
  <c r="X38" i="21" s="1"/>
  <c r="P63" i="21"/>
  <c r="S63" i="21" s="1"/>
  <c r="X63" i="21" s="1"/>
  <c r="P6" i="21"/>
  <c r="S6" i="21" s="1"/>
  <c r="X6" i="21" s="1"/>
  <c r="P22" i="21"/>
  <c r="S22" i="21" s="1"/>
  <c r="X22" i="21" s="1"/>
  <c r="P47" i="21"/>
  <c r="R47" i="21" s="1"/>
  <c r="V47" i="21" s="1"/>
  <c r="P29" i="21"/>
  <c r="R29" i="21" s="1"/>
  <c r="V29" i="21" s="1"/>
  <c r="P54" i="21"/>
  <c r="S54" i="21" s="1"/>
  <c r="X54" i="21" s="1"/>
  <c r="P79" i="21"/>
  <c r="S79" i="21" s="1"/>
  <c r="X79" i="21" s="1"/>
  <c r="P20" i="21"/>
  <c r="S20" i="21" s="1"/>
  <c r="X20" i="21" s="1"/>
  <c r="P52" i="21"/>
  <c r="R52" i="21" s="1"/>
  <c r="V52" i="21" s="1"/>
  <c r="P84" i="21"/>
  <c r="R84" i="21" s="1"/>
  <c r="V84" i="21" s="1"/>
  <c r="P17" i="21"/>
  <c r="S17" i="21" s="1"/>
  <c r="X17" i="21" s="1"/>
  <c r="P49" i="21"/>
  <c r="S49" i="21" s="1"/>
  <c r="X49" i="21" s="1"/>
  <c r="P81" i="21"/>
  <c r="S81" i="21" s="1"/>
  <c r="X81" i="21" s="1"/>
  <c r="P10" i="21"/>
  <c r="S10" i="21" s="1"/>
  <c r="X10" i="21" s="1"/>
  <c r="P42" i="21"/>
  <c r="P74" i="21"/>
  <c r="R74" i="21" s="1"/>
  <c r="V74" i="21" s="1"/>
  <c r="P90" i="21"/>
  <c r="R90" i="21" s="1"/>
  <c r="V90" i="21" s="1"/>
  <c r="P3" i="21"/>
  <c r="S3" i="21" s="1"/>
  <c r="X3" i="21" s="1"/>
  <c r="P35" i="21"/>
  <c r="R35" i="21" s="1"/>
  <c r="V35" i="21" s="1"/>
  <c r="P51" i="21"/>
  <c r="R51" i="21" s="1"/>
  <c r="V51" i="21" s="1"/>
  <c r="P67" i="21"/>
  <c r="R67" i="21" s="1"/>
  <c r="V67" i="21" s="1"/>
  <c r="P83" i="21"/>
  <c r="R83" i="21" s="1"/>
  <c r="V83" i="21" s="1"/>
  <c r="P99" i="21"/>
  <c r="P8" i="21"/>
  <c r="P24" i="21"/>
  <c r="R24" i="21" s="1"/>
  <c r="V24" i="21" s="1"/>
  <c r="P40" i="21"/>
  <c r="S40" i="21" s="1"/>
  <c r="X40" i="21" s="1"/>
  <c r="P56" i="21"/>
  <c r="S56" i="21" s="1"/>
  <c r="X56" i="21" s="1"/>
  <c r="P72" i="21"/>
  <c r="S72" i="21" s="1"/>
  <c r="X72" i="21" s="1"/>
  <c r="P88" i="21"/>
  <c r="S88" i="21" s="1"/>
  <c r="X88" i="21" s="1"/>
  <c r="P5" i="21"/>
  <c r="R5" i="21" s="1"/>
  <c r="V5" i="21" s="1"/>
  <c r="P21" i="21"/>
  <c r="R21" i="21" s="1"/>
  <c r="V21" i="21" s="1"/>
  <c r="P37" i="21"/>
  <c r="S37" i="21" s="1"/>
  <c r="X37" i="21" s="1"/>
  <c r="P53" i="21"/>
  <c r="R53" i="21" s="1"/>
  <c r="V53" i="21" s="1"/>
  <c r="P69" i="21"/>
  <c r="S69" i="21" s="1"/>
  <c r="X69" i="21" s="1"/>
  <c r="P85" i="21"/>
  <c r="S85" i="21" s="1"/>
  <c r="X85" i="21" s="1"/>
  <c r="P101" i="21"/>
  <c r="S101" i="21" s="1"/>
  <c r="X101" i="21" s="1"/>
  <c r="P14" i="21"/>
  <c r="R14" i="21" s="1"/>
  <c r="V14" i="21" s="1"/>
  <c r="P30" i="21"/>
  <c r="S30" i="21" s="1"/>
  <c r="X30" i="21" s="1"/>
  <c r="P46" i="21"/>
  <c r="P62" i="21"/>
  <c r="R62" i="21" s="1"/>
  <c r="V62" i="21" s="1"/>
  <c r="P78" i="21"/>
  <c r="R78" i="21" s="1"/>
  <c r="V78" i="21" s="1"/>
  <c r="P94" i="21"/>
  <c r="S94" i="21" s="1"/>
  <c r="X94" i="21" s="1"/>
  <c r="P7" i="21"/>
  <c r="R7" i="21" s="1"/>
  <c r="V7" i="21" s="1"/>
  <c r="P23" i="21"/>
  <c r="R23" i="21" s="1"/>
  <c r="V23" i="21" s="1"/>
  <c r="P39" i="21"/>
  <c r="S39" i="21" s="1"/>
  <c r="X39" i="21" s="1"/>
  <c r="P55" i="21"/>
  <c r="S55" i="21" s="1"/>
  <c r="X55" i="21" s="1"/>
  <c r="P71" i="21"/>
  <c r="R71" i="21" s="1"/>
  <c r="V71" i="21" s="1"/>
  <c r="P87" i="21"/>
  <c r="R87" i="21" s="1"/>
  <c r="V87" i="21" s="1"/>
  <c r="P4" i="21"/>
  <c r="S4" i="21" s="1"/>
  <c r="X4" i="21" s="1"/>
  <c r="P36" i="21"/>
  <c r="R36" i="21" s="1"/>
  <c r="V36" i="21" s="1"/>
  <c r="P68" i="21"/>
  <c r="S68" i="21" s="1"/>
  <c r="X68" i="21" s="1"/>
  <c r="P100" i="21"/>
  <c r="S100" i="21" s="1"/>
  <c r="X100" i="21" s="1"/>
  <c r="P33" i="21"/>
  <c r="R33" i="21" s="1"/>
  <c r="V33" i="21" s="1"/>
  <c r="P65" i="21"/>
  <c r="R65" i="21" s="1"/>
  <c r="V65" i="21" s="1"/>
  <c r="P97" i="21"/>
  <c r="S97" i="21" s="1"/>
  <c r="X97" i="21" s="1"/>
  <c r="P26" i="21"/>
  <c r="R26" i="21" s="1"/>
  <c r="V26" i="21" s="1"/>
  <c r="P58" i="21"/>
  <c r="S58" i="21" s="1"/>
  <c r="X58" i="21" s="1"/>
  <c r="P19" i="21"/>
  <c r="R19" i="21" s="1"/>
  <c r="V19" i="21" s="1"/>
  <c r="P12" i="21"/>
  <c r="R12" i="21" s="1"/>
  <c r="V12" i="21" s="1"/>
  <c r="P28" i="21"/>
  <c r="S28" i="21" s="1"/>
  <c r="X28" i="21" s="1"/>
  <c r="P44" i="21"/>
  <c r="S44" i="21" s="1"/>
  <c r="X44" i="21" s="1"/>
  <c r="P60" i="21"/>
  <c r="S60" i="21" s="1"/>
  <c r="X60" i="21" s="1"/>
  <c r="P76" i="21"/>
  <c r="S76" i="21" s="1"/>
  <c r="X76" i="21" s="1"/>
  <c r="P92" i="21"/>
  <c r="S92" i="21" s="1"/>
  <c r="X92" i="21" s="1"/>
  <c r="P9" i="21"/>
  <c r="S9" i="21" s="1"/>
  <c r="X9" i="21" s="1"/>
  <c r="P25" i="21"/>
  <c r="S25" i="21" s="1"/>
  <c r="X25" i="21" s="1"/>
  <c r="P41" i="21"/>
  <c r="S41" i="21" s="1"/>
  <c r="X41" i="21" s="1"/>
  <c r="P57" i="21"/>
  <c r="S57" i="21" s="1"/>
  <c r="X57" i="21" s="1"/>
  <c r="P73" i="21"/>
  <c r="R73" i="21" s="1"/>
  <c r="V73" i="21" s="1"/>
  <c r="P89" i="21"/>
  <c r="S89" i="21" s="1"/>
  <c r="X89" i="21" s="1"/>
  <c r="P2" i="21"/>
  <c r="S2" i="21" s="1"/>
  <c r="X2" i="21" s="1"/>
  <c r="P18" i="21"/>
  <c r="P34" i="21"/>
  <c r="R34" i="21" s="1"/>
  <c r="V34" i="21" s="1"/>
  <c r="P50" i="21"/>
  <c r="R50" i="21" s="1"/>
  <c r="V50" i="21" s="1"/>
  <c r="P66" i="21"/>
  <c r="R66" i="21" s="1"/>
  <c r="V66" i="21" s="1"/>
  <c r="P82" i="21"/>
  <c r="R82" i="21" s="1"/>
  <c r="V82" i="21" s="1"/>
  <c r="P98" i="21"/>
  <c r="S98" i="21" s="1"/>
  <c r="X98" i="21" s="1"/>
  <c r="P11" i="21"/>
  <c r="R11" i="21" s="1"/>
  <c r="V11" i="21" s="1"/>
  <c r="P27" i="21"/>
  <c r="S27" i="21" s="1"/>
  <c r="X27" i="21" s="1"/>
  <c r="P43" i="21"/>
  <c r="S43" i="21" s="1"/>
  <c r="X43" i="21" s="1"/>
  <c r="P59" i="21"/>
  <c r="R59" i="21" s="1"/>
  <c r="V59" i="21" s="1"/>
  <c r="P75" i="21"/>
  <c r="S75" i="21" s="1"/>
  <c r="X75" i="21" s="1"/>
  <c r="I25" i="21"/>
  <c r="S8" i="21"/>
  <c r="X8" i="21" s="1"/>
  <c r="S70" i="21"/>
  <c r="X70" i="21" s="1"/>
  <c r="Q63" i="21"/>
  <c r="T63" i="21" s="1"/>
  <c r="Q39" i="21"/>
  <c r="T39" i="21" s="1"/>
  <c r="Q21" i="21"/>
  <c r="T21" i="21" s="1"/>
  <c r="N14" i="21"/>
  <c r="Q82" i="21"/>
  <c r="T82" i="21" s="1"/>
  <c r="Q66" i="21"/>
  <c r="T66" i="21" s="1"/>
  <c r="Q50" i="21"/>
  <c r="T50" i="21" s="1"/>
  <c r="Q38" i="21"/>
  <c r="T38" i="21" s="1"/>
  <c r="Q15" i="21"/>
  <c r="T15" i="21" s="1"/>
  <c r="Q89" i="21"/>
  <c r="T89" i="21" s="1"/>
  <c r="Q57" i="21"/>
  <c r="T57" i="21" s="1"/>
  <c r="I29" i="21"/>
  <c r="N6" i="21"/>
  <c r="Q61" i="21"/>
  <c r="T61" i="21" s="1"/>
  <c r="Q100" i="21"/>
  <c r="T100" i="21" s="1"/>
  <c r="Q68" i="21"/>
  <c r="T68" i="21" s="1"/>
  <c r="Q44" i="21"/>
  <c r="T44" i="21" s="1"/>
  <c r="N15" i="21"/>
  <c r="N7" i="21"/>
  <c r="Q101" i="21"/>
  <c r="T101" i="21" s="1"/>
  <c r="Q53" i="21"/>
  <c r="T53" i="21" s="1"/>
  <c r="Q17" i="21"/>
  <c r="T17" i="21" s="1"/>
  <c r="Q80" i="21"/>
  <c r="T80" i="21" s="1"/>
  <c r="N9" i="21"/>
  <c r="Q88" i="21"/>
  <c r="T88" i="21" s="1"/>
  <c r="Q6" i="21"/>
  <c r="T6" i="21" s="1"/>
  <c r="Q40" i="21"/>
  <c r="T40" i="21" s="1"/>
  <c r="Q96" i="21"/>
  <c r="T96" i="21" s="1"/>
  <c r="Q83" i="21"/>
  <c r="T83" i="21" s="1"/>
  <c r="Q59" i="21"/>
  <c r="T59" i="21" s="1"/>
  <c r="Q31" i="21"/>
  <c r="T31" i="21" s="1"/>
  <c r="Q102" i="21"/>
  <c r="T102" i="21" s="1"/>
  <c r="Q74" i="21"/>
  <c r="T74" i="21" s="1"/>
  <c r="Q42" i="21"/>
  <c r="T42" i="21" s="1"/>
  <c r="Q20" i="21"/>
  <c r="T20" i="21" s="1"/>
  <c r="Q73" i="21"/>
  <c r="T73" i="21" s="1"/>
  <c r="N10" i="21"/>
  <c r="Q29" i="21"/>
  <c r="T29" i="21" s="1"/>
  <c r="Q52" i="21"/>
  <c r="T52" i="21" s="1"/>
  <c r="Q11" i="21"/>
  <c r="T11" i="21" s="1"/>
  <c r="Q85" i="21"/>
  <c r="T85" i="21" s="1"/>
  <c r="N12" i="21"/>
  <c r="N8" i="21"/>
  <c r="N4" i="21"/>
  <c r="Q32" i="21"/>
  <c r="T32" i="21" s="1"/>
  <c r="Q87" i="21"/>
  <c r="T87" i="21" s="1"/>
  <c r="Q35" i="21"/>
  <c r="T35" i="21" s="1"/>
  <c r="Q13" i="21"/>
  <c r="T13" i="21" s="1"/>
  <c r="Q78" i="21"/>
  <c r="T78" i="21" s="1"/>
  <c r="Q46" i="21"/>
  <c r="T46" i="21" s="1"/>
  <c r="Q23" i="21"/>
  <c r="T23" i="21" s="1"/>
  <c r="Q81" i="21"/>
  <c r="T81" i="21" s="1"/>
  <c r="N19" i="21"/>
  <c r="Q45" i="21"/>
  <c r="T45" i="21" s="1"/>
  <c r="Q60" i="21"/>
  <c r="T60" i="21" s="1"/>
  <c r="Q12" i="21"/>
  <c r="T12" i="21" s="1"/>
  <c r="Q93" i="21"/>
  <c r="T93" i="21" s="1"/>
  <c r="Q16" i="21"/>
  <c r="T16" i="21" s="1"/>
  <c r="Q9" i="21"/>
  <c r="T9" i="21" s="1"/>
  <c r="Q5" i="21"/>
  <c r="T5" i="21" s="1"/>
  <c r="Q64" i="21"/>
  <c r="T64" i="21" s="1"/>
  <c r="Q91" i="21"/>
  <c r="T91" i="21" s="1"/>
  <c r="Q79" i="21"/>
  <c r="T79" i="21" s="1"/>
  <c r="Q67" i="21"/>
  <c r="T67" i="21" s="1"/>
  <c r="Q55" i="21"/>
  <c r="T55" i="21" s="1"/>
  <c r="Q43" i="21"/>
  <c r="T43" i="21" s="1"/>
  <c r="Q25" i="21"/>
  <c r="T25" i="21" s="1"/>
  <c r="N16" i="21"/>
  <c r="Q98" i="21"/>
  <c r="T98" i="21" s="1"/>
  <c r="Q86" i="21"/>
  <c r="T86" i="21" s="1"/>
  <c r="Q70" i="21"/>
  <c r="T70" i="21" s="1"/>
  <c r="Q54" i="21"/>
  <c r="T54" i="21" s="1"/>
  <c r="Q28" i="21"/>
  <c r="T28" i="21" s="1"/>
  <c r="Q19" i="21"/>
  <c r="T19" i="21" s="1"/>
  <c r="Q97" i="21"/>
  <c r="T97" i="21" s="1"/>
  <c r="Q65" i="21"/>
  <c r="T65" i="21" s="1"/>
  <c r="Q33" i="21"/>
  <c r="T33" i="21" s="1"/>
  <c r="Q7" i="21"/>
  <c r="T7" i="21" s="1"/>
  <c r="Q77" i="21"/>
  <c r="T77" i="21" s="1"/>
  <c r="Q18" i="21"/>
  <c r="T18" i="21" s="1"/>
  <c r="Q76" i="21"/>
  <c r="T76" i="21" s="1"/>
  <c r="Q24" i="21"/>
  <c r="T24" i="21" s="1"/>
  <c r="Q8" i="21"/>
  <c r="T8" i="21" s="1"/>
  <c r="N3" i="21"/>
  <c r="Q69" i="21"/>
  <c r="T69" i="21" s="1"/>
  <c r="N11" i="21"/>
  <c r="Q10" i="21"/>
  <c r="T10" i="21" s="1"/>
  <c r="N5" i="21"/>
  <c r="Q22" i="21"/>
  <c r="T22" i="21" s="1"/>
  <c r="Q72" i="21"/>
  <c r="T72" i="21" s="1"/>
  <c r="Q2" i="21"/>
  <c r="T2" i="21" s="1"/>
  <c r="Q95" i="21"/>
  <c r="T95" i="21" s="1"/>
  <c r="Q71" i="21"/>
  <c r="T71" i="21" s="1"/>
  <c r="Q47" i="21"/>
  <c r="T47" i="21" s="1"/>
  <c r="N17" i="21"/>
  <c r="Q90" i="21"/>
  <c r="T90" i="21" s="1"/>
  <c r="Q58" i="21"/>
  <c r="T58" i="21" s="1"/>
  <c r="Q30" i="21"/>
  <c r="T30" i="21" s="1"/>
  <c r="Q41" i="21"/>
  <c r="T41" i="21" s="1"/>
  <c r="N2" i="21"/>
  <c r="Q84" i="21"/>
  <c r="T84" i="21" s="1"/>
  <c r="Q26" i="21"/>
  <c r="T26" i="21" s="1"/>
  <c r="Q27" i="21"/>
  <c r="T27" i="21" s="1"/>
  <c r="J13" i="21"/>
  <c r="Q14" i="21"/>
  <c r="T14" i="21" s="1"/>
  <c r="Q99" i="21"/>
  <c r="T99" i="21" s="1"/>
  <c r="Q75" i="21"/>
  <c r="T75" i="21" s="1"/>
  <c r="Q51" i="21"/>
  <c r="T51" i="21" s="1"/>
  <c r="N18" i="21"/>
  <c r="Q94" i="21"/>
  <c r="T94" i="21" s="1"/>
  <c r="Q62" i="21"/>
  <c r="T62" i="21" s="1"/>
  <c r="Q34" i="21"/>
  <c r="T34" i="21" s="1"/>
  <c r="N13" i="21"/>
  <c r="Q49" i="21"/>
  <c r="T49" i="21" s="1"/>
  <c r="Q3" i="21"/>
  <c r="T3" i="21" s="1"/>
  <c r="Q92" i="21"/>
  <c r="T92" i="21" s="1"/>
  <c r="Q36" i="21"/>
  <c r="T36" i="21" s="1"/>
  <c r="Q4" i="21"/>
  <c r="T4" i="21" s="1"/>
  <c r="Q37" i="21"/>
  <c r="T37" i="21" s="1"/>
  <c r="Q48" i="21"/>
  <c r="T48" i="21" s="1"/>
  <c r="Q56" i="21"/>
  <c r="T56" i="21" s="1"/>
  <c r="R99" i="21"/>
  <c r="V99" i="21" s="1"/>
  <c r="I18" i="21"/>
  <c r="K18" i="21" s="1"/>
  <c r="I17" i="21"/>
  <c r="S91" i="21"/>
  <c r="X91" i="21" s="1"/>
  <c r="R13" i="21"/>
  <c r="V13" i="21" s="1"/>
  <c r="R42" i="21"/>
  <c r="V42" i="21" s="1"/>
  <c r="L23" i="21"/>
  <c r="R16" i="21"/>
  <c r="V16" i="21" s="1"/>
  <c r="R46" i="21"/>
  <c r="V46" i="21" s="1"/>
  <c r="R18" i="21"/>
  <c r="V18" i="21" s="1"/>
  <c r="I5" i="10"/>
  <c r="I8" i="10" s="1"/>
  <c r="J25" i="10"/>
  <c r="I6" i="10"/>
  <c r="I9" i="10" s="1"/>
  <c r="I23" i="10" s="1"/>
  <c r="I16" i="10"/>
  <c r="S24" i="21" l="1"/>
  <c r="X24" i="21" s="1"/>
  <c r="S21" i="21"/>
  <c r="X21" i="21" s="1"/>
  <c r="R8" i="21"/>
  <c r="V8" i="21" s="1"/>
  <c r="R22" i="21"/>
  <c r="V22" i="21" s="1"/>
  <c r="R4" i="21"/>
  <c r="V4" i="21" s="1"/>
  <c r="S7" i="21"/>
  <c r="X7" i="21" s="1"/>
  <c r="R69" i="21"/>
  <c r="V69" i="21" s="1"/>
  <c r="R98" i="21"/>
  <c r="V98" i="21" s="1"/>
  <c r="R9" i="21"/>
  <c r="V9" i="21" s="1"/>
  <c r="S62" i="21"/>
  <c r="X62" i="21" s="1"/>
  <c r="R55" i="21"/>
  <c r="V55" i="21" s="1"/>
  <c r="R63" i="21"/>
  <c r="V63" i="21" s="1"/>
  <c r="S90" i="21"/>
  <c r="X90" i="21" s="1"/>
  <c r="S23" i="21"/>
  <c r="X23" i="21" s="1"/>
  <c r="R40" i="21"/>
  <c r="V40" i="21" s="1"/>
  <c r="S51" i="21"/>
  <c r="X51" i="21" s="1"/>
  <c r="S74" i="21"/>
  <c r="X74" i="21" s="1"/>
  <c r="R68" i="21"/>
  <c r="V68" i="21" s="1"/>
  <c r="R101" i="21"/>
  <c r="V101" i="21" s="1"/>
  <c r="R28" i="21"/>
  <c r="V28" i="21" s="1"/>
  <c r="R6" i="21"/>
  <c r="V6" i="21" s="1"/>
  <c r="S35" i="21"/>
  <c r="X35" i="21" s="1"/>
  <c r="R39" i="21"/>
  <c r="V39" i="21" s="1"/>
  <c r="R70" i="21"/>
  <c r="V70" i="21" s="1"/>
  <c r="R37" i="21"/>
  <c r="V37" i="21" s="1"/>
  <c r="R72" i="21"/>
  <c r="V72" i="21" s="1"/>
  <c r="R79" i="21"/>
  <c r="V79" i="21" s="1"/>
  <c r="S47" i="21"/>
  <c r="X47" i="21" s="1"/>
  <c r="S65" i="21"/>
  <c r="X65" i="21" s="1"/>
  <c r="R93" i="21"/>
  <c r="V93" i="21" s="1"/>
  <c r="S29" i="21"/>
  <c r="X29" i="21" s="1"/>
  <c r="R91" i="21"/>
  <c r="V91" i="21" s="1"/>
  <c r="S12" i="21"/>
  <c r="X12" i="21" s="1"/>
  <c r="R77" i="21"/>
  <c r="V77" i="21" s="1"/>
  <c r="R97" i="21"/>
  <c r="V97" i="21" s="1"/>
  <c r="S64" i="21"/>
  <c r="X64" i="21" s="1"/>
  <c r="S34" i="21"/>
  <c r="X34" i="21" s="1"/>
  <c r="S46" i="21"/>
  <c r="X46" i="21" s="1"/>
  <c r="R49" i="21"/>
  <c r="V49" i="21" s="1"/>
  <c r="S32" i="21"/>
  <c r="X32" i="21" s="1"/>
  <c r="R27" i="21"/>
  <c r="V27" i="21" s="1"/>
  <c r="R85" i="21"/>
  <c r="V85" i="21" s="1"/>
  <c r="J18" i="21"/>
  <c r="S15" i="21"/>
  <c r="X15" i="21" s="1"/>
  <c r="S33" i="21"/>
  <c r="X33" i="21" s="1"/>
  <c r="S11" i="21"/>
  <c r="X11" i="21" s="1"/>
  <c r="S80" i="21"/>
  <c r="X80" i="21" s="1"/>
  <c r="K13" i="21"/>
  <c r="J14" i="21"/>
  <c r="K31" i="25" s="1"/>
  <c r="R41" i="21"/>
  <c r="V41" i="21" s="1"/>
  <c r="S26" i="21"/>
  <c r="X26" i="21" s="1"/>
  <c r="R88" i="21"/>
  <c r="V88" i="21" s="1"/>
  <c r="R25" i="21"/>
  <c r="V25" i="21" s="1"/>
  <c r="R81" i="21"/>
  <c r="V81" i="21" s="1"/>
  <c r="S82" i="21"/>
  <c r="X82" i="21" s="1"/>
  <c r="S45" i="21"/>
  <c r="X45" i="21" s="1"/>
  <c r="S36" i="21"/>
  <c r="X36" i="21" s="1"/>
  <c r="S66" i="21"/>
  <c r="X66" i="21" s="1"/>
  <c r="S83" i="21"/>
  <c r="X83" i="21" s="1"/>
  <c r="R75" i="21"/>
  <c r="V75" i="21" s="1"/>
  <c r="S19" i="21"/>
  <c r="X19" i="21" s="1"/>
  <c r="R54" i="21"/>
  <c r="V54" i="21" s="1"/>
  <c r="R30" i="21"/>
  <c r="V30" i="21" s="1"/>
  <c r="S13" i="21"/>
  <c r="X13" i="21" s="1"/>
  <c r="R48" i="21"/>
  <c r="V48" i="21" s="1"/>
  <c r="R2" i="21"/>
  <c r="V2" i="21" s="1"/>
  <c r="S71" i="21"/>
  <c r="X71" i="21" s="1"/>
  <c r="R31" i="21"/>
  <c r="V31" i="21" s="1"/>
  <c r="R100" i="21"/>
  <c r="V100" i="21" s="1"/>
  <c r="S14" i="21"/>
  <c r="X14" i="21" s="1"/>
  <c r="R56" i="21"/>
  <c r="V56" i="21" s="1"/>
  <c r="S42" i="21"/>
  <c r="X42" i="21" s="1"/>
  <c r="J17" i="21"/>
  <c r="K17" i="21"/>
  <c r="S18" i="21"/>
  <c r="X18" i="21" s="1"/>
  <c r="S86" i="21"/>
  <c r="X86" i="21" s="1"/>
  <c r="R20" i="21"/>
  <c r="V20" i="21" s="1"/>
  <c r="R58" i="21"/>
  <c r="V58" i="21" s="1"/>
  <c r="R3" i="21"/>
  <c r="V3" i="21" s="1"/>
  <c r="S99" i="21"/>
  <c r="X99" i="21" s="1"/>
  <c r="S52" i="21"/>
  <c r="X52" i="21" s="1"/>
  <c r="R94" i="21"/>
  <c r="V94" i="21" s="1"/>
  <c r="S96" i="21"/>
  <c r="X96" i="21" s="1"/>
  <c r="R92" i="21"/>
  <c r="V92" i="21" s="1"/>
  <c r="R76" i="21"/>
  <c r="V76" i="21" s="1"/>
  <c r="S59" i="21"/>
  <c r="X59" i="21" s="1"/>
  <c r="R10" i="21"/>
  <c r="V10" i="21" s="1"/>
  <c r="S5" i="21"/>
  <c r="X5" i="21" s="1"/>
  <c r="R57" i="21"/>
  <c r="V57" i="21" s="1"/>
  <c r="S73" i="21"/>
  <c r="X73" i="21" s="1"/>
  <c r="S67" i="21"/>
  <c r="X67" i="21" s="1"/>
  <c r="S84" i="21"/>
  <c r="X84" i="21" s="1"/>
  <c r="S78" i="21"/>
  <c r="X78" i="21" s="1"/>
  <c r="S61" i="21"/>
  <c r="X61" i="21" s="1"/>
  <c r="R89" i="21"/>
  <c r="V89" i="21" s="1"/>
  <c r="R43" i="21"/>
  <c r="V43" i="21" s="1"/>
  <c r="R17" i="21"/>
  <c r="V17" i="21" s="1"/>
  <c r="R44" i="21"/>
  <c r="V44" i="21" s="1"/>
  <c r="S87" i="21"/>
  <c r="X87" i="21" s="1"/>
  <c r="R38" i="21"/>
  <c r="V38" i="21" s="1"/>
  <c r="S16" i="21"/>
  <c r="X16" i="21" s="1"/>
  <c r="S50" i="21"/>
  <c r="X50" i="21" s="1"/>
  <c r="R102" i="21"/>
  <c r="V102" i="21" s="1"/>
  <c r="R60" i="21"/>
  <c r="V60" i="21" s="1"/>
  <c r="R95" i="21"/>
  <c r="V95" i="21" s="1"/>
  <c r="S53" i="21"/>
  <c r="X53" i="21" s="1"/>
  <c r="I14" i="10"/>
  <c r="I24" i="10"/>
  <c r="K24" i="10" s="1"/>
  <c r="P100" i="10" s="1"/>
  <c r="I12" i="10"/>
  <c r="J12" i="10" s="1"/>
  <c r="K12" i="10" s="1"/>
  <c r="K23" i="10"/>
  <c r="P9" i="10" l="1"/>
  <c r="P25" i="10"/>
  <c r="P41" i="10"/>
  <c r="P57" i="10"/>
  <c r="P73" i="10"/>
  <c r="P89" i="10"/>
  <c r="P2" i="10"/>
  <c r="P18" i="10"/>
  <c r="P34" i="10"/>
  <c r="P50" i="10"/>
  <c r="P66" i="10"/>
  <c r="P82" i="10"/>
  <c r="P98" i="10"/>
  <c r="P11" i="10"/>
  <c r="P27" i="10"/>
  <c r="P43" i="10"/>
  <c r="P59" i="10"/>
  <c r="P75" i="10"/>
  <c r="P91" i="10"/>
  <c r="P8" i="10"/>
  <c r="P24" i="10"/>
  <c r="P40" i="10"/>
  <c r="P56" i="10"/>
  <c r="P72" i="10"/>
  <c r="P88" i="10"/>
  <c r="P13" i="10"/>
  <c r="P29" i="10"/>
  <c r="P45" i="10"/>
  <c r="P61" i="10"/>
  <c r="P77" i="10"/>
  <c r="P93" i="10"/>
  <c r="P6" i="10"/>
  <c r="P22" i="10"/>
  <c r="P38" i="10"/>
  <c r="P54" i="10"/>
  <c r="P70" i="10"/>
  <c r="P86" i="10"/>
  <c r="P102" i="10"/>
  <c r="P15" i="10"/>
  <c r="P31" i="10"/>
  <c r="P47" i="10"/>
  <c r="P63" i="10"/>
  <c r="P79" i="10"/>
  <c r="P95" i="10"/>
  <c r="P12" i="10"/>
  <c r="P28" i="10"/>
  <c r="P44" i="10"/>
  <c r="P60" i="10"/>
  <c r="P76" i="10"/>
  <c r="P92" i="10"/>
  <c r="P17" i="10"/>
  <c r="P33" i="10"/>
  <c r="P49" i="10"/>
  <c r="P65" i="10"/>
  <c r="P81" i="10"/>
  <c r="P97" i="10"/>
  <c r="P10" i="10"/>
  <c r="P26" i="10"/>
  <c r="P42" i="10"/>
  <c r="P58" i="10"/>
  <c r="P74" i="10"/>
  <c r="P90" i="10"/>
  <c r="P3" i="10"/>
  <c r="P19" i="10"/>
  <c r="P35" i="10"/>
  <c r="P51" i="10"/>
  <c r="P67" i="10"/>
  <c r="P83" i="10"/>
  <c r="P99" i="10"/>
  <c r="P16" i="10"/>
  <c r="P32" i="10"/>
  <c r="P48" i="10"/>
  <c r="P64" i="10"/>
  <c r="P80" i="10"/>
  <c r="P96" i="10"/>
  <c r="P5" i="10"/>
  <c r="P21" i="10"/>
  <c r="P37" i="10"/>
  <c r="P53" i="10"/>
  <c r="P69" i="10"/>
  <c r="P85" i="10"/>
  <c r="P101" i="10"/>
  <c r="P14" i="10"/>
  <c r="P30" i="10"/>
  <c r="P46" i="10"/>
  <c r="P62" i="10"/>
  <c r="P78" i="10"/>
  <c r="P94" i="10"/>
  <c r="P7" i="10"/>
  <c r="P23" i="10"/>
  <c r="P39" i="10"/>
  <c r="P55" i="10"/>
  <c r="P71" i="10"/>
  <c r="P87" i="10"/>
  <c r="P4" i="10"/>
  <c r="P20" i="10"/>
  <c r="P36" i="10"/>
  <c r="P52" i="10"/>
  <c r="P68" i="10"/>
  <c r="P84" i="10"/>
  <c r="I18" i="10"/>
  <c r="L23" i="10"/>
  <c r="I25" i="10"/>
  <c r="I17" i="10"/>
  <c r="K17" i="10" s="1"/>
  <c r="L29" i="10"/>
  <c r="I13" i="10"/>
  <c r="R17" i="10" l="1"/>
  <c r="V17" i="10" s="1"/>
  <c r="N5" i="10"/>
  <c r="J17" i="10"/>
  <c r="Q38" i="10"/>
  <c r="T38" i="10" s="1"/>
  <c r="R98" i="10"/>
  <c r="V98" i="10" s="1"/>
  <c r="Q30" i="10"/>
  <c r="T30" i="10" s="1"/>
  <c r="S72" i="10"/>
  <c r="X72" i="10" s="1"/>
  <c r="N4" i="10"/>
  <c r="N15" i="10"/>
  <c r="R28" i="10"/>
  <c r="V28" i="10" s="1"/>
  <c r="N10" i="10"/>
  <c r="R9" i="10"/>
  <c r="V9" i="10" s="1"/>
  <c r="R53" i="10"/>
  <c r="V53" i="10" s="1"/>
  <c r="Q3" i="10"/>
  <c r="T3" i="10" s="1"/>
  <c r="N6" i="10"/>
  <c r="S87" i="10"/>
  <c r="X87" i="10" s="1"/>
  <c r="S49" i="10"/>
  <c r="X49" i="10" s="1"/>
  <c r="S91" i="10"/>
  <c r="X91" i="10" s="1"/>
  <c r="R34" i="10"/>
  <c r="V34" i="10" s="1"/>
  <c r="Q70" i="10"/>
  <c r="T70" i="10" s="1"/>
  <c r="R90" i="10"/>
  <c r="V90" i="10" s="1"/>
  <c r="Q40" i="10"/>
  <c r="T40" i="10" s="1"/>
  <c r="S53" i="10"/>
  <c r="X53" i="10" s="1"/>
  <c r="R77" i="10"/>
  <c r="V77" i="10" s="1"/>
  <c r="R20" i="10"/>
  <c r="V20" i="10" s="1"/>
  <c r="Q74" i="10"/>
  <c r="T74" i="10" s="1"/>
  <c r="R85" i="10"/>
  <c r="V85" i="10" s="1"/>
  <c r="R83" i="10"/>
  <c r="V83" i="10" s="1"/>
  <c r="S76" i="10"/>
  <c r="X76" i="10" s="1"/>
  <c r="S92" i="10"/>
  <c r="X92" i="10" s="1"/>
  <c r="Q49" i="10"/>
  <c r="T49" i="10" s="1"/>
  <c r="S61" i="10"/>
  <c r="X61" i="10" s="1"/>
  <c r="R89" i="10"/>
  <c r="V89" i="10" s="1"/>
  <c r="R21" i="10"/>
  <c r="V21" i="10" s="1"/>
  <c r="R100" i="10"/>
  <c r="V100" i="10" s="1"/>
  <c r="R7" i="10"/>
  <c r="V7" i="10" s="1"/>
  <c r="S37" i="10"/>
  <c r="X37" i="10" s="1"/>
  <c r="R91" i="10"/>
  <c r="V91" i="10" s="1"/>
  <c r="Q26" i="10"/>
  <c r="T26" i="10" s="1"/>
  <c r="S25" i="10"/>
  <c r="X25" i="10" s="1"/>
  <c r="R13" i="10"/>
  <c r="V13" i="10" s="1"/>
  <c r="Q69" i="10"/>
  <c r="T69" i="10" s="1"/>
  <c r="S34" i="10"/>
  <c r="X34" i="10" s="1"/>
  <c r="I29" i="10"/>
  <c r="Q13" i="10"/>
  <c r="T13" i="10" s="1"/>
  <c r="Q33" i="10"/>
  <c r="T33" i="10" s="1"/>
  <c r="S12" i="10"/>
  <c r="X12" i="10" s="1"/>
  <c r="Q61" i="10"/>
  <c r="T61" i="10" s="1"/>
  <c r="Q56" i="10"/>
  <c r="T56" i="10" s="1"/>
  <c r="S102" i="10"/>
  <c r="X102" i="10" s="1"/>
  <c r="R23" i="10"/>
  <c r="V23" i="10" s="1"/>
  <c r="S55" i="10"/>
  <c r="X55" i="10" s="1"/>
  <c r="Q92" i="10"/>
  <c r="T92" i="10" s="1"/>
  <c r="R5" i="10"/>
  <c r="V5" i="10" s="1"/>
  <c r="Q50" i="10"/>
  <c r="T50" i="10" s="1"/>
  <c r="S36" i="10"/>
  <c r="X36" i="10" s="1"/>
  <c r="S10" i="10"/>
  <c r="X10" i="10" s="1"/>
  <c r="R70" i="10"/>
  <c r="V70" i="10" s="1"/>
  <c r="R95" i="10"/>
  <c r="V95" i="10" s="1"/>
  <c r="J18" i="10"/>
  <c r="S39" i="10"/>
  <c r="X39" i="10" s="1"/>
  <c r="S4" i="10"/>
  <c r="X4" i="10" s="1"/>
  <c r="Q25" i="10"/>
  <c r="T25" i="10" s="1"/>
  <c r="S82" i="10"/>
  <c r="X82" i="10" s="1"/>
  <c r="S62" i="10"/>
  <c r="X62" i="10" s="1"/>
  <c r="Q20" i="10"/>
  <c r="T20" i="10" s="1"/>
  <c r="S45" i="10"/>
  <c r="X45" i="10" s="1"/>
  <c r="Q94" i="10"/>
  <c r="T94" i="10" s="1"/>
  <c r="Q76" i="10"/>
  <c r="T76" i="10" s="1"/>
  <c r="S46" i="10"/>
  <c r="X46" i="10" s="1"/>
  <c r="R56" i="10"/>
  <c r="V56" i="10" s="1"/>
  <c r="R84" i="10"/>
  <c r="V84" i="10" s="1"/>
  <c r="S41" i="10"/>
  <c r="X41" i="10" s="1"/>
  <c r="R58" i="10"/>
  <c r="V58" i="10" s="1"/>
  <c r="Q22" i="10"/>
  <c r="T22" i="10" s="1"/>
  <c r="S56" i="10"/>
  <c r="X56" i="10" s="1"/>
  <c r="S58" i="10"/>
  <c r="X58" i="10" s="1"/>
  <c r="S17" i="10"/>
  <c r="X17" i="10" s="1"/>
  <c r="R68" i="10"/>
  <c r="V68" i="10" s="1"/>
  <c r="S101" i="10"/>
  <c r="X101" i="10" s="1"/>
  <c r="Q42" i="10"/>
  <c r="T42" i="10" s="1"/>
  <c r="S51" i="10"/>
  <c r="X51" i="10" s="1"/>
  <c r="S86" i="10"/>
  <c r="X86" i="10" s="1"/>
  <c r="S13" i="10"/>
  <c r="X13" i="10" s="1"/>
  <c r="S2" i="10"/>
  <c r="X2" i="10" s="1"/>
  <c r="Q7" i="10"/>
  <c r="T7" i="10" s="1"/>
  <c r="Q60" i="10"/>
  <c r="T60" i="10" s="1"/>
  <c r="R79" i="10"/>
  <c r="V79" i="10" s="1"/>
  <c r="S83" i="10"/>
  <c r="X83" i="10" s="1"/>
  <c r="Q84" i="10"/>
  <c r="T84" i="10" s="1"/>
  <c r="Q88" i="10"/>
  <c r="T88" i="10" s="1"/>
  <c r="S52" i="10"/>
  <c r="X52" i="10" s="1"/>
  <c r="R25" i="10"/>
  <c r="V25" i="10" s="1"/>
  <c r="R8" i="10"/>
  <c r="V8" i="10" s="1"/>
  <c r="Q5" i="10"/>
  <c r="T5" i="10" s="1"/>
  <c r="Q48" i="10"/>
  <c r="T48" i="10" s="1"/>
  <c r="S15" i="10"/>
  <c r="X15" i="10" s="1"/>
  <c r="R62" i="10"/>
  <c r="V62" i="10" s="1"/>
  <c r="Q11" i="10"/>
  <c r="T11" i="10" s="1"/>
  <c r="R14" i="10"/>
  <c r="V14" i="10" s="1"/>
  <c r="S90" i="10"/>
  <c r="X90" i="10" s="1"/>
  <c r="R19" i="10"/>
  <c r="V19" i="10" s="1"/>
  <c r="R44" i="10"/>
  <c r="V44" i="10" s="1"/>
  <c r="Q24" i="10"/>
  <c r="T24" i="10" s="1"/>
  <c r="S38" i="10"/>
  <c r="X38" i="10" s="1"/>
  <c r="Q59" i="10"/>
  <c r="T59" i="10" s="1"/>
  <c r="R36" i="10"/>
  <c r="V36" i="10" s="1"/>
  <c r="S35" i="10"/>
  <c r="X35" i="10" s="1"/>
  <c r="R38" i="10"/>
  <c r="V38" i="10" s="1"/>
  <c r="R88" i="10"/>
  <c r="V88" i="10" s="1"/>
  <c r="R86" i="10"/>
  <c r="V86" i="10" s="1"/>
  <c r="R51" i="10"/>
  <c r="V51" i="10" s="1"/>
  <c r="S71" i="10"/>
  <c r="X71" i="10" s="1"/>
  <c r="Q71" i="10"/>
  <c r="T71" i="10" s="1"/>
  <c r="S3" i="10"/>
  <c r="X3" i="10" s="1"/>
  <c r="R11" i="10"/>
  <c r="V11" i="10" s="1"/>
  <c r="Q41" i="10"/>
  <c r="T41" i="10" s="1"/>
  <c r="R87" i="10"/>
  <c r="V87" i="10" s="1"/>
  <c r="Q75" i="10"/>
  <c r="T75" i="10" s="1"/>
  <c r="S96" i="10"/>
  <c r="X96" i="10" s="1"/>
  <c r="R78" i="10"/>
  <c r="V78" i="10" s="1"/>
  <c r="R6" i="10"/>
  <c r="V6" i="10" s="1"/>
  <c r="R2" i="10"/>
  <c r="V2" i="10" s="1"/>
  <c r="S85" i="10"/>
  <c r="X85" i="10" s="1"/>
  <c r="R45" i="10"/>
  <c r="V45" i="10" s="1"/>
  <c r="S66" i="10"/>
  <c r="X66" i="10" s="1"/>
  <c r="Q8" i="10"/>
  <c r="T8" i="10" s="1"/>
  <c r="R41" i="10"/>
  <c r="V41" i="10" s="1"/>
  <c r="R46" i="10"/>
  <c r="V46" i="10" s="1"/>
  <c r="N17" i="10"/>
  <c r="J13" i="10"/>
  <c r="J14" i="10" s="1"/>
  <c r="J30" i="25" s="1"/>
  <c r="Q100" i="10"/>
  <c r="T100" i="10" s="1"/>
  <c r="R40" i="10"/>
  <c r="V40" i="10" s="1"/>
  <c r="Q62" i="10"/>
  <c r="T62" i="10" s="1"/>
  <c r="Q52" i="10"/>
  <c r="T52" i="10" s="1"/>
  <c r="Q27" i="10"/>
  <c r="T27" i="10" s="1"/>
  <c r="R69" i="10"/>
  <c r="V69" i="10" s="1"/>
  <c r="R37" i="10"/>
  <c r="V37" i="10" s="1"/>
  <c r="R63" i="10"/>
  <c r="V63" i="10" s="1"/>
  <c r="S84" i="10"/>
  <c r="X84" i="10" s="1"/>
  <c r="R39" i="10"/>
  <c r="V39" i="10" s="1"/>
  <c r="S97" i="10"/>
  <c r="X97" i="10" s="1"/>
  <c r="R18" i="10"/>
  <c r="V18" i="10" s="1"/>
  <c r="Q6" i="10"/>
  <c r="T6" i="10" s="1"/>
  <c r="Q19" i="10"/>
  <c r="T19" i="10" s="1"/>
  <c r="R12" i="10"/>
  <c r="V12" i="10" s="1"/>
  <c r="Q58" i="10"/>
  <c r="T58" i="10" s="1"/>
  <c r="R93" i="10"/>
  <c r="V93" i="10" s="1"/>
  <c r="R29" i="10"/>
  <c r="V29" i="10" s="1"/>
  <c r="Q83" i="10"/>
  <c r="T83" i="10" s="1"/>
  <c r="R99" i="10"/>
  <c r="V99" i="10" s="1"/>
  <c r="R102" i="10"/>
  <c r="V102" i="10" s="1"/>
  <c r="Q31" i="10"/>
  <c r="T31" i="10" s="1"/>
  <c r="N18" i="10"/>
  <c r="R73" i="10"/>
  <c r="V73" i="10" s="1"/>
  <c r="S63" i="10"/>
  <c r="X63" i="10" s="1"/>
  <c r="R27" i="10"/>
  <c r="V27" i="10" s="1"/>
  <c r="R33" i="10"/>
  <c r="V33" i="10" s="1"/>
  <c r="Q86" i="10"/>
  <c r="T86" i="10" s="1"/>
  <c r="Q21" i="10"/>
  <c r="T21" i="10" s="1"/>
  <c r="R80" i="10"/>
  <c r="V80" i="10" s="1"/>
  <c r="S60" i="10"/>
  <c r="X60" i="10" s="1"/>
  <c r="S42" i="10"/>
  <c r="X42" i="10" s="1"/>
  <c r="R61" i="10"/>
  <c r="V61" i="10" s="1"/>
  <c r="R66" i="10"/>
  <c r="V66" i="10" s="1"/>
  <c r="R76" i="10"/>
  <c r="V76" i="10" s="1"/>
  <c r="Q95" i="10"/>
  <c r="T95" i="10" s="1"/>
  <c r="Q90" i="10"/>
  <c r="T90" i="10" s="1"/>
  <c r="R16" i="10"/>
  <c r="V16" i="10" s="1"/>
  <c r="S27" i="10"/>
  <c r="X27" i="10" s="1"/>
  <c r="N12" i="10"/>
  <c r="R96" i="10"/>
  <c r="V96" i="10" s="1"/>
  <c r="S69" i="10"/>
  <c r="X69" i="10" s="1"/>
  <c r="Q2" i="10"/>
  <c r="T2" i="10" s="1"/>
  <c r="Q10" i="10"/>
  <c r="T10" i="10" s="1"/>
  <c r="R65" i="10"/>
  <c r="V65" i="10" s="1"/>
  <c r="S98" i="10"/>
  <c r="X98" i="10" s="1"/>
  <c r="S81" i="10"/>
  <c r="X81" i="10" s="1"/>
  <c r="Q9" i="10"/>
  <c r="T9" i="10" s="1"/>
  <c r="S14" i="10"/>
  <c r="X14" i="10" s="1"/>
  <c r="R26" i="10"/>
  <c r="V26" i="10" s="1"/>
  <c r="Q28" i="10"/>
  <c r="T28" i="10" s="1"/>
  <c r="R48" i="10"/>
  <c r="V48" i="10" s="1"/>
  <c r="R49" i="10"/>
  <c r="V49" i="10" s="1"/>
  <c r="R72" i="10"/>
  <c r="V72" i="10" s="1"/>
  <c r="S79" i="10"/>
  <c r="X79" i="10" s="1"/>
  <c r="R57" i="10"/>
  <c r="V57" i="10" s="1"/>
  <c r="R92" i="10"/>
  <c r="V92" i="10" s="1"/>
  <c r="R15" i="10"/>
  <c r="V15" i="10" s="1"/>
  <c r="Q16" i="10"/>
  <c r="T16" i="10" s="1"/>
  <c r="S77" i="10"/>
  <c r="X77" i="10" s="1"/>
  <c r="Q17" i="10"/>
  <c r="T17" i="10" s="1"/>
  <c r="Q91" i="10"/>
  <c r="T91" i="10" s="1"/>
  <c r="N16" i="10"/>
  <c r="Q96" i="10"/>
  <c r="T96" i="10" s="1"/>
  <c r="S65" i="10"/>
  <c r="X65" i="10" s="1"/>
  <c r="S95" i="10"/>
  <c r="X95" i="10" s="1"/>
  <c r="S88" i="10"/>
  <c r="X88" i="10" s="1"/>
  <c r="R3" i="10"/>
  <c r="V3" i="10" s="1"/>
  <c r="R35" i="10"/>
  <c r="V35" i="10" s="1"/>
  <c r="Q39" i="10"/>
  <c r="T39" i="10" s="1"/>
  <c r="Q81" i="10"/>
  <c r="T81" i="10" s="1"/>
  <c r="R42" i="10"/>
  <c r="V42" i="10" s="1"/>
  <c r="R52" i="10"/>
  <c r="V52" i="10" s="1"/>
  <c r="S28" i="10"/>
  <c r="X28" i="10" s="1"/>
  <c r="Q93" i="10"/>
  <c r="T93" i="10" s="1"/>
  <c r="Q29" i="10"/>
  <c r="T29" i="10" s="1"/>
  <c r="S47" i="10"/>
  <c r="X47" i="10" s="1"/>
  <c r="Q43" i="10"/>
  <c r="T43" i="10" s="1"/>
  <c r="S30" i="10"/>
  <c r="X30" i="10" s="1"/>
  <c r="N11" i="10"/>
  <c r="S29" i="10"/>
  <c r="X29" i="10" s="1"/>
  <c r="S99" i="10"/>
  <c r="X99" i="10" s="1"/>
  <c r="S33" i="10"/>
  <c r="X33" i="10" s="1"/>
  <c r="S40" i="10"/>
  <c r="X40" i="10" s="1"/>
  <c r="R32" i="10"/>
  <c r="V32" i="10" s="1"/>
  <c r="S50" i="10"/>
  <c r="X50" i="10" s="1"/>
  <c r="Q53" i="10"/>
  <c r="T53" i="10" s="1"/>
  <c r="Q82" i="10"/>
  <c r="T82" i="10" s="1"/>
  <c r="Q64" i="10"/>
  <c r="T64" i="10" s="1"/>
  <c r="S89" i="10"/>
  <c r="X89" i="10" s="1"/>
  <c r="N8" i="10"/>
  <c r="R64" i="10"/>
  <c r="V64" i="10" s="1"/>
  <c r="Q46" i="10"/>
  <c r="T46" i="10" s="1"/>
  <c r="Q102" i="10"/>
  <c r="T102" i="10" s="1"/>
  <c r="S20" i="10"/>
  <c r="X20" i="10" s="1"/>
  <c r="R22" i="10"/>
  <c r="V22" i="10" s="1"/>
  <c r="Q101" i="10"/>
  <c r="T101" i="10" s="1"/>
  <c r="S19" i="10"/>
  <c r="X19" i="10" s="1"/>
  <c r="N9" i="10"/>
  <c r="Q68" i="10"/>
  <c r="T68" i="10" s="1"/>
  <c r="S64" i="10"/>
  <c r="X64" i="10" s="1"/>
  <c r="S93" i="10"/>
  <c r="X93" i="10" s="1"/>
  <c r="Q89" i="10"/>
  <c r="T89" i="10" s="1"/>
  <c r="S80" i="10"/>
  <c r="X80" i="10" s="1"/>
  <c r="R67" i="10"/>
  <c r="V67" i="10" s="1"/>
  <c r="S18" i="10"/>
  <c r="X18" i="10" s="1"/>
  <c r="S26" i="10"/>
  <c r="X26" i="10" s="1"/>
  <c r="R30" i="10"/>
  <c r="V30" i="10" s="1"/>
  <c r="N7" i="10"/>
  <c r="Q77" i="10"/>
  <c r="T77" i="10" s="1"/>
  <c r="S21" i="10"/>
  <c r="X21" i="10" s="1"/>
  <c r="S48" i="10"/>
  <c r="X48" i="10" s="1"/>
  <c r="Q54" i="10"/>
  <c r="T54" i="10" s="1"/>
  <c r="S68" i="10"/>
  <c r="X68" i="10" s="1"/>
  <c r="Q18" i="10"/>
  <c r="T18" i="10" s="1"/>
  <c r="K18" i="10"/>
  <c r="N3" i="10"/>
  <c r="S70" i="10"/>
  <c r="X70" i="10" s="1"/>
  <c r="Q73" i="10"/>
  <c r="T73" i="10" s="1"/>
  <c r="Q32" i="10"/>
  <c r="T32" i="10" s="1"/>
  <c r="Q14" i="10"/>
  <c r="T14" i="10" s="1"/>
  <c r="R75" i="10"/>
  <c r="V75" i="10" s="1"/>
  <c r="S6" i="10"/>
  <c r="X6" i="10" s="1"/>
  <c r="Q78" i="10"/>
  <c r="T78" i="10" s="1"/>
  <c r="R50" i="10"/>
  <c r="V50" i="10" s="1"/>
  <c r="Q85" i="10"/>
  <c r="T85" i="10" s="1"/>
  <c r="R94" i="10"/>
  <c r="V94" i="10" s="1"/>
  <c r="Q55" i="10"/>
  <c r="T55" i="10" s="1"/>
  <c r="R43" i="10"/>
  <c r="V43" i="10" s="1"/>
  <c r="R74" i="10"/>
  <c r="V74" i="10" s="1"/>
  <c r="S75" i="10"/>
  <c r="X75" i="10" s="1"/>
  <c r="Q4" i="10"/>
  <c r="T4" i="10" s="1"/>
  <c r="R54" i="10"/>
  <c r="V54" i="10" s="1"/>
  <c r="Q44" i="10"/>
  <c r="T44" i="10" s="1"/>
  <c r="S44" i="10"/>
  <c r="X44" i="10" s="1"/>
  <c r="S59" i="10"/>
  <c r="X59" i="10" s="1"/>
  <c r="S31" i="10"/>
  <c r="X31" i="10" s="1"/>
  <c r="Q97" i="10"/>
  <c r="T97" i="10" s="1"/>
  <c r="R24" i="10"/>
  <c r="V24" i="10" s="1"/>
  <c r="N19" i="10"/>
  <c r="S22" i="10"/>
  <c r="X22" i="10" s="1"/>
  <c r="R60" i="10"/>
  <c r="V60" i="10" s="1"/>
  <c r="S43" i="10"/>
  <c r="X43" i="10" s="1"/>
  <c r="R81" i="10"/>
  <c r="V81" i="10" s="1"/>
  <c r="S54" i="10"/>
  <c r="X54" i="10" s="1"/>
  <c r="S94" i="10"/>
  <c r="X94" i="10" s="1"/>
  <c r="R55" i="10"/>
  <c r="V55" i="10" s="1"/>
  <c r="S100" i="10"/>
  <c r="X100" i="10" s="1"/>
  <c r="S32" i="10"/>
  <c r="X32" i="10" s="1"/>
  <c r="Q47" i="10"/>
  <c r="T47" i="10" s="1"/>
  <c r="Q57" i="10"/>
  <c r="T57" i="10" s="1"/>
  <c r="Q98" i="10"/>
  <c r="T98" i="10" s="1"/>
  <c r="Q15" i="10"/>
  <c r="T15" i="10" s="1"/>
  <c r="S7" i="10"/>
  <c r="X7" i="10" s="1"/>
  <c r="Q87" i="10"/>
  <c r="T87" i="10" s="1"/>
  <c r="S24" i="10"/>
  <c r="X24" i="10" s="1"/>
  <c r="N13" i="10"/>
  <c r="N2" i="10"/>
  <c r="S9" i="10"/>
  <c r="X9" i="10" s="1"/>
  <c r="Q80" i="10"/>
  <c r="T80" i="10" s="1"/>
  <c r="Q51" i="10"/>
  <c r="T51" i="10" s="1"/>
  <c r="Q35" i="10"/>
  <c r="T35" i="10" s="1"/>
  <c r="R31" i="10"/>
  <c r="V31" i="10" s="1"/>
  <c r="S23" i="10"/>
  <c r="X23" i="10" s="1"/>
  <c r="R82" i="10"/>
  <c r="V82" i="10" s="1"/>
  <c r="S73" i="10"/>
  <c r="X73" i="10" s="1"/>
  <c r="Q36" i="10"/>
  <c r="T36" i="10" s="1"/>
  <c r="R4" i="10"/>
  <c r="V4" i="10" s="1"/>
  <c r="Q65" i="10"/>
  <c r="T65" i="10" s="1"/>
  <c r="S8" i="10"/>
  <c r="X8" i="10" s="1"/>
  <c r="Q45" i="10"/>
  <c r="T45" i="10" s="1"/>
  <c r="R47" i="10"/>
  <c r="V47" i="10" s="1"/>
  <c r="Q37" i="10"/>
  <c r="T37" i="10" s="1"/>
  <c r="Q23" i="10"/>
  <c r="T23" i="10" s="1"/>
  <c r="S74" i="10"/>
  <c r="X74" i="10" s="1"/>
  <c r="R101" i="10"/>
  <c r="V101" i="10" s="1"/>
  <c r="S57" i="10"/>
  <c r="X57" i="10" s="1"/>
  <c r="Q67" i="10"/>
  <c r="T67" i="10" s="1"/>
  <c r="S5" i="10"/>
  <c r="X5" i="10" s="1"/>
  <c r="N14" i="10"/>
  <c r="S16" i="10"/>
  <c r="X16" i="10" s="1"/>
  <c r="R10" i="10"/>
  <c r="V10" i="10" s="1"/>
  <c r="Q66" i="10"/>
  <c r="T66" i="10" s="1"/>
  <c r="S78" i="10"/>
  <c r="X78" i="10" s="1"/>
  <c r="Q79" i="10"/>
  <c r="T79" i="10" s="1"/>
  <c r="Q63" i="10"/>
  <c r="T63" i="10" s="1"/>
  <c r="Q72" i="10"/>
  <c r="T72" i="10" s="1"/>
  <c r="R97" i="10"/>
  <c r="V97" i="10" s="1"/>
  <c r="S67" i="10"/>
  <c r="X67" i="10" s="1"/>
  <c r="R71" i="10"/>
  <c r="V71" i="10" s="1"/>
  <c r="Q12" i="10"/>
  <c r="T12" i="10" s="1"/>
  <c r="Q34" i="10"/>
  <c r="T34" i="10" s="1"/>
  <c r="S11" i="10"/>
  <c r="X11" i="10" s="1"/>
  <c r="R59" i="10"/>
  <c r="V59" i="10" s="1"/>
  <c r="Q99" i="10"/>
  <c r="T99" i="10" s="1"/>
  <c r="K13" i="10" l="1"/>
  <c r="I20" i="23" l="1"/>
  <c r="I19" i="23"/>
  <c r="M9" i="23" l="1"/>
  <c r="I4" i="23"/>
  <c r="I6" i="23"/>
  <c r="I2" i="23"/>
  <c r="I1" i="23"/>
  <c r="O89" i="23"/>
  <c r="O73" i="23"/>
  <c r="O57" i="23"/>
  <c r="O41" i="23"/>
  <c r="O27" i="23"/>
  <c r="O88" i="23"/>
  <c r="O72" i="23"/>
  <c r="O56" i="23"/>
  <c r="O40" i="23"/>
  <c r="O24" i="23"/>
  <c r="O16" i="23"/>
  <c r="O79" i="23"/>
  <c r="O47" i="23"/>
  <c r="O9" i="23"/>
  <c r="O42" i="23"/>
  <c r="O78" i="23"/>
  <c r="O46" i="23"/>
  <c r="O20" i="23"/>
  <c r="O4" i="23"/>
  <c r="O74" i="23"/>
  <c r="O51" i="23"/>
  <c r="O13" i="23"/>
  <c r="O3" i="23"/>
  <c r="O7" i="23"/>
  <c r="O67" i="23"/>
  <c r="O81" i="23"/>
  <c r="O65" i="23"/>
  <c r="O49" i="23"/>
  <c r="O33" i="23"/>
  <c r="O96" i="23"/>
  <c r="O80" i="23"/>
  <c r="O64" i="23"/>
  <c r="O48" i="23"/>
  <c r="O32" i="23"/>
  <c r="O18" i="23"/>
  <c r="O95" i="23"/>
  <c r="O63" i="23"/>
  <c r="O31" i="23"/>
  <c r="O58" i="23"/>
  <c r="O94" i="23"/>
  <c r="O62" i="23"/>
  <c r="O11" i="23"/>
  <c r="O90" i="23"/>
  <c r="O15" i="23"/>
  <c r="O75" i="23"/>
  <c r="O93" i="23"/>
  <c r="O77" i="23"/>
  <c r="O61" i="23"/>
  <c r="O45" i="23"/>
  <c r="O29" i="23"/>
  <c r="O92" i="23"/>
  <c r="O76" i="23"/>
  <c r="O60" i="23"/>
  <c r="O44" i="23"/>
  <c r="O26" i="23"/>
  <c r="O17" i="23"/>
  <c r="O87" i="23"/>
  <c r="O55" i="23"/>
  <c r="O21" i="23"/>
  <c r="O50" i="23"/>
  <c r="O86" i="23"/>
  <c r="O54" i="23"/>
  <c r="O28" i="23"/>
  <c r="O8" i="23"/>
  <c r="O82" i="23"/>
  <c r="O83" i="23"/>
  <c r="O19" i="23"/>
  <c r="O10" i="23"/>
  <c r="O59" i="23"/>
  <c r="O2" i="23"/>
  <c r="O97" i="23"/>
  <c r="O30" i="23"/>
  <c r="O34" i="23"/>
  <c r="O23" i="23"/>
  <c r="O91" i="23"/>
  <c r="O101" i="23"/>
  <c r="O85" i="23"/>
  <c r="O69" i="23"/>
  <c r="O53" i="23"/>
  <c r="O37" i="23"/>
  <c r="O100" i="23"/>
  <c r="O84" i="23"/>
  <c r="O68" i="23"/>
  <c r="O52" i="23"/>
  <c r="O36" i="23"/>
  <c r="O22" i="23"/>
  <c r="O14" i="23"/>
  <c r="O71" i="23"/>
  <c r="O39" i="23"/>
  <c r="O5" i="23"/>
  <c r="O102" i="23"/>
  <c r="O70" i="23"/>
  <c r="O38" i="23"/>
  <c r="O12" i="23"/>
  <c r="O98" i="23"/>
  <c r="O66" i="23"/>
  <c r="O25" i="23"/>
  <c r="O43" i="23"/>
  <c r="O99" i="23"/>
  <c r="O6" i="23"/>
  <c r="O35" i="23"/>
  <c r="I9" i="23" l="1"/>
  <c r="I10" i="23"/>
  <c r="I7" i="23"/>
  <c r="W35" i="23"/>
  <c r="U35" i="23"/>
  <c r="Y35" i="23"/>
  <c r="W38" i="23"/>
  <c r="U38" i="23"/>
  <c r="Y38" i="23"/>
  <c r="U36" i="23"/>
  <c r="Y36" i="23"/>
  <c r="W36" i="23"/>
  <c r="U100" i="23"/>
  <c r="W100" i="23"/>
  <c r="Y100" i="23"/>
  <c r="W34" i="23"/>
  <c r="U34" i="23"/>
  <c r="Y34" i="23"/>
  <c r="W82" i="23"/>
  <c r="U82" i="23"/>
  <c r="Y82" i="23"/>
  <c r="W87" i="23"/>
  <c r="U87" i="23"/>
  <c r="Y87" i="23"/>
  <c r="Y45" i="23"/>
  <c r="U45" i="23"/>
  <c r="W45" i="23"/>
  <c r="W62" i="23"/>
  <c r="U62" i="23"/>
  <c r="Y62" i="23"/>
  <c r="U63" i="23"/>
  <c r="Y63" i="23"/>
  <c r="W63" i="23"/>
  <c r="U33" i="23"/>
  <c r="Y33" i="23"/>
  <c r="W33" i="23"/>
  <c r="Y67" i="23"/>
  <c r="W67" i="23"/>
  <c r="U67" i="23"/>
  <c r="Y51" i="23"/>
  <c r="W51" i="23"/>
  <c r="U51" i="23"/>
  <c r="Y46" i="23"/>
  <c r="W46" i="23"/>
  <c r="U46" i="23"/>
  <c r="Y47" i="23"/>
  <c r="W47" i="23"/>
  <c r="U47" i="23"/>
  <c r="W40" i="23"/>
  <c r="U40" i="23"/>
  <c r="Y40" i="23"/>
  <c r="W27" i="23"/>
  <c r="Y27" i="23"/>
  <c r="U27" i="23"/>
  <c r="W89" i="23"/>
  <c r="U89" i="23"/>
  <c r="Y89" i="23"/>
  <c r="Y12" i="23"/>
  <c r="U12" i="23"/>
  <c r="W12" i="23"/>
  <c r="U22" i="23"/>
  <c r="Y22" i="23"/>
  <c r="W22" i="23"/>
  <c r="U84" i="23"/>
  <c r="W84" i="23"/>
  <c r="Y84" i="23"/>
  <c r="U23" i="23"/>
  <c r="Y23" i="23"/>
  <c r="W23" i="23"/>
  <c r="W54" i="23"/>
  <c r="U54" i="23"/>
  <c r="Y54" i="23"/>
  <c r="U44" i="23"/>
  <c r="Y44" i="23"/>
  <c r="W44" i="23"/>
  <c r="W11" i="23"/>
  <c r="Y11" i="23"/>
  <c r="U11" i="23"/>
  <c r="Y99" i="23"/>
  <c r="W99" i="23"/>
  <c r="U99" i="23"/>
  <c r="Y102" i="23"/>
  <c r="W102" i="23"/>
  <c r="U102" i="23"/>
  <c r="W68" i="23"/>
  <c r="Y68" i="23"/>
  <c r="U68" i="23"/>
  <c r="Y6" i="23"/>
  <c r="W6" i="23"/>
  <c r="U6" i="23"/>
  <c r="W66" i="23"/>
  <c r="U66" i="23"/>
  <c r="Y66" i="23"/>
  <c r="Y70" i="23"/>
  <c r="W70" i="23"/>
  <c r="U70" i="23"/>
  <c r="W71" i="23"/>
  <c r="U71" i="23"/>
  <c r="Y71" i="23"/>
  <c r="W52" i="23"/>
  <c r="U52" i="23"/>
  <c r="Y52" i="23"/>
  <c r="Y37" i="23"/>
  <c r="U37" i="23"/>
  <c r="W37" i="23"/>
  <c r="W101" i="23"/>
  <c r="Y101" i="23"/>
  <c r="U101" i="23"/>
  <c r="U30" i="23"/>
  <c r="Y30" i="23"/>
  <c r="W30" i="23"/>
  <c r="Y10" i="23"/>
  <c r="W10" i="23"/>
  <c r="U10" i="23"/>
  <c r="W8" i="23"/>
  <c r="Y8" i="23"/>
  <c r="U8" i="23"/>
  <c r="Y50" i="23"/>
  <c r="W50" i="23"/>
  <c r="U50" i="23"/>
  <c r="W17" i="23"/>
  <c r="Y17" i="23"/>
  <c r="U17" i="23"/>
  <c r="W76" i="23"/>
  <c r="Y76" i="23"/>
  <c r="U76" i="23"/>
  <c r="W61" i="23"/>
  <c r="Y61" i="23"/>
  <c r="U61" i="23"/>
  <c r="W15" i="23"/>
  <c r="U15" i="23"/>
  <c r="Y15" i="23"/>
  <c r="W94" i="23"/>
  <c r="U94" i="23"/>
  <c r="Y94" i="23"/>
  <c r="Y95" i="23"/>
  <c r="W95" i="23"/>
  <c r="U95" i="23"/>
  <c r="W64" i="23"/>
  <c r="U64" i="23"/>
  <c r="Y64" i="23"/>
  <c r="U49" i="23"/>
  <c r="Y49" i="23"/>
  <c r="W49" i="23"/>
  <c r="U7" i="23"/>
  <c r="Y7" i="23"/>
  <c r="W7" i="23"/>
  <c r="U74" i="23"/>
  <c r="Y74" i="23"/>
  <c r="W74" i="23"/>
  <c r="U78" i="23"/>
  <c r="Y78" i="23"/>
  <c r="W78" i="23"/>
  <c r="U79" i="23"/>
  <c r="Y79" i="23"/>
  <c r="W79" i="23"/>
  <c r="Y56" i="23"/>
  <c r="W56" i="23"/>
  <c r="U56" i="23"/>
  <c r="Y41" i="23"/>
  <c r="W41" i="23"/>
  <c r="U41" i="23"/>
  <c r="J24" i="23"/>
  <c r="I11" i="23"/>
  <c r="I8" i="23"/>
  <c r="U25" i="23"/>
  <c r="Y25" i="23"/>
  <c r="W25" i="23"/>
  <c r="U39" i="23"/>
  <c r="Y39" i="23"/>
  <c r="W39" i="23"/>
  <c r="Y85" i="23"/>
  <c r="U85" i="23"/>
  <c r="W85" i="23"/>
  <c r="W59" i="23"/>
  <c r="U59" i="23"/>
  <c r="Y59" i="23"/>
  <c r="W86" i="23"/>
  <c r="U86" i="23"/>
  <c r="Y86" i="23"/>
  <c r="U60" i="23"/>
  <c r="Y60" i="23"/>
  <c r="W60" i="23"/>
  <c r="U75" i="23"/>
  <c r="Y75" i="23"/>
  <c r="W75" i="23"/>
  <c r="U48" i="23"/>
  <c r="W48" i="23"/>
  <c r="Y48" i="23"/>
  <c r="U43" i="23"/>
  <c r="Y43" i="23"/>
  <c r="W43" i="23"/>
  <c r="Y5" i="23"/>
  <c r="W5" i="23"/>
  <c r="U5" i="23"/>
  <c r="Y69" i="23"/>
  <c r="U69" i="23"/>
  <c r="W69" i="23"/>
  <c r="W2" i="23"/>
  <c r="U2" i="23"/>
  <c r="Y2" i="23"/>
  <c r="W83" i="23"/>
  <c r="U83" i="23"/>
  <c r="Y83" i="23"/>
  <c r="W55" i="23"/>
  <c r="U55" i="23"/>
  <c r="Y55" i="23"/>
  <c r="Y29" i="23"/>
  <c r="U29" i="23"/>
  <c r="W29" i="23"/>
  <c r="Y93" i="23"/>
  <c r="U93" i="23"/>
  <c r="W93" i="23"/>
  <c r="W31" i="23"/>
  <c r="U31" i="23"/>
  <c r="Y31" i="23"/>
  <c r="Y32" i="23"/>
  <c r="U32" i="23"/>
  <c r="W32" i="23"/>
  <c r="Y96" i="23"/>
  <c r="W96" i="23"/>
  <c r="U96" i="23"/>
  <c r="U81" i="23"/>
  <c r="Y81" i="23"/>
  <c r="W81" i="23"/>
  <c r="W13" i="23"/>
  <c r="U13" i="23"/>
  <c r="Y13" i="23"/>
  <c r="W20" i="23"/>
  <c r="U20" i="23"/>
  <c r="Y20" i="23"/>
  <c r="Y9" i="23"/>
  <c r="U9" i="23"/>
  <c r="W9" i="23"/>
  <c r="U24" i="23"/>
  <c r="Y24" i="23"/>
  <c r="W24" i="23"/>
  <c r="U88" i="23"/>
  <c r="Y88" i="23"/>
  <c r="W88" i="23"/>
  <c r="U73" i="23"/>
  <c r="Y73" i="23"/>
  <c r="W73" i="23"/>
  <c r="W98" i="23"/>
  <c r="U98" i="23"/>
  <c r="Y98" i="23"/>
  <c r="U14" i="23"/>
  <c r="Y14" i="23"/>
  <c r="W14" i="23"/>
  <c r="Y53" i="23"/>
  <c r="U53" i="23"/>
  <c r="W53" i="23"/>
  <c r="Y91" i="23"/>
  <c r="W91" i="23"/>
  <c r="U91" i="23"/>
  <c r="Y97" i="23"/>
  <c r="W97" i="23"/>
  <c r="U97" i="23"/>
  <c r="U19" i="23"/>
  <c r="Y19" i="23"/>
  <c r="W19" i="23"/>
  <c r="U28" i="23"/>
  <c r="Y28" i="23"/>
  <c r="W28" i="23"/>
  <c r="U21" i="23"/>
  <c r="Y21" i="23"/>
  <c r="W21" i="23"/>
  <c r="Y26" i="23"/>
  <c r="W26" i="23"/>
  <c r="U26" i="23"/>
  <c r="U92" i="23"/>
  <c r="W92" i="23"/>
  <c r="Y92" i="23"/>
  <c r="U77" i="23"/>
  <c r="W77" i="23"/>
  <c r="Y77" i="23"/>
  <c r="W90" i="23"/>
  <c r="U90" i="23"/>
  <c r="Y90" i="23"/>
  <c r="Y58" i="23"/>
  <c r="W58" i="23"/>
  <c r="U58" i="23"/>
  <c r="Y18" i="23"/>
  <c r="U18" i="23"/>
  <c r="W18" i="23"/>
  <c r="U80" i="23"/>
  <c r="Y80" i="23"/>
  <c r="W80" i="23"/>
  <c r="W65" i="23"/>
  <c r="U65" i="23"/>
  <c r="Y65" i="23"/>
  <c r="W3" i="23"/>
  <c r="U3" i="23"/>
  <c r="Y3" i="23"/>
  <c r="U4" i="23"/>
  <c r="Y4" i="23"/>
  <c r="W4" i="23"/>
  <c r="W42" i="23"/>
  <c r="U42" i="23"/>
  <c r="Y42" i="23"/>
  <c r="Y16" i="23"/>
  <c r="U16" i="23"/>
  <c r="W16" i="23"/>
  <c r="U72" i="23"/>
  <c r="Y72" i="23"/>
  <c r="W72" i="23"/>
  <c r="U57" i="23"/>
  <c r="Y57" i="23"/>
  <c r="W57" i="23"/>
  <c r="I12" i="23" l="1"/>
  <c r="I13" i="23" s="1"/>
  <c r="Q32" i="23" s="1"/>
  <c r="T32" i="23" s="1"/>
  <c r="I14" i="23"/>
  <c r="I23" i="23"/>
  <c r="I24" i="23" s="1"/>
  <c r="K24" i="23" s="1"/>
  <c r="I16" i="23"/>
  <c r="I15" i="23"/>
  <c r="J25" i="23"/>
  <c r="J12" i="23" l="1"/>
  <c r="K12" i="23" s="1"/>
  <c r="L29" i="23"/>
  <c r="P102" i="23"/>
  <c r="P98" i="23"/>
  <c r="P94" i="23"/>
  <c r="P90" i="23"/>
  <c r="P86" i="23"/>
  <c r="P82" i="23"/>
  <c r="P78" i="23"/>
  <c r="P74" i="23"/>
  <c r="P70" i="23"/>
  <c r="P66" i="23"/>
  <c r="P62" i="23"/>
  <c r="P58" i="23"/>
  <c r="P54" i="23"/>
  <c r="P50" i="23"/>
  <c r="P46" i="23"/>
  <c r="P42" i="23"/>
  <c r="P38" i="23"/>
  <c r="P34" i="23"/>
  <c r="P30" i="23"/>
  <c r="P26" i="23"/>
  <c r="P22" i="23"/>
  <c r="P18" i="23"/>
  <c r="P14" i="23"/>
  <c r="P10" i="23"/>
  <c r="P6" i="23"/>
  <c r="P2" i="23"/>
  <c r="P101" i="23"/>
  <c r="P97" i="23"/>
  <c r="P93" i="23"/>
  <c r="P89" i="23"/>
  <c r="P85" i="23"/>
  <c r="P81" i="23"/>
  <c r="P77" i="23"/>
  <c r="P73" i="23"/>
  <c r="P69" i="23"/>
  <c r="P65" i="23"/>
  <c r="P61" i="23"/>
  <c r="P57" i="23"/>
  <c r="P53" i="23"/>
  <c r="P49" i="23"/>
  <c r="P45" i="23"/>
  <c r="P41" i="23"/>
  <c r="P37" i="23"/>
  <c r="P33" i="23"/>
  <c r="P29" i="23"/>
  <c r="P25" i="23"/>
  <c r="P21" i="23"/>
  <c r="P17" i="23"/>
  <c r="P13" i="23"/>
  <c r="P9" i="23"/>
  <c r="P5" i="23"/>
  <c r="P100" i="23"/>
  <c r="P96" i="23"/>
  <c r="P92" i="23"/>
  <c r="P88" i="23"/>
  <c r="P84" i="23"/>
  <c r="P80" i="23"/>
  <c r="P76" i="23"/>
  <c r="P72" i="23"/>
  <c r="P68" i="23"/>
  <c r="P64" i="23"/>
  <c r="P60" i="23"/>
  <c r="P56" i="23"/>
  <c r="P52" i="23"/>
  <c r="P48" i="23"/>
  <c r="P44" i="23"/>
  <c r="P40" i="23"/>
  <c r="P36" i="23"/>
  <c r="P32" i="23"/>
  <c r="P28" i="23"/>
  <c r="P24" i="23"/>
  <c r="P20" i="23"/>
  <c r="P16" i="23"/>
  <c r="P12" i="23"/>
  <c r="P8" i="23"/>
  <c r="P4" i="23"/>
  <c r="P99" i="23"/>
  <c r="P95" i="23"/>
  <c r="P91" i="23"/>
  <c r="P87" i="23"/>
  <c r="P83" i="23"/>
  <c r="P79" i="23"/>
  <c r="P75" i="23"/>
  <c r="P71" i="23"/>
  <c r="P67" i="23"/>
  <c r="P63" i="23"/>
  <c r="P59" i="23"/>
  <c r="P55" i="23"/>
  <c r="P51" i="23"/>
  <c r="P47" i="23"/>
  <c r="P43" i="23"/>
  <c r="P39" i="23"/>
  <c r="P35" i="23"/>
  <c r="P31" i="23"/>
  <c r="P27" i="23"/>
  <c r="P23" i="23"/>
  <c r="P19" i="23"/>
  <c r="P15" i="23"/>
  <c r="P11" i="23"/>
  <c r="P7" i="23"/>
  <c r="P3" i="23"/>
  <c r="Q84" i="23"/>
  <c r="T84" i="23" s="1"/>
  <c r="Q12" i="23"/>
  <c r="T12" i="23" s="1"/>
  <c r="N19" i="23"/>
  <c r="Q94" i="23"/>
  <c r="T94" i="23" s="1"/>
  <c r="Q40" i="23"/>
  <c r="T40" i="23" s="1"/>
  <c r="Q65" i="23"/>
  <c r="T65" i="23" s="1"/>
  <c r="Q54" i="23"/>
  <c r="T54" i="23" s="1"/>
  <c r="Q26" i="23"/>
  <c r="T26" i="23" s="1"/>
  <c r="J13" i="23"/>
  <c r="J14" i="23" s="1"/>
  <c r="L32" i="25" s="1"/>
  <c r="N15" i="23"/>
  <c r="Q13" i="23"/>
  <c r="T13" i="23" s="1"/>
  <c r="Q61" i="23"/>
  <c r="T61" i="23" s="1"/>
  <c r="Q83" i="23"/>
  <c r="T83" i="23" s="1"/>
  <c r="Q58" i="23"/>
  <c r="T58" i="23" s="1"/>
  <c r="Q39" i="23"/>
  <c r="T39" i="23" s="1"/>
  <c r="Q76" i="23"/>
  <c r="T76" i="23" s="1"/>
  <c r="Q82" i="23"/>
  <c r="T82" i="23" s="1"/>
  <c r="Q33" i="23"/>
  <c r="T33" i="23" s="1"/>
  <c r="Q79" i="23"/>
  <c r="T79" i="23" s="1"/>
  <c r="Q67" i="23"/>
  <c r="T67" i="23" s="1"/>
  <c r="Q17" i="23"/>
  <c r="T17" i="23" s="1"/>
  <c r="Q41" i="23"/>
  <c r="T41" i="23" s="1"/>
  <c r="Q91" i="23"/>
  <c r="T91" i="23" s="1"/>
  <c r="Q93" i="23"/>
  <c r="T93" i="23" s="1"/>
  <c r="Q68" i="23"/>
  <c r="T68" i="23" s="1"/>
  <c r="Q29" i="23"/>
  <c r="T29" i="23" s="1"/>
  <c r="Q9" i="23"/>
  <c r="T9" i="23" s="1"/>
  <c r="Q59" i="23"/>
  <c r="T59" i="23" s="1"/>
  <c r="Q31" i="23"/>
  <c r="T31" i="23" s="1"/>
  <c r="Q8" i="23"/>
  <c r="T8" i="23" s="1"/>
  <c r="Q88" i="23"/>
  <c r="T88" i="23" s="1"/>
  <c r="Q5" i="23"/>
  <c r="T5" i="23" s="1"/>
  <c r="Q98" i="23"/>
  <c r="T98" i="23" s="1"/>
  <c r="Q2" i="23"/>
  <c r="T2" i="23" s="1"/>
  <c r="N8" i="23"/>
  <c r="Q100" i="23"/>
  <c r="T100" i="23" s="1"/>
  <c r="Q50" i="23"/>
  <c r="T50" i="23" s="1"/>
  <c r="N3" i="23"/>
  <c r="Q69" i="23"/>
  <c r="T69" i="23" s="1"/>
  <c r="Q3" i="23"/>
  <c r="T3" i="23" s="1"/>
  <c r="Q90" i="23"/>
  <c r="T90" i="23" s="1"/>
  <c r="Q38" i="23"/>
  <c r="T38" i="23" s="1"/>
  <c r="Q14" i="23"/>
  <c r="T14" i="23" s="1"/>
  <c r="Q74" i="23"/>
  <c r="T74" i="23" s="1"/>
  <c r="Q57" i="23"/>
  <c r="T57" i="23" s="1"/>
  <c r="Q24" i="23"/>
  <c r="T24" i="23" s="1"/>
  <c r="N7" i="23"/>
  <c r="Q53" i="23"/>
  <c r="T53" i="23" s="1"/>
  <c r="N6" i="23"/>
  <c r="Q95" i="23"/>
  <c r="T95" i="23" s="1"/>
  <c r="Q27" i="23"/>
  <c r="T27" i="23" s="1"/>
  <c r="Q97" i="23"/>
  <c r="T97" i="23" s="1"/>
  <c r="Q37" i="23"/>
  <c r="T37" i="23" s="1"/>
  <c r="Q49" i="23"/>
  <c r="T49" i="23" s="1"/>
  <c r="Q81" i="23"/>
  <c r="T81" i="23" s="1"/>
  <c r="Q55" i="23"/>
  <c r="T55" i="23" s="1"/>
  <c r="Q47" i="23"/>
  <c r="T47" i="23" s="1"/>
  <c r="Q77" i="23"/>
  <c r="T77" i="23" s="1"/>
  <c r="Q18" i="23"/>
  <c r="T18" i="23" s="1"/>
  <c r="Q46" i="23"/>
  <c r="T46" i="23" s="1"/>
  <c r="N10" i="23"/>
  <c r="N17" i="23"/>
  <c r="N18" i="23"/>
  <c r="Q62" i="23"/>
  <c r="T62" i="23" s="1"/>
  <c r="N11" i="23"/>
  <c r="Q73" i="23"/>
  <c r="T73" i="23" s="1"/>
  <c r="N16" i="23"/>
  <c r="Q92" i="23"/>
  <c r="T92" i="23" s="1"/>
  <c r="N9" i="23"/>
  <c r="Q99" i="23"/>
  <c r="T99" i="23" s="1"/>
  <c r="Q28" i="23"/>
  <c r="T28" i="23" s="1"/>
  <c r="Q36" i="23"/>
  <c r="T36" i="23" s="1"/>
  <c r="Q20" i="23"/>
  <c r="T20" i="23" s="1"/>
  <c r="Q11" i="23"/>
  <c r="T11" i="23" s="1"/>
  <c r="N14" i="23"/>
  <c r="Q70" i="23"/>
  <c r="T70" i="23" s="1"/>
  <c r="Q48" i="23"/>
  <c r="T48" i="23" s="1"/>
  <c r="Q10" i="23"/>
  <c r="T10" i="23" s="1"/>
  <c r="Q19" i="23"/>
  <c r="T19" i="23" s="1"/>
  <c r="N4" i="23"/>
  <c r="Q22" i="23"/>
  <c r="T22" i="23" s="1"/>
  <c r="Q66" i="23"/>
  <c r="T66" i="23" s="1"/>
  <c r="N12" i="23"/>
  <c r="Q4" i="23"/>
  <c r="T4" i="23" s="1"/>
  <c r="Q101" i="23"/>
  <c r="T101" i="23" s="1"/>
  <c r="Q87" i="23"/>
  <c r="T87" i="23" s="1"/>
  <c r="Q30" i="23"/>
  <c r="T30" i="23" s="1"/>
  <c r="Q86" i="23"/>
  <c r="T86" i="23" s="1"/>
  <c r="Q72" i="23"/>
  <c r="T72" i="23" s="1"/>
  <c r="Q52" i="23"/>
  <c r="T52" i="23" s="1"/>
  <c r="Q89" i="23"/>
  <c r="T89" i="23" s="1"/>
  <c r="Q85" i="23"/>
  <c r="T85" i="23" s="1"/>
  <c r="Q7" i="23"/>
  <c r="T7" i="23" s="1"/>
  <c r="Q42" i="23"/>
  <c r="T42" i="23" s="1"/>
  <c r="Q71" i="23"/>
  <c r="T71" i="23" s="1"/>
  <c r="Q63" i="23"/>
  <c r="T63" i="23" s="1"/>
  <c r="Q44" i="23"/>
  <c r="T44" i="23" s="1"/>
  <c r="Q35" i="23"/>
  <c r="T35" i="23" s="1"/>
  <c r="Q21" i="23"/>
  <c r="T21" i="23" s="1"/>
  <c r="N5" i="23"/>
  <c r="Q102" i="23"/>
  <c r="T102" i="23" s="1"/>
  <c r="Q75" i="23"/>
  <c r="T75" i="23" s="1"/>
  <c r="Q80" i="23"/>
  <c r="T80" i="23" s="1"/>
  <c r="N13" i="23"/>
  <c r="Q64" i="23"/>
  <c r="T64" i="23" s="1"/>
  <c r="Q96" i="23"/>
  <c r="T96" i="23" s="1"/>
  <c r="I29" i="23"/>
  <c r="Q43" i="23"/>
  <c r="T43" i="23" s="1"/>
  <c r="N2" i="23"/>
  <c r="Q51" i="23"/>
  <c r="T51" i="23" s="1"/>
  <c r="Q16" i="23"/>
  <c r="T16" i="23" s="1"/>
  <c r="Q34" i="23"/>
  <c r="T34" i="23" s="1"/>
  <c r="Q60" i="23"/>
  <c r="T60" i="23" s="1"/>
  <c r="Q78" i="23"/>
  <c r="T78" i="23" s="1"/>
  <c r="Q45" i="23"/>
  <c r="T45" i="23" s="1"/>
  <c r="Q23" i="23"/>
  <c r="T23" i="23" s="1"/>
  <c r="Q25" i="23"/>
  <c r="T25" i="23" s="1"/>
  <c r="Q6" i="23"/>
  <c r="T6" i="23" s="1"/>
  <c r="Q56" i="23"/>
  <c r="T56" i="23" s="1"/>
  <c r="Q15" i="23"/>
  <c r="T15" i="23" s="1"/>
  <c r="K23" i="23"/>
  <c r="L23" i="23" s="1"/>
  <c r="I25" i="23"/>
  <c r="I17" i="23"/>
  <c r="I18" i="23"/>
  <c r="K13" i="23" l="1"/>
  <c r="S22" i="23"/>
  <c r="X22" i="23" s="1"/>
  <c r="R22" i="23"/>
  <c r="V22" i="23" s="1"/>
  <c r="S2" i="23"/>
  <c r="X2" i="23" s="1"/>
  <c r="R2" i="23"/>
  <c r="V2" i="23" s="1"/>
  <c r="R21" i="23"/>
  <c r="V21" i="23" s="1"/>
  <c r="S21" i="23"/>
  <c r="X21" i="23" s="1"/>
  <c r="S45" i="23"/>
  <c r="X45" i="23" s="1"/>
  <c r="R45" i="23"/>
  <c r="V45" i="23" s="1"/>
  <c r="R68" i="23"/>
  <c r="V68" i="23" s="1"/>
  <c r="S68" i="23"/>
  <c r="X68" i="23" s="1"/>
  <c r="R84" i="23"/>
  <c r="V84" i="23" s="1"/>
  <c r="S84" i="23"/>
  <c r="X84" i="23" s="1"/>
  <c r="J18" i="23"/>
  <c r="K18" i="23"/>
  <c r="S15" i="23"/>
  <c r="X15" i="23" s="1"/>
  <c r="R15" i="23"/>
  <c r="V15" i="23" s="1"/>
  <c r="R89" i="23"/>
  <c r="V89" i="23" s="1"/>
  <c r="S89" i="23"/>
  <c r="X89" i="23" s="1"/>
  <c r="S79" i="23"/>
  <c r="X79" i="23" s="1"/>
  <c r="R79" i="23"/>
  <c r="V79" i="23" s="1"/>
  <c r="R47" i="23"/>
  <c r="V47" i="23" s="1"/>
  <c r="S47" i="23"/>
  <c r="X47" i="23" s="1"/>
  <c r="S53" i="23"/>
  <c r="X53" i="23" s="1"/>
  <c r="R53" i="23"/>
  <c r="V53" i="23" s="1"/>
  <c r="R13" i="23"/>
  <c r="V13" i="23" s="1"/>
  <c r="S13" i="23"/>
  <c r="X13" i="23" s="1"/>
  <c r="S87" i="23"/>
  <c r="X87" i="23" s="1"/>
  <c r="R87" i="23"/>
  <c r="V87" i="23" s="1"/>
  <c r="R59" i="23"/>
  <c r="V59" i="23" s="1"/>
  <c r="S59" i="23"/>
  <c r="X59" i="23" s="1"/>
  <c r="S16" i="23"/>
  <c r="X16" i="23" s="1"/>
  <c r="R16" i="23"/>
  <c r="V16" i="23" s="1"/>
  <c r="R11" i="23"/>
  <c r="V11" i="23" s="1"/>
  <c r="S11" i="23"/>
  <c r="X11" i="23" s="1"/>
  <c r="S54" i="23"/>
  <c r="X54" i="23" s="1"/>
  <c r="R54" i="23"/>
  <c r="V54" i="23" s="1"/>
  <c r="R20" i="23"/>
  <c r="V20" i="23" s="1"/>
  <c r="S20" i="23"/>
  <c r="X20" i="23" s="1"/>
  <c r="S65" i="23"/>
  <c r="X65" i="23" s="1"/>
  <c r="R65" i="23"/>
  <c r="V65" i="23" s="1"/>
  <c r="S38" i="23"/>
  <c r="X38" i="23" s="1"/>
  <c r="R38" i="23"/>
  <c r="V38" i="23" s="1"/>
  <c r="R40" i="23"/>
  <c r="V40" i="23" s="1"/>
  <c r="S40" i="23"/>
  <c r="X40" i="23" s="1"/>
  <c r="R73" i="23"/>
  <c r="V73" i="23" s="1"/>
  <c r="S73" i="23"/>
  <c r="X73" i="23" s="1"/>
  <c r="S62" i="23"/>
  <c r="X62" i="23" s="1"/>
  <c r="R62" i="23"/>
  <c r="V62" i="23" s="1"/>
  <c r="S31" i="23"/>
  <c r="X31" i="23" s="1"/>
  <c r="R31" i="23"/>
  <c r="V31" i="23" s="1"/>
  <c r="R61" i="23"/>
  <c r="V61" i="23" s="1"/>
  <c r="S61" i="23"/>
  <c r="X61" i="23" s="1"/>
  <c r="S90" i="23"/>
  <c r="X90" i="23" s="1"/>
  <c r="R90" i="23"/>
  <c r="V90" i="23" s="1"/>
  <c r="R48" i="23"/>
  <c r="V48" i="23" s="1"/>
  <c r="S48" i="23"/>
  <c r="X48" i="23" s="1"/>
  <c r="S75" i="23"/>
  <c r="X75" i="23" s="1"/>
  <c r="R75" i="23"/>
  <c r="V75" i="23" s="1"/>
  <c r="S37" i="23"/>
  <c r="X37" i="23" s="1"/>
  <c r="R37" i="23"/>
  <c r="V37" i="23" s="1"/>
  <c r="R19" i="23"/>
  <c r="V19" i="23" s="1"/>
  <c r="S19" i="23"/>
  <c r="X19" i="23" s="1"/>
  <c r="R27" i="23"/>
  <c r="V27" i="23" s="1"/>
  <c r="S27" i="23"/>
  <c r="X27" i="23" s="1"/>
  <c r="S42" i="23"/>
  <c r="X42" i="23" s="1"/>
  <c r="R42" i="23"/>
  <c r="V42" i="23" s="1"/>
  <c r="S55" i="23"/>
  <c r="X55" i="23" s="1"/>
  <c r="R55" i="23"/>
  <c r="V55" i="23" s="1"/>
  <c r="S66" i="23"/>
  <c r="X66" i="23" s="1"/>
  <c r="R66" i="23"/>
  <c r="V66" i="23" s="1"/>
  <c r="R23" i="23"/>
  <c r="V23" i="23" s="1"/>
  <c r="S23" i="23"/>
  <c r="X23" i="23" s="1"/>
  <c r="S9" i="23"/>
  <c r="X9" i="23" s="1"/>
  <c r="R9" i="23"/>
  <c r="V9" i="23" s="1"/>
  <c r="R95" i="23"/>
  <c r="V95" i="23" s="1"/>
  <c r="S95" i="23"/>
  <c r="X95" i="23" s="1"/>
  <c r="S100" i="23"/>
  <c r="X100" i="23" s="1"/>
  <c r="R100" i="23"/>
  <c r="V100" i="23" s="1"/>
  <c r="R36" i="23"/>
  <c r="V36" i="23" s="1"/>
  <c r="S36" i="23"/>
  <c r="X36" i="23" s="1"/>
  <c r="R96" i="23"/>
  <c r="V96" i="23" s="1"/>
  <c r="S96" i="23"/>
  <c r="X96" i="23" s="1"/>
  <c r="S81" i="23"/>
  <c r="X81" i="23" s="1"/>
  <c r="R81" i="23"/>
  <c r="V81" i="23" s="1"/>
  <c r="R63" i="23"/>
  <c r="V63" i="23" s="1"/>
  <c r="S63" i="23"/>
  <c r="X63" i="23" s="1"/>
  <c r="S102" i="23"/>
  <c r="X102" i="23" s="1"/>
  <c r="R102" i="23"/>
  <c r="V102" i="23" s="1"/>
  <c r="S4" i="23"/>
  <c r="X4" i="23" s="1"/>
  <c r="R4" i="23"/>
  <c r="V4" i="23" s="1"/>
  <c r="S69" i="23"/>
  <c r="X69" i="23" s="1"/>
  <c r="R69" i="23"/>
  <c r="V69" i="23" s="1"/>
  <c r="R71" i="23"/>
  <c r="V71" i="23" s="1"/>
  <c r="S71" i="23"/>
  <c r="X71" i="23" s="1"/>
  <c r="S29" i="23"/>
  <c r="X29" i="23" s="1"/>
  <c r="R29" i="23"/>
  <c r="V29" i="23" s="1"/>
  <c r="S28" i="23"/>
  <c r="X28" i="23" s="1"/>
  <c r="R28" i="23"/>
  <c r="V28" i="23" s="1"/>
  <c r="S56" i="23"/>
  <c r="X56" i="23" s="1"/>
  <c r="R56" i="23"/>
  <c r="V56" i="23" s="1"/>
  <c r="R5" i="23"/>
  <c r="V5" i="23" s="1"/>
  <c r="S5" i="23"/>
  <c r="X5" i="23" s="1"/>
  <c r="R39" i="23"/>
  <c r="V39" i="23" s="1"/>
  <c r="S39" i="23"/>
  <c r="X39" i="23" s="1"/>
  <c r="R6" i="23"/>
  <c r="V6" i="23" s="1"/>
  <c r="S6" i="23"/>
  <c r="X6" i="23" s="1"/>
  <c r="R86" i="23"/>
  <c r="V86" i="23" s="1"/>
  <c r="S86" i="23"/>
  <c r="X86" i="23" s="1"/>
  <c r="R92" i="23"/>
  <c r="V92" i="23" s="1"/>
  <c r="S92" i="23"/>
  <c r="X92" i="23" s="1"/>
  <c r="R8" i="23"/>
  <c r="V8" i="23" s="1"/>
  <c r="S8" i="23"/>
  <c r="X8" i="23" s="1"/>
  <c r="R76" i="23"/>
  <c r="V76" i="23" s="1"/>
  <c r="S76" i="23"/>
  <c r="X76" i="23" s="1"/>
  <c r="R25" i="23"/>
  <c r="V25" i="23" s="1"/>
  <c r="S25" i="23"/>
  <c r="X25" i="23" s="1"/>
  <c r="S46" i="23"/>
  <c r="X46" i="23" s="1"/>
  <c r="R46" i="23"/>
  <c r="V46" i="23" s="1"/>
  <c r="R33" i="23"/>
  <c r="V33" i="23" s="1"/>
  <c r="S33" i="23"/>
  <c r="X33" i="23" s="1"/>
  <c r="R74" i="23"/>
  <c r="V74" i="23" s="1"/>
  <c r="S74" i="23"/>
  <c r="X74" i="23" s="1"/>
  <c r="S80" i="23"/>
  <c r="X80" i="23" s="1"/>
  <c r="R80" i="23"/>
  <c r="V80" i="23" s="1"/>
  <c r="S64" i="23"/>
  <c r="X64" i="23" s="1"/>
  <c r="R64" i="23"/>
  <c r="V64" i="23" s="1"/>
  <c r="R97" i="23"/>
  <c r="V97" i="23" s="1"/>
  <c r="S97" i="23"/>
  <c r="X97" i="23" s="1"/>
  <c r="S49" i="23"/>
  <c r="X49" i="23" s="1"/>
  <c r="R49" i="23"/>
  <c r="V49" i="23" s="1"/>
  <c r="S10" i="23"/>
  <c r="X10" i="23" s="1"/>
  <c r="R10" i="23"/>
  <c r="V10" i="23" s="1"/>
  <c r="R7" i="23"/>
  <c r="V7" i="23" s="1"/>
  <c r="S7" i="23"/>
  <c r="X7" i="23" s="1"/>
  <c r="R57" i="23"/>
  <c r="V57" i="23" s="1"/>
  <c r="S57" i="23"/>
  <c r="X57" i="23" s="1"/>
  <c r="S72" i="23"/>
  <c r="X72" i="23" s="1"/>
  <c r="R72" i="23"/>
  <c r="V72" i="23" s="1"/>
  <c r="S101" i="23"/>
  <c r="X101" i="23" s="1"/>
  <c r="R101" i="23"/>
  <c r="V101" i="23" s="1"/>
  <c r="R52" i="23"/>
  <c r="V52" i="23" s="1"/>
  <c r="S52" i="23"/>
  <c r="X52" i="23" s="1"/>
  <c r="R35" i="23"/>
  <c r="V35" i="23" s="1"/>
  <c r="S35" i="23"/>
  <c r="X35" i="23" s="1"/>
  <c r="R91" i="23"/>
  <c r="V91" i="23" s="1"/>
  <c r="S91" i="23"/>
  <c r="X91" i="23" s="1"/>
  <c r="R14" i="23"/>
  <c r="V14" i="23" s="1"/>
  <c r="S14" i="23"/>
  <c r="X14" i="23" s="1"/>
  <c r="S67" i="23"/>
  <c r="X67" i="23" s="1"/>
  <c r="R67" i="23"/>
  <c r="V67" i="23" s="1"/>
  <c r="R88" i="23"/>
  <c r="V88" i="23" s="1"/>
  <c r="S88" i="23"/>
  <c r="X88" i="23" s="1"/>
  <c r="R32" i="23"/>
  <c r="V32" i="23" s="1"/>
  <c r="S32" i="23"/>
  <c r="X32" i="23" s="1"/>
  <c r="R24" i="23"/>
  <c r="V24" i="23" s="1"/>
  <c r="S24" i="23"/>
  <c r="X24" i="23" s="1"/>
  <c r="R70" i="23"/>
  <c r="V70" i="23" s="1"/>
  <c r="S70" i="23"/>
  <c r="X70" i="23" s="1"/>
  <c r="S98" i="23"/>
  <c r="X98" i="23" s="1"/>
  <c r="R98" i="23"/>
  <c r="V98" i="23" s="1"/>
  <c r="S18" i="23"/>
  <c r="X18" i="23" s="1"/>
  <c r="R18" i="23"/>
  <c r="V18" i="23" s="1"/>
  <c r="S30" i="23"/>
  <c r="X30" i="23" s="1"/>
  <c r="R30" i="23"/>
  <c r="V30" i="23" s="1"/>
  <c r="R99" i="23"/>
  <c r="V99" i="23" s="1"/>
  <c r="S99" i="23"/>
  <c r="X99" i="23" s="1"/>
  <c r="R93" i="23"/>
  <c r="V93" i="23" s="1"/>
  <c r="S93" i="23"/>
  <c r="X93" i="23" s="1"/>
  <c r="R26" i="23"/>
  <c r="V26" i="23" s="1"/>
  <c r="S26" i="23"/>
  <c r="X26" i="23" s="1"/>
  <c r="S94" i="23"/>
  <c r="X94" i="23" s="1"/>
  <c r="R94" i="23"/>
  <c r="V94" i="23" s="1"/>
  <c r="S82" i="23"/>
  <c r="X82" i="23" s="1"/>
  <c r="R82" i="23"/>
  <c r="V82" i="23" s="1"/>
  <c r="S51" i="23"/>
  <c r="X51" i="23" s="1"/>
  <c r="R51" i="23"/>
  <c r="V51" i="23" s="1"/>
  <c r="S77" i="23"/>
  <c r="X77" i="23" s="1"/>
  <c r="R77" i="23"/>
  <c r="V77" i="23" s="1"/>
  <c r="S3" i="23"/>
  <c r="X3" i="23" s="1"/>
  <c r="R3" i="23"/>
  <c r="V3" i="23" s="1"/>
  <c r="R41" i="23"/>
  <c r="V41" i="23" s="1"/>
  <c r="S41" i="23"/>
  <c r="X41" i="23" s="1"/>
  <c r="S83" i="23"/>
  <c r="X83" i="23" s="1"/>
  <c r="R83" i="23"/>
  <c r="V83" i="23" s="1"/>
  <c r="S43" i="23"/>
  <c r="X43" i="23" s="1"/>
  <c r="R43" i="23"/>
  <c r="V43" i="23" s="1"/>
  <c r="R78" i="23"/>
  <c r="V78" i="23" s="1"/>
  <c r="S78" i="23"/>
  <c r="X78" i="23" s="1"/>
  <c r="R50" i="23"/>
  <c r="V50" i="23" s="1"/>
  <c r="S50" i="23"/>
  <c r="X50" i="23" s="1"/>
  <c r="S17" i="23"/>
  <c r="X17" i="23" s="1"/>
  <c r="R17" i="23"/>
  <c r="V17" i="23" s="1"/>
  <c r="R34" i="23"/>
  <c r="V34" i="23" s="1"/>
  <c r="S34" i="23"/>
  <c r="X34" i="23" s="1"/>
  <c r="S44" i="23"/>
  <c r="X44" i="23" s="1"/>
  <c r="R44" i="23"/>
  <c r="V44" i="23" s="1"/>
  <c r="K17" i="23"/>
  <c r="J17" i="23"/>
  <c r="S60" i="23"/>
  <c r="X60" i="23" s="1"/>
  <c r="R60" i="23"/>
  <c r="V60" i="23" s="1"/>
  <c r="S85" i="23"/>
  <c r="X85" i="23" s="1"/>
  <c r="R85" i="23"/>
  <c r="V85" i="23" s="1"/>
  <c r="S12" i="23"/>
  <c r="X12" i="23" s="1"/>
  <c r="R12" i="23"/>
  <c r="V12" i="23" s="1"/>
  <c r="S58" i="23"/>
  <c r="X58" i="23" s="1"/>
  <c r="R58" i="23"/>
  <c r="V58" i="23" s="1"/>
</calcChain>
</file>

<file path=xl/sharedStrings.xml><?xml version="1.0" encoding="utf-8"?>
<sst xmlns="http://schemas.openxmlformats.org/spreadsheetml/2006/main" count="369" uniqueCount="159">
  <si>
    <t>Plader:</t>
  </si>
  <si>
    <t>R=</t>
  </si>
  <si>
    <t>Specimen</t>
  </si>
  <si>
    <t>Width</t>
  </si>
  <si>
    <t>Thickness</t>
  </si>
  <si>
    <t>Strain Range</t>
  </si>
  <si>
    <t>Max load</t>
  </si>
  <si>
    <t>Amplitude</t>
  </si>
  <si>
    <t>Frequency</t>
  </si>
  <si>
    <t>Cycles to failure</t>
  </si>
  <si>
    <t>Comments</t>
  </si>
  <si>
    <t>#</t>
  </si>
  <si>
    <t>(mm)</t>
  </si>
  <si>
    <t>(%)</t>
  </si>
  <si>
    <t>(MPa)</t>
  </si>
  <si>
    <t>(kN)</t>
  </si>
  <si>
    <t>(Hz)</t>
  </si>
  <si>
    <t>Area</t>
  </si>
  <si>
    <t>Date</t>
  </si>
  <si>
    <t>Min Load</t>
  </si>
  <si>
    <t>Abs Max strain</t>
  </si>
  <si>
    <t>(mm2)</t>
  </si>
  <si>
    <t>Peak stress</t>
  </si>
  <si>
    <t>Max strain</t>
  </si>
  <si>
    <t>Prøvemaskine</t>
  </si>
  <si>
    <t>(GPa)</t>
  </si>
  <si>
    <t>Modtaget</t>
  </si>
  <si>
    <t>SN Points</t>
  </si>
  <si>
    <t>X</t>
  </si>
  <si>
    <t>Y</t>
  </si>
  <si>
    <t>X^2</t>
  </si>
  <si>
    <t>Y^2</t>
  </si>
  <si>
    <t>X*Y</t>
  </si>
  <si>
    <t>N</t>
  </si>
  <si>
    <t>YHAT</t>
  </si>
  <si>
    <t>Xconfi</t>
  </si>
  <si>
    <t>Yavg</t>
  </si>
  <si>
    <t>Y1</t>
  </si>
  <si>
    <t>Y2</t>
  </si>
  <si>
    <t>SN-line</t>
  </si>
  <si>
    <t>Lower conf</t>
  </si>
  <si>
    <t>Upper Conf</t>
  </si>
  <si>
    <t>SUMMARY OUTPUT</t>
  </si>
  <si>
    <t>SUMX</t>
  </si>
  <si>
    <t>SUMY</t>
  </si>
  <si>
    <t>Regression Statistics</t>
  </si>
  <si>
    <t>SUMXX</t>
  </si>
  <si>
    <t>Multiple R</t>
  </si>
  <si>
    <t>SUMYY</t>
  </si>
  <si>
    <t>R Square</t>
  </si>
  <si>
    <t>SUMXY</t>
  </si>
  <si>
    <t>Adjusted R Square</t>
  </si>
  <si>
    <t>SAKX</t>
  </si>
  <si>
    <t>Standard Error</t>
  </si>
  <si>
    <t>Observations</t>
  </si>
  <si>
    <t>SAPXY</t>
  </si>
  <si>
    <t>XMEAN</t>
  </si>
  <si>
    <t>ANOVA</t>
  </si>
  <si>
    <t>YMEAN</t>
  </si>
  <si>
    <t>df</t>
  </si>
  <si>
    <t>SS</t>
  </si>
  <si>
    <t>MS</t>
  </si>
  <si>
    <t>F</t>
  </si>
  <si>
    <t>Significance F</t>
  </si>
  <si>
    <t>A1</t>
  </si>
  <si>
    <t>Regression</t>
  </si>
  <si>
    <t>A0</t>
  </si>
  <si>
    <t>Residual</t>
  </si>
  <si>
    <t>R2</t>
  </si>
  <si>
    <t>Total</t>
  </si>
  <si>
    <t>T-VALUE</t>
  </si>
  <si>
    <t>F-VALUE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</si>
  <si>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</si>
  <si>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</si>
  <si>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</si>
  <si>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</si>
  <si>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</si>
  <si>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</si>
  <si>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</si>
  <si>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CONFIA1</t>
  </si>
  <si>
    <t>Intercept</t>
  </si>
  <si>
    <t>CONFIA0</t>
  </si>
  <si>
    <t>X Variable 1</t>
  </si>
  <si>
    <t>Xmin</t>
  </si>
  <si>
    <t>Xmax</t>
  </si>
  <si>
    <t>Variansanalysetabel</t>
  </si>
  <si>
    <t>SAK</t>
  </si>
  <si>
    <t xml:space="preserve">f </t>
  </si>
  <si>
    <t>RESIDUAL OUTPUT</t>
  </si>
  <si>
    <t>Regress</t>
  </si>
  <si>
    <t>Observation</t>
  </si>
  <si>
    <t>Predicted Y</t>
  </si>
  <si>
    <t>Residuals</t>
  </si>
  <si>
    <t>Standard Residuals</t>
  </si>
  <si>
    <t>N =</t>
  </si>
  <si>
    <t>*</t>
  </si>
  <si>
    <t>S^</t>
  </si>
  <si>
    <t>TVALUE</t>
  </si>
  <si>
    <t>FVALUE</t>
  </si>
  <si>
    <t>dato</t>
  </si>
  <si>
    <t xml:space="preserve">emner </t>
  </si>
  <si>
    <t>Max Strain</t>
  </si>
  <si>
    <t>Max Stress</t>
  </si>
  <si>
    <t>Med tabs</t>
  </si>
  <si>
    <t>Frekvens</t>
  </si>
  <si>
    <t>5 Hz</t>
  </si>
  <si>
    <t>E-mod 1. load</t>
  </si>
  <si>
    <t>E-mod. 2. load</t>
  </si>
  <si>
    <t>Cycles</t>
  </si>
  <si>
    <t>SN-Curve</t>
  </si>
  <si>
    <t>Astm Stat</t>
  </si>
  <si>
    <r>
      <t>(mm</t>
    </r>
    <r>
      <rPr>
        <vertAlign val="superscript"/>
        <sz val="9"/>
        <rFont val="Calibri"/>
        <family val="2"/>
        <scheme val="minor"/>
      </rPr>
      <t>2</t>
    </r>
    <r>
      <rPr>
        <sz val="9"/>
        <rFont val="Calibri"/>
        <family val="2"/>
        <scheme val="minor"/>
      </rPr>
      <t>)</t>
    </r>
  </si>
  <si>
    <t>E-mod 1</t>
  </si>
  <si>
    <t>E-mod 2</t>
  </si>
  <si>
    <t>Ini Emod</t>
  </si>
  <si>
    <t>E-mod</t>
  </si>
  <si>
    <t>Mean Load</t>
  </si>
  <si>
    <t>From Ten and Fat Datafiles</t>
  </si>
  <si>
    <r>
      <t>SAKY (SAK</t>
    </r>
    <r>
      <rPr>
        <vertAlign val="subscript"/>
        <sz val="10"/>
        <rFont val="Calibri"/>
        <family val="2"/>
        <scheme val="minor"/>
      </rPr>
      <t>total</t>
    </r>
    <r>
      <rPr>
        <sz val="10"/>
        <rFont val="Calibri"/>
        <family val="2"/>
        <scheme val="minor"/>
      </rPr>
      <t>)</t>
    </r>
  </si>
  <si>
    <r>
      <t>S</t>
    </r>
    <r>
      <rPr>
        <vertAlign val="superscript"/>
        <sz val="10"/>
        <rFont val="Calibri"/>
        <family val="2"/>
        <scheme val="minor"/>
      </rPr>
      <t>2</t>
    </r>
  </si>
  <si>
    <t>Bending ratio</t>
  </si>
  <si>
    <t>|E1+E2|/|E1+E2|</t>
  </si>
  <si>
    <t>From Ten-files</t>
  </si>
  <si>
    <t>Matlab "DataAnalysis"</t>
  </si>
  <si>
    <t>Spec.</t>
  </si>
  <si>
    <t>Modulus a [GPa]:</t>
  </si>
  <si>
    <t>Modulus b [GPa]:</t>
  </si>
  <si>
    <t>Modulus a1 [GPa]:</t>
  </si>
  <si>
    <t>Modulus b1 [GPa]:</t>
  </si>
  <si>
    <t>Modulus a2 [GPa]:</t>
  </si>
  <si>
    <t>Modulus b2 [GPa]:</t>
  </si>
  <si>
    <t>Geometri:</t>
  </si>
  <si>
    <t>prj nummer</t>
  </si>
  <si>
    <t>Udmattelse</t>
  </si>
  <si>
    <t>From Matlab Script Fatigue4.m</t>
  </si>
  <si>
    <t>Width 
 [mm]</t>
  </si>
  <si>
    <t>Thickness 
 [mm]</t>
  </si>
  <si>
    <t>E-mod. change 
 [%]</t>
  </si>
  <si>
    <t>E-mod. 
 [GPa]</t>
  </si>
  <si>
    <t>Bending</t>
  </si>
  <si>
    <t>Freq. 
 [Hz]</t>
  </si>
  <si>
    <t>R</t>
  </si>
  <si>
    <t>Peak strain 
 [%]</t>
  </si>
  <si>
    <t>Strain range 
 [%]</t>
  </si>
  <si>
    <t>Peak stress 
 [MPa]</t>
  </si>
  <si>
    <t>C</t>
  </si>
  <si>
    <t>m</t>
  </si>
  <si>
    <t>44584-??</t>
  </si>
  <si>
    <t>EQA03</t>
  </si>
  <si>
    <t>88R8033</t>
  </si>
  <si>
    <t>88R1332</t>
  </si>
  <si>
    <t>88R1342</t>
  </si>
  <si>
    <t>88R8501</t>
  </si>
  <si>
    <t>36 grader ved 3 HZ</t>
  </si>
  <si>
    <t>Statisk</t>
  </si>
  <si>
    <t>2 m.m./min.</t>
  </si>
  <si>
    <t>88R1331</t>
  </si>
  <si>
    <t>O.K.</t>
  </si>
  <si>
    <t>run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</si>
</sst>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 * #,##0.00_ ;_ * \-#,##0.00_ ;_ * &quot;-&quot;??_ ;_ @_ "/>
    <numFmt numFmtId="164" formatCode="0.0"/>
    <numFmt numFmtId="165" formatCode="d/mmm/yy"/>
    <numFmt numFmtId="166" formatCode="0.000"/>
    <numFmt numFmtId="167" formatCode="0.0000"/>
    <numFmt numFmtId="168" formatCode="0.000000"/>
    <numFmt numFmtId="169" formatCode="0.00000"/>
    <numFmt numFmtId="170" formatCode="_ * #,##0_ ;_ * \-#,##0_ ;_ * &quot;-&quot;??_ ;_ @_ "/>
    <numFmt numFmtId="171" formatCode="0.000E+00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9"/>
      <name val="Calibri"/>
      <family val="2"/>
      <scheme val="minor"/>
    </font>
    <font>
      <sz val="14"/>
      <name val="Calibri"/>
      <family val="2"/>
      <scheme val="minor"/>
    </font>
    <font>
      <sz val="12"/>
      <color indexed="10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i/>
      <sz val="12"/>
      <name val="Calibri"/>
      <family val="2"/>
      <scheme val="minor"/>
    </font>
    <font>
      <sz val="10"/>
      <color indexed="10"/>
      <name val="Calibri"/>
      <family val="2"/>
      <scheme val="minor"/>
    </font>
    <font>
      <sz val="8"/>
      <name val="Calibri"/>
      <family val="2"/>
      <scheme val="minor"/>
    </font>
    <font>
      <sz val="12"/>
      <color indexed="9"/>
      <name val="Calibri"/>
      <family val="2"/>
      <scheme val="minor"/>
    </font>
    <font>
      <sz val="10"/>
      <color indexed="9"/>
      <name val="Calibri"/>
      <family val="2"/>
      <scheme val="minor"/>
    </font>
    <font>
      <sz val="14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vertAlign val="superscript"/>
      <sz val="9"/>
      <name val="Calibri"/>
      <family val="2"/>
      <scheme val="minor"/>
    </font>
    <font>
      <b/>
      <i/>
      <sz val="10"/>
      <name val="Calibri"/>
      <family val="2"/>
      <scheme val="minor"/>
    </font>
    <font>
      <i/>
      <sz val="10"/>
      <name val="Calibri"/>
      <family val="2"/>
      <scheme val="minor"/>
    </font>
    <font>
      <vertAlign val="subscript"/>
      <sz val="10"/>
      <name val="Calibri"/>
      <family val="2"/>
      <scheme val="minor"/>
    </font>
    <font>
      <vertAlign val="superscript"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gray125">
        <bgColor rgb="FFFFFF00"/>
      </patternFill>
    </fill>
    <fill>
      <patternFill patternType="solid">
        <fgColor theme="9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230">
    <xf numFmtId="0" fontId="0" fillId="0" borderId="0" xfId="0"/>
    <xf numFmtId="0" fontId="0" fillId="0" borderId="0" xfId="0" applyBorder="1"/>
    <xf numFmtId="0" fontId="4" fillId="0" borderId="0" xfId="0" applyFont="1"/>
    <xf numFmtId="0" fontId="5" fillId="0" borderId="0" xfId="0" applyFont="1"/>
    <xf numFmtId="0" fontId="4" fillId="0" borderId="2" xfId="0" quotePrefix="1" applyFont="1" applyBorder="1" applyAlignment="1">
      <alignment horizontal="center"/>
    </xf>
    <xf numFmtId="0" fontId="4" fillId="0" borderId="5" xfId="0" quotePrefix="1" applyFont="1" applyBorder="1" applyAlignment="1">
      <alignment horizontal="center"/>
    </xf>
    <xf numFmtId="2" fontId="4" fillId="0" borderId="6" xfId="0" quotePrefix="1" applyNumberFormat="1" applyFont="1" applyBorder="1" applyAlignment="1">
      <alignment horizontal="right"/>
    </xf>
    <xf numFmtId="0" fontId="4" fillId="0" borderId="3" xfId="0" quotePrefix="1" applyFont="1" applyBorder="1" applyAlignment="1">
      <alignment horizontal="right"/>
    </xf>
    <xf numFmtId="2" fontId="4" fillId="0" borderId="3" xfId="0" quotePrefix="1" applyNumberFormat="1" applyFont="1" applyBorder="1" applyAlignment="1">
      <alignment horizontal="right"/>
    </xf>
    <xf numFmtId="1" fontId="4" fillId="0" borderId="3" xfId="0" quotePrefix="1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15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14" fontId="6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7" xfId="0" applyFont="1" applyBorder="1" applyAlignment="1">
      <alignment horizontal="center"/>
    </xf>
    <xf numFmtId="0" fontId="6" fillId="0" borderId="8" xfId="0" applyFont="1" applyBorder="1"/>
    <xf numFmtId="2" fontId="6" fillId="0" borderId="15" xfId="0" applyNumberFormat="1" applyFont="1" applyBorder="1" applyAlignment="1">
      <alignment horizontal="center"/>
    </xf>
    <xf numFmtId="2" fontId="7" fillId="0" borderId="15" xfId="0" applyNumberFormat="1" applyFont="1" applyBorder="1" applyAlignment="1">
      <alignment horizontal="center"/>
    </xf>
    <xf numFmtId="2" fontId="6" fillId="0" borderId="15" xfId="0" applyNumberFormat="1" applyFont="1" applyFill="1" applyBorder="1" applyAlignment="1">
      <alignment horizontal="center"/>
    </xf>
    <xf numFmtId="16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70" fontId="6" fillId="0" borderId="15" xfId="1" applyNumberFormat="1" applyFont="1" applyFill="1" applyBorder="1"/>
    <xf numFmtId="0" fontId="6" fillId="0" borderId="17" xfId="0" applyFont="1" applyBorder="1"/>
    <xf numFmtId="2" fontId="6" fillId="0" borderId="13" xfId="0" applyNumberFormat="1" applyFont="1" applyFill="1" applyBorder="1" applyAlignment="1">
      <alignment horizontal="center"/>
    </xf>
    <xf numFmtId="16" fontId="6" fillId="0" borderId="0" xfId="0" applyNumberFormat="1" applyFont="1" applyAlignment="1">
      <alignment horizontal="right"/>
    </xf>
    <xf numFmtId="2" fontId="6" fillId="0" borderId="0" xfId="0" quotePrefix="1" applyNumberFormat="1" applyFont="1" applyAlignment="1">
      <alignment horizontal="centerContinuous"/>
    </xf>
    <xf numFmtId="0" fontId="6" fillId="0" borderId="30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32" xfId="0" applyFont="1" applyBorder="1"/>
    <xf numFmtId="0" fontId="7" fillId="0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2" fontId="7" fillId="0" borderId="15" xfId="0" applyNumberFormat="1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2" fontId="7" fillId="0" borderId="13" xfId="0" applyNumberFormat="1" applyFont="1" applyFill="1" applyBorder="1" applyAlignment="1">
      <alignment horizontal="center"/>
    </xf>
    <xf numFmtId="15" fontId="6" fillId="1" borderId="0" xfId="0" quotePrefix="1" applyNumberFormat="1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2" fontId="6" fillId="1" borderId="0" xfId="0" applyNumberFormat="1" applyFont="1" applyFill="1" applyBorder="1" applyAlignment="1">
      <alignment horizontal="center"/>
    </xf>
    <xf numFmtId="2" fontId="7" fillId="1" borderId="0" xfId="0" applyNumberFormat="1" applyFont="1" applyFill="1" applyBorder="1" applyAlignment="1">
      <alignment horizontal="center"/>
    </xf>
    <xf numFmtId="170" fontId="6" fillId="1" borderId="0" xfId="1" applyNumberFormat="1" applyFont="1" applyFill="1" applyBorder="1"/>
    <xf numFmtId="0" fontId="7" fillId="1" borderId="0" xfId="0" applyFont="1" applyFill="1" applyBorder="1" applyAlignment="1">
      <alignment horizontal="center"/>
    </xf>
    <xf numFmtId="170" fontId="8" fillId="0" borderId="15" xfId="1" applyNumberFormat="1" applyFont="1" applyBorder="1" applyAlignment="1">
      <alignment horizontal="center"/>
    </xf>
    <xf numFmtId="0" fontId="10" fillId="0" borderId="0" xfId="0" applyFont="1"/>
    <xf numFmtId="0" fontId="12" fillId="0" borderId="0" xfId="0" applyFont="1"/>
    <xf numFmtId="0" fontId="11" fillId="0" borderId="0" xfId="0" applyFont="1" applyAlignment="1">
      <alignment horizontal="center"/>
    </xf>
    <xf numFmtId="0" fontId="6" fillId="0" borderId="0" xfId="0" applyFont="1"/>
    <xf numFmtId="1" fontId="5" fillId="0" borderId="0" xfId="0" applyNumberFormat="1" applyFont="1"/>
    <xf numFmtId="166" fontId="5" fillId="0" borderId="0" xfId="0" applyNumberFormat="1" applyFont="1"/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1" fontId="5" fillId="0" borderId="7" xfId="0" applyNumberFormat="1" applyFont="1" applyBorder="1"/>
    <xf numFmtId="166" fontId="5" fillId="0" borderId="8" xfId="0" applyNumberFormat="1" applyFont="1" applyBorder="1"/>
    <xf numFmtId="1" fontId="5" fillId="0" borderId="1" xfId="0" applyNumberFormat="1" applyFont="1" applyBorder="1"/>
    <xf numFmtId="166" fontId="5" fillId="0" borderId="17" xfId="0" applyNumberFormat="1" applyFont="1" applyBorder="1"/>
    <xf numFmtId="166" fontId="5" fillId="0" borderId="12" xfId="0" applyNumberFormat="1" applyFont="1" applyBorder="1"/>
    <xf numFmtId="1" fontId="5" fillId="0" borderId="8" xfId="0" applyNumberFormat="1" applyFont="1" applyBorder="1"/>
    <xf numFmtId="1" fontId="5" fillId="0" borderId="17" xfId="0" applyNumberFormat="1" applyFont="1" applyBorder="1"/>
    <xf numFmtId="0" fontId="5" fillId="0" borderId="0" xfId="0" applyFont="1" applyBorder="1"/>
    <xf numFmtId="2" fontId="13" fillId="0" borderId="0" xfId="0" applyNumberFormat="1" applyFont="1" applyFill="1" applyBorder="1" applyAlignment="1">
      <alignment horizontal="center"/>
    </xf>
    <xf numFmtId="1" fontId="8" fillId="0" borderId="0" xfId="0" applyNumberFormat="1" applyFont="1" applyFill="1" applyBorder="1" applyAlignment="1">
      <alignment horizontal="center"/>
    </xf>
    <xf numFmtId="0" fontId="5" fillId="0" borderId="0" xfId="0" applyFont="1" applyFill="1" applyBorder="1"/>
    <xf numFmtId="2" fontId="8" fillId="0" borderId="0" xfId="0" applyNumberFormat="1" applyFont="1" applyFill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9" fillId="0" borderId="0" xfId="0" applyFont="1" applyBorder="1"/>
    <xf numFmtId="0" fontId="20" fillId="0" borderId="0" xfId="0" applyFont="1" applyBorder="1" applyAlignment="1">
      <alignment horizontal="center"/>
    </xf>
    <xf numFmtId="166" fontId="8" fillId="0" borderId="0" xfId="0" applyNumberFormat="1" applyFont="1" applyFill="1" applyBorder="1" applyAlignment="1">
      <alignment horizontal="center"/>
    </xf>
    <xf numFmtId="0" fontId="8" fillId="0" borderId="0" xfId="0" applyFont="1"/>
    <xf numFmtId="0" fontId="8" fillId="0" borderId="0" xfId="0" applyFont="1" applyFill="1" applyBorder="1"/>
    <xf numFmtId="0" fontId="21" fillId="0" borderId="0" xfId="0" applyFont="1" applyFill="1" applyBorder="1"/>
    <xf numFmtId="0" fontId="22" fillId="0" borderId="0" xfId="0" applyFont="1" applyFill="1" applyBorder="1"/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right"/>
    </xf>
    <xf numFmtId="2" fontId="21" fillId="0" borderId="0" xfId="0" applyNumberFormat="1" applyFont="1" applyFill="1" applyBorder="1" applyAlignment="1">
      <alignment horizontal="center"/>
    </xf>
    <xf numFmtId="170" fontId="21" fillId="0" borderId="0" xfId="1" applyNumberFormat="1" applyFont="1" applyFill="1" applyBorder="1"/>
    <xf numFmtId="0" fontId="6" fillId="0" borderId="0" xfId="0" applyFont="1" applyFill="1" applyBorder="1" applyAlignment="1">
      <alignment horizontal="center"/>
    </xf>
    <xf numFmtId="15" fontId="6" fillId="0" borderId="0" xfId="0" quotePrefix="1" applyNumberFormat="1" applyFont="1" applyFill="1" applyBorder="1" applyAlignment="1">
      <alignment horizontal="center"/>
    </xf>
    <xf numFmtId="2" fontId="6" fillId="0" borderId="0" xfId="0" applyNumberFormat="1" applyFont="1" applyFill="1" applyBorder="1" applyAlignment="1">
      <alignment horizontal="center"/>
    </xf>
    <xf numFmtId="2" fontId="7" fillId="0" borderId="0" xfId="0" applyNumberFormat="1" applyFont="1" applyFill="1" applyBorder="1" applyAlignment="1">
      <alignment horizontal="center"/>
    </xf>
    <xf numFmtId="170" fontId="6" fillId="0" borderId="0" xfId="1" applyNumberFormat="1" applyFont="1" applyFill="1" applyBorder="1"/>
    <xf numFmtId="0" fontId="7" fillId="0" borderId="0" xfId="0" applyFont="1" applyFill="1" applyBorder="1" applyAlignment="1">
      <alignment horizontal="center"/>
    </xf>
    <xf numFmtId="170" fontId="7" fillId="0" borderId="0" xfId="1" applyNumberFormat="1" applyFont="1" applyFill="1" applyBorder="1"/>
    <xf numFmtId="170" fontId="21" fillId="0" borderId="0" xfId="1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2" fontId="21" fillId="0" borderId="0" xfId="0" applyNumberFormat="1" applyFont="1" applyFill="1" applyBorder="1" applyAlignment="1">
      <alignment horizontal="right"/>
    </xf>
    <xf numFmtId="2" fontId="21" fillId="0" borderId="0" xfId="0" applyNumberFormat="1" applyFont="1" applyFill="1" applyBorder="1"/>
    <xf numFmtId="170" fontId="6" fillId="0" borderId="0" xfId="1" applyNumberFormat="1" applyFont="1" applyFill="1" applyBorder="1" applyAlignment="1">
      <alignment horizontal="center"/>
    </xf>
    <xf numFmtId="15" fontId="6" fillId="0" borderId="0" xfId="0" applyNumberFormat="1" applyFont="1" applyFill="1" applyBorder="1" applyAlignment="1">
      <alignment horizontal="center"/>
    </xf>
    <xf numFmtId="2" fontId="6" fillId="0" borderId="0" xfId="0" applyNumberFormat="1" applyFont="1" applyFill="1" applyBorder="1"/>
    <xf numFmtId="1" fontId="6" fillId="0" borderId="0" xfId="0" applyNumberFormat="1" applyFont="1" applyFill="1" applyBorder="1" applyAlignment="1">
      <alignment horizontal="right"/>
    </xf>
    <xf numFmtId="2" fontId="6" fillId="0" borderId="0" xfId="0" applyNumberFormat="1" applyFont="1" applyFill="1" applyBorder="1" applyAlignment="1">
      <alignment horizontal="right"/>
    </xf>
    <xf numFmtId="0" fontId="15" fillId="0" borderId="0" xfId="0" quotePrefix="1" applyFont="1" applyFill="1" applyBorder="1"/>
    <xf numFmtId="0" fontId="23" fillId="0" borderId="0" xfId="0" applyFont="1" applyFill="1" applyBorder="1"/>
    <xf numFmtId="0" fontId="7" fillId="0" borderId="0" xfId="0" applyFont="1" applyFill="1" applyBorder="1"/>
    <xf numFmtId="0" fontId="15" fillId="0" borderId="0" xfId="0" applyFont="1" applyFill="1" applyBorder="1" applyAlignment="1">
      <alignment horizontal="center"/>
    </xf>
    <xf numFmtId="0" fontId="14" fillId="0" borderId="0" xfId="0" applyFont="1" applyFill="1" applyBorder="1"/>
    <xf numFmtId="0" fontId="7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15" fontId="7" fillId="0" borderId="0" xfId="0" applyNumberFormat="1" applyFont="1" applyFill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1" fontId="15" fillId="0" borderId="0" xfId="0" applyNumberFormat="1" applyFont="1" applyFill="1" applyBorder="1" applyAlignment="1">
      <alignment horizontal="center"/>
    </xf>
    <xf numFmtId="15" fontId="24" fillId="0" borderId="0" xfId="0" applyNumberFormat="1" applyFont="1" applyFill="1" applyBorder="1" applyAlignment="1">
      <alignment horizontal="center"/>
    </xf>
    <xf numFmtId="0" fontId="24" fillId="0" borderId="0" xfId="0" applyFont="1" applyFill="1" applyBorder="1"/>
    <xf numFmtId="0" fontId="17" fillId="0" borderId="0" xfId="0" applyFont="1" applyFill="1" applyBorder="1"/>
    <xf numFmtId="2" fontId="16" fillId="0" borderId="0" xfId="0" applyNumberFormat="1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11" fillId="0" borderId="0" xfId="0" applyFont="1" applyFill="1" applyBorder="1"/>
    <xf numFmtId="0" fontId="6" fillId="0" borderId="1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33" xfId="0" applyFont="1" applyBorder="1"/>
    <xf numFmtId="170" fontId="6" fillId="0" borderId="15" xfId="1" applyNumberFormat="1" applyFont="1" applyBorder="1"/>
    <xf numFmtId="0" fontId="7" fillId="0" borderId="13" xfId="0" applyFont="1" applyFill="1" applyBorder="1" applyAlignment="1">
      <alignment horizontal="center"/>
    </xf>
    <xf numFmtId="15" fontId="6" fillId="0" borderId="36" xfId="0" quotePrefix="1" applyNumberFormat="1" applyFont="1" applyFill="1" applyBorder="1" applyAlignment="1">
      <alignment horizontal="center"/>
    </xf>
    <xf numFmtId="0" fontId="7" fillId="0" borderId="28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centerContinuous"/>
    </xf>
    <xf numFmtId="0" fontId="5" fillId="0" borderId="0" xfId="0" applyFont="1" applyFill="1"/>
    <xf numFmtId="0" fontId="5" fillId="0" borderId="0" xfId="0" applyFont="1" applyFill="1" applyAlignment="1">
      <alignment horizontal="right"/>
    </xf>
    <xf numFmtId="0" fontId="5" fillId="0" borderId="0" xfId="0" applyFont="1" applyFill="1" applyAlignment="1">
      <alignment horizontal="left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5" xfId="0" applyFont="1" applyBorder="1"/>
    <xf numFmtId="165" fontId="13" fillId="0" borderId="4" xfId="0" quotePrefix="1" applyNumberFormat="1" applyFont="1" applyBorder="1" applyAlignment="1">
      <alignment horizontal="right"/>
    </xf>
    <xf numFmtId="0" fontId="13" fillId="0" borderId="4" xfId="0" quotePrefix="1" applyFont="1" applyBorder="1" applyAlignment="1">
      <alignment horizontal="right"/>
    </xf>
    <xf numFmtId="2" fontId="13" fillId="0" borderId="3" xfId="0" quotePrefix="1" applyNumberFormat="1" applyFont="1" applyBorder="1" applyAlignment="1">
      <alignment horizontal="right"/>
    </xf>
    <xf numFmtId="164" fontId="13" fillId="0" borderId="3" xfId="0" quotePrefix="1" applyNumberFormat="1" applyFont="1" applyBorder="1" applyAlignment="1">
      <alignment horizontal="right"/>
    </xf>
    <xf numFmtId="2" fontId="13" fillId="0" borderId="3" xfId="0" applyNumberFormat="1" applyFont="1" applyFill="1" applyBorder="1" applyAlignment="1">
      <alignment horizontal="right"/>
    </xf>
    <xf numFmtId="1" fontId="13" fillId="0" borderId="3" xfId="0" applyNumberFormat="1" applyFont="1" applyBorder="1" applyAlignment="1">
      <alignment horizontal="right"/>
    </xf>
    <xf numFmtId="164" fontId="13" fillId="0" borderId="3" xfId="0" applyNumberFormat="1" applyFont="1" applyBorder="1" applyAlignment="1">
      <alignment horizontal="right"/>
    </xf>
    <xf numFmtId="2" fontId="13" fillId="0" borderId="3" xfId="0" applyNumberFormat="1" applyFont="1" applyBorder="1" applyAlignment="1">
      <alignment horizontal="right"/>
    </xf>
    <xf numFmtId="1" fontId="13" fillId="0" borderId="3" xfId="1" applyNumberFormat="1" applyFont="1" applyBorder="1"/>
    <xf numFmtId="165" fontId="13" fillId="0" borderId="3" xfId="0" quotePrefix="1" applyNumberFormat="1" applyFont="1" applyBorder="1" applyAlignment="1">
      <alignment horizontal="right"/>
    </xf>
    <xf numFmtId="0" fontId="13" fillId="0" borderId="3" xfId="0" quotePrefix="1" applyFont="1" applyBorder="1" applyAlignment="1">
      <alignment horizontal="right"/>
    </xf>
    <xf numFmtId="2" fontId="13" fillId="0" borderId="4" xfId="0" quotePrefix="1" applyNumberFormat="1" applyFont="1" applyBorder="1" applyAlignment="1">
      <alignment horizontal="right"/>
    </xf>
    <xf numFmtId="164" fontId="13" fillId="0" borderId="4" xfId="0" quotePrefix="1" applyNumberFormat="1" applyFont="1" applyBorder="1" applyAlignment="1">
      <alignment horizontal="right"/>
    </xf>
    <xf numFmtId="2" fontId="13" fillId="0" borderId="4" xfId="0" applyNumberFormat="1" applyFont="1" applyBorder="1" applyAlignment="1">
      <alignment horizontal="right"/>
    </xf>
    <xf numFmtId="1" fontId="13" fillId="0" borderId="4" xfId="0" applyNumberFormat="1" applyFont="1" applyBorder="1" applyAlignment="1">
      <alignment horizontal="right"/>
    </xf>
    <xf numFmtId="164" fontId="13" fillId="0" borderId="4" xfId="0" applyNumberFormat="1" applyFont="1" applyBorder="1" applyAlignment="1">
      <alignment horizontal="right"/>
    </xf>
    <xf numFmtId="1" fontId="13" fillId="0" borderId="4" xfId="1" applyNumberFormat="1" applyFont="1" applyBorder="1"/>
    <xf numFmtId="2" fontId="5" fillId="0" borderId="0" xfId="0" applyNumberFormat="1" applyFont="1"/>
    <xf numFmtId="1" fontId="5" fillId="0" borderId="0" xfId="0" applyNumberFormat="1" applyFont="1" applyBorder="1"/>
    <xf numFmtId="166" fontId="5" fillId="0" borderId="0" xfId="0" applyNumberFormat="1" applyFont="1" applyBorder="1"/>
    <xf numFmtId="0" fontId="7" fillId="0" borderId="0" xfId="0" applyFont="1" applyBorder="1" applyAlignment="1">
      <alignment horizontal="right" vertical="top" wrapText="1"/>
    </xf>
    <xf numFmtId="0" fontId="9" fillId="0" borderId="11" xfId="0" applyFont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5" fillId="0" borderId="1" xfId="0" applyFont="1" applyBorder="1"/>
    <xf numFmtId="167" fontId="5" fillId="0" borderId="0" xfId="0" applyNumberFormat="1" applyFont="1" applyBorder="1"/>
    <xf numFmtId="164" fontId="5" fillId="0" borderId="0" xfId="0" applyNumberFormat="1" applyFont="1" applyBorder="1"/>
    <xf numFmtId="166" fontId="5" fillId="0" borderId="1" xfId="0" applyNumberFormat="1" applyFont="1" applyBorder="1"/>
    <xf numFmtId="0" fontId="27" fillId="0" borderId="22" xfId="0" applyFont="1" applyFill="1" applyBorder="1" applyAlignment="1">
      <alignment horizontal="centerContinuous"/>
    </xf>
    <xf numFmtId="0" fontId="5" fillId="0" borderId="0" xfId="0" applyFont="1" applyFill="1" applyBorder="1" applyAlignment="1"/>
    <xf numFmtId="0" fontId="5" fillId="0" borderId="17" xfId="0" applyFont="1" applyBorder="1"/>
    <xf numFmtId="2" fontId="5" fillId="0" borderId="17" xfId="0" applyNumberFormat="1" applyFont="1" applyBorder="1"/>
    <xf numFmtId="0" fontId="5" fillId="0" borderId="11" xfId="0" applyFont="1" applyFill="1" applyBorder="1" applyAlignment="1"/>
    <xf numFmtId="166" fontId="5" fillId="0" borderId="9" xfId="0" applyNumberFormat="1" applyFont="1" applyBorder="1"/>
    <xf numFmtId="0" fontId="5" fillId="0" borderId="12" xfId="0" applyFont="1" applyBorder="1"/>
    <xf numFmtId="166" fontId="5" fillId="0" borderId="7" xfId="0" applyNumberFormat="1" applyFont="1" applyBorder="1"/>
    <xf numFmtId="0" fontId="27" fillId="0" borderId="22" xfId="0" applyFont="1" applyFill="1" applyBorder="1" applyAlignment="1">
      <alignment horizontal="center"/>
    </xf>
    <xf numFmtId="167" fontId="5" fillId="0" borderId="0" xfId="0" applyNumberFormat="1" applyFont="1"/>
    <xf numFmtId="164" fontId="5" fillId="0" borderId="0" xfId="0" applyNumberFormat="1" applyFont="1"/>
    <xf numFmtId="0" fontId="5" fillId="0" borderId="9" xfId="0" applyFont="1" applyBorder="1"/>
    <xf numFmtId="0" fontId="5" fillId="0" borderId="20" xfId="0" applyFont="1" applyBorder="1"/>
    <xf numFmtId="0" fontId="5" fillId="0" borderId="19" xfId="0" applyFont="1" applyBorder="1"/>
    <xf numFmtId="0" fontId="5" fillId="0" borderId="23" xfId="0" applyFont="1" applyBorder="1"/>
    <xf numFmtId="0" fontId="5" fillId="0" borderId="22" xfId="0" applyFont="1" applyFill="1" applyBorder="1" applyAlignment="1"/>
    <xf numFmtId="0" fontId="5" fillId="0" borderId="22" xfId="0" applyFont="1" applyBorder="1"/>
    <xf numFmtId="0" fontId="5" fillId="0" borderId="21" xfId="0" applyFont="1" applyBorder="1"/>
    <xf numFmtId="0" fontId="5" fillId="0" borderId="24" xfId="0" applyFont="1" applyBorder="1"/>
    <xf numFmtId="2" fontId="5" fillId="0" borderId="17" xfId="0" applyNumberFormat="1" applyFont="1" applyFill="1" applyBorder="1" applyAlignment="1"/>
    <xf numFmtId="166" fontId="5" fillId="0" borderId="25" xfId="0" applyNumberFormat="1" applyFont="1" applyBorder="1"/>
    <xf numFmtId="0" fontId="5" fillId="0" borderId="26" xfId="0" applyFont="1" applyBorder="1"/>
    <xf numFmtId="166" fontId="5" fillId="0" borderId="26" xfId="0" applyNumberFormat="1" applyFont="1" applyBorder="1"/>
    <xf numFmtId="0" fontId="5" fillId="0" borderId="27" xfId="0" applyFont="1" applyFill="1" applyBorder="1" applyAlignment="1"/>
    <xf numFmtId="166" fontId="5" fillId="0" borderId="10" xfId="0" applyNumberFormat="1" applyFont="1" applyBorder="1"/>
    <xf numFmtId="1" fontId="5" fillId="0" borderId="11" xfId="0" applyNumberFormat="1" applyFont="1" applyBorder="1"/>
    <xf numFmtId="0" fontId="5" fillId="0" borderId="11" xfId="0" applyFont="1" applyBorder="1"/>
    <xf numFmtId="0" fontId="5" fillId="0" borderId="12" xfId="0" applyFont="1" applyFill="1" applyBorder="1" applyAlignment="1"/>
    <xf numFmtId="171" fontId="5" fillId="0" borderId="0" xfId="0" applyNumberFormat="1" applyFont="1"/>
    <xf numFmtId="0" fontId="5" fillId="0" borderId="18" xfId="0" applyFont="1" applyBorder="1"/>
    <xf numFmtId="9" fontId="5" fillId="0" borderId="19" xfId="0" applyNumberFormat="1" applyFont="1" applyBorder="1"/>
    <xf numFmtId="168" fontId="5" fillId="0" borderId="0" xfId="0" applyNumberFormat="1" applyFont="1"/>
    <xf numFmtId="169" fontId="5" fillId="0" borderId="0" xfId="0" applyNumberFormat="1" applyFont="1"/>
    <xf numFmtId="11" fontId="5" fillId="0" borderId="0" xfId="0" applyNumberFormat="1" applyFont="1"/>
    <xf numFmtId="2" fontId="4" fillId="0" borderId="2" xfId="0" quotePrefix="1" applyNumberFormat="1" applyFont="1" applyBorder="1" applyAlignment="1">
      <alignment horizontal="center"/>
    </xf>
    <xf numFmtId="1" fontId="4" fillId="0" borderId="2" xfId="0" quotePrefix="1" applyNumberFormat="1" applyFont="1" applyBorder="1" applyAlignment="1">
      <alignment horizontal="center"/>
    </xf>
    <xf numFmtId="2" fontId="4" fillId="0" borderId="5" xfId="0" quotePrefix="1" applyNumberFormat="1" applyFont="1" applyBorder="1" applyAlignment="1">
      <alignment horizontal="center"/>
    </xf>
    <xf numFmtId="1" fontId="4" fillId="0" borderId="5" xfId="0" quotePrefix="1" applyNumberFormat="1" applyFont="1" applyBorder="1" applyAlignment="1">
      <alignment horizontal="center"/>
    </xf>
    <xf numFmtId="2" fontId="4" fillId="0" borderId="3" xfId="0" quotePrefix="1" applyNumberFormat="1" applyFont="1" applyBorder="1" applyAlignment="1">
      <alignment horizontal="center"/>
    </xf>
    <xf numFmtId="1" fontId="4" fillId="0" borderId="3" xfId="0" quotePrefix="1" applyNumberFormat="1" applyFont="1" applyBorder="1" applyAlignment="1">
      <alignment horizontal="center"/>
    </xf>
    <xf numFmtId="166" fontId="13" fillId="0" borderId="3" xfId="0" quotePrefix="1" applyNumberFormat="1" applyFont="1" applyBorder="1" applyAlignment="1">
      <alignment horizontal="right"/>
    </xf>
    <xf numFmtId="166" fontId="13" fillId="0" borderId="4" xfId="0" quotePrefix="1" applyNumberFormat="1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26" fillId="0" borderId="0" xfId="0" applyFont="1" applyBorder="1" applyAlignment="1"/>
    <xf numFmtId="2" fontId="6" fillId="4" borderId="0" xfId="0" applyNumberFormat="1" applyFont="1" applyFill="1" applyBorder="1" applyAlignment="1">
      <alignment horizontal="center"/>
    </xf>
    <xf numFmtId="2" fontId="6" fillId="2" borderId="13" xfId="0" applyNumberFormat="1" applyFont="1" applyFill="1" applyBorder="1" applyAlignment="1">
      <alignment horizontal="center"/>
    </xf>
    <xf numFmtId="2" fontId="6" fillId="2" borderId="15" xfId="0" applyNumberFormat="1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right"/>
    </xf>
    <xf numFmtId="167" fontId="5" fillId="5" borderId="0" xfId="0" applyNumberFormat="1" applyFont="1" applyFill="1" applyBorder="1"/>
    <xf numFmtId="0" fontId="4" fillId="0" borderId="2" xfId="0" quotePrefix="1" applyFont="1" applyBorder="1" applyAlignment="1">
      <alignment horizontal="center" wrapText="1"/>
    </xf>
    <xf numFmtId="2" fontId="4" fillId="0" borderId="2" xfId="0" quotePrefix="1" applyNumberFormat="1" applyFont="1" applyBorder="1" applyAlignment="1">
      <alignment horizontal="center" wrapText="1"/>
    </xf>
    <xf numFmtId="1" fontId="4" fillId="0" borderId="2" xfId="0" quotePrefix="1" applyNumberFormat="1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4" fillId="0" borderId="6" xfId="0" quotePrefix="1" applyFont="1" applyBorder="1" applyAlignment="1">
      <alignment horizontal="right"/>
    </xf>
    <xf numFmtId="2" fontId="4" fillId="0" borderId="6" xfId="0" quotePrefix="1" applyNumberFormat="1" applyFont="1" applyBorder="1" applyAlignment="1">
      <alignment horizontal="center"/>
    </xf>
    <xf numFmtId="1" fontId="4" fillId="0" borderId="6" xfId="0" quotePrefix="1" applyNumberFormat="1" applyFont="1" applyBorder="1" applyAlignment="1">
      <alignment horizontal="center"/>
    </xf>
    <xf numFmtId="0" fontId="4" fillId="0" borderId="38" xfId="0" applyFont="1" applyBorder="1"/>
    <xf numFmtId="164" fontId="4" fillId="0" borderId="39" xfId="0" applyNumberFormat="1" applyFont="1" applyBorder="1"/>
    <xf numFmtId="11" fontId="4" fillId="0" borderId="40" xfId="0" applyNumberFormat="1" applyFont="1" applyBorder="1"/>
    <xf numFmtId="0" fontId="4" fillId="0" borderId="37" xfId="0" applyFont="1" applyBorder="1"/>
    <xf numFmtId="2" fontId="4" fillId="0" borderId="16" xfId="0" applyNumberFormat="1" applyFont="1" applyBorder="1"/>
    <xf numFmtId="2" fontId="4" fillId="0" borderId="29" xfId="0" applyNumberFormat="1" applyFont="1" applyBorder="1"/>
    <xf numFmtId="0" fontId="5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2" fontId="6" fillId="0" borderId="13" xfId="0" quotePrefix="1" applyNumberFormat="1" applyFont="1" applyFill="1" applyBorder="1" applyAlignment="1">
      <alignment horizontal="center"/>
    </xf>
    <xf numFmtId="170" fontId="6" fillId="0" borderId="13" xfId="1" applyNumberFormat="1" applyFont="1" applyFill="1" applyBorder="1" applyAlignment="1">
      <alignment horizontal="center"/>
    </xf>
    <xf numFmtId="0" fontId="26" fillId="0" borderId="20" xfId="0" applyFont="1" applyBorder="1" applyAlignment="1">
      <alignment horizontal="center"/>
    </xf>
    <xf numFmtId="0" fontId="26" fillId="0" borderId="18" xfId="0" applyFont="1" applyBorder="1" applyAlignment="1">
      <alignment horizontal="center"/>
    </xf>
    <xf numFmtId="0" fontId="26" fillId="0" borderId="19" xfId="0" applyFont="1" applyBorder="1" applyAlignment="1">
      <alignment horizontal="center"/>
    </xf>
    <xf numFmtId="0" fontId="9" fillId="0" borderId="0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9" defaultPivotStyle="PivotStyleLight16"/>
  <colors>
    <mruColors>
      <color rgb="FF003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styles" Target="styles.xml"/><Relationship Id="rId5" Type="http://schemas.openxmlformats.org/officeDocument/2006/relationships/worksheet" Target="work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Results!$D$1</c:f>
          <c:strCache>
            <c:ptCount val="1"/>
            <c:pt idx="0">
              <c:v>EQA03 Fatigue test</c:v>
            </c:pt>
          </c:strCache>
        </c:strRef>
      </c:tx>
      <c:layout>
        <c:manualLayout>
          <c:xMode val="edge"/>
          <c:yMode val="edge"/>
          <c:x val="0.41916580489486566"/>
          <c:y val="1.581920903954802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 algn="ctr">
            <a:defRPr sz="1600" b="1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726645984143735E-2"/>
          <c:y val="7.0621468926553674E-2"/>
          <c:w val="0.87073422957601065"/>
          <c:h val="0.81016949152542372"/>
        </c:manualLayout>
      </c:layout>
      <c:scatterChart>
        <c:scatterStyle val="smoothMarker"/>
        <c:varyColors val="0"/>
        <c:ser>
          <c:idx val="1"/>
          <c:order val="0"/>
          <c:tx>
            <c:v>R = 0.10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(Results!$A$28:$A$29,Results!$A$31:$A$34)</c:f>
              <c:numCache>
                <c:formatCode>0</c:formatCode>
                <c:ptCount val="6"/>
                <c:pt idx="0">
                  <c:v>234687</c:v>
                </c:pt>
                <c:pt idx="1">
                  <c:v>417783</c:v>
                </c:pt>
                <c:pt idx="2">
                  <c:v>4683</c:v>
                </c:pt>
                <c:pt idx="3">
                  <c:v>20412</c:v>
                </c:pt>
                <c:pt idx="4">
                  <c:v>32980</c:v>
                </c:pt>
                <c:pt idx="5">
                  <c:v>95620</c:v>
                </c:pt>
              </c:numCache>
            </c:numRef>
          </c:xVal>
          <c:yVal>
            <c:numRef>
              <c:f>(Results!$B$28:$B$29,Results!$B$31:$B$34)</c:f>
              <c:numCache>
                <c:formatCode>0.000</c:formatCode>
                <c:ptCount val="6"/>
                <c:pt idx="0">
                  <c:v>0.7</c:v>
                </c:pt>
                <c:pt idx="1">
                  <c:v>0.6</c:v>
                </c:pt>
                <c:pt idx="2">
                  <c:v>1.3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</c:numCache>
            </c:numRef>
          </c:yVal>
          <c:smooth val="1"/>
        </c:ser>
        <c:ser>
          <c:idx val="5"/>
          <c:order val="1"/>
          <c:tx>
            <c:v>R = 0.10 run out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(Results!$A$27,Results!$A$30)</c:f>
              <c:numCache>
                <c:formatCode>0</c:formatCode>
                <c:ptCount val="2"/>
                <c:pt idx="0">
                  <c:v>2000000</c:v>
                </c:pt>
                <c:pt idx="1">
                  <c:v>1500000</c:v>
                </c:pt>
              </c:numCache>
            </c:numRef>
          </c:xVal>
          <c:yVal>
            <c:numRef>
              <c:f>(Results!$B$27,Results!$B$30)</c:f>
              <c:numCache>
                <c:formatCode>0.000</c:formatCode>
                <c:ptCount val="2"/>
                <c:pt idx="0">
                  <c:v>0.55000000000000004</c:v>
                </c:pt>
                <c:pt idx="1">
                  <c:v>0.5</c:v>
                </c:pt>
              </c:numCache>
            </c:numRef>
          </c:yVal>
          <c:smooth val="1"/>
        </c:ser>
        <c:ser>
          <c:idx val="0"/>
          <c:order val="2"/>
          <c:tx>
            <c:v>50% Basquin line (S independent)</c:v>
          </c:tx>
          <c:spPr>
            <a:ln w="19050"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'ASTM E739 stat (Max Strain)'!$T$2:$T$102</c:f>
              <c:numCache>
                <c:formatCode>0</c:formatCode>
                <c:ptCount val="101"/>
                <c:pt idx="0">
                  <c:v>5596155.7660346087</c:v>
                </c:pt>
                <c:pt idx="1">
                  <c:v>4889977.3412213624</c:v>
                </c:pt>
                <c:pt idx="2">
                  <c:v>4285476.1574199554</c:v>
                </c:pt>
                <c:pt idx="3">
                  <c:v>3766276.2370979041</c:v>
                </c:pt>
                <c:pt idx="4">
                  <c:v>3318907.6954672681</c:v>
                </c:pt>
                <c:pt idx="5">
                  <c:v>2932245.2005876922</c:v>
                </c:pt>
                <c:pt idx="6">
                  <c:v>2597063.4572638669</c:v>
                </c:pt>
                <c:pt idx="7">
                  <c:v>2305683.6180999</c:v>
                </c:pt>
                <c:pt idx="8">
                  <c:v>2051690.7119082259</c:v>
                </c:pt>
                <c:pt idx="9">
                  <c:v>1829706.8158353129</c:v>
                </c:pt>
                <c:pt idx="10">
                  <c:v>1635208.1920153927</c:v>
                </c:pt>
                <c:pt idx="11">
                  <c:v>1464377.2582346259</c:v>
                </c:pt>
                <c:pt idx="12">
                  <c:v>1313982.280509315</c:v>
                </c:pt>
                <c:pt idx="13">
                  <c:v>1181279.2215943581</c:v>
                </c:pt>
                <c:pt idx="14">
                  <c:v>1063931.3696705</c:v>
                </c:pt>
                <c:pt idx="15">
                  <c:v>959943.29212917096</c:v>
                </c:pt>
                <c:pt idx="16">
                  <c:v>867606.37483018753</c:v>
                </c:pt>
                <c:pt idx="17">
                  <c:v>785453.76567495114</c:v>
                </c:pt>
                <c:pt idx="18">
                  <c:v>712222.97914246854</c:v>
                </c:pt>
                <c:pt idx="19">
                  <c:v>646824.76307674055</c:v>
                </c:pt>
                <c:pt idx="20">
                  <c:v>588317.10140796774</c:v>
                </c:pt>
                <c:pt idx="21">
                  <c:v>535883.44261913002</c:v>
                </c:pt>
                <c:pt idx="22">
                  <c:v>488814.41590084758</c:v>
                </c:pt>
                <c:pt idx="23">
                  <c:v>446492.43452700158</c:v>
                </c:pt>
                <c:pt idx="24">
                  <c:v>408378.69635064073</c:v>
                </c:pt>
                <c:pt idx="25">
                  <c:v>374002.18015294272</c:v>
                </c:pt>
                <c:pt idx="26">
                  <c:v>342950.30831560789</c:v>
                </c:pt>
                <c:pt idx="27">
                  <c:v>314861.00440531119</c:v>
                </c:pt>
                <c:pt idx="28">
                  <c:v>289415.92148993205</c:v>
                </c:pt>
                <c:pt idx="29">
                  <c:v>266334.65550604305</c:v>
                </c:pt>
                <c:pt idx="30">
                  <c:v>245369.78947175029</c:v>
                </c:pt>
                <c:pt idx="31">
                  <c:v>226302.64014390562</c:v>
                </c:pt>
                <c:pt idx="32">
                  <c:v>208939.59993391889</c:v>
                </c:pt>
                <c:pt idx="33">
                  <c:v>193108.98438537723</c:v>
                </c:pt>
                <c:pt idx="34">
                  <c:v>178658.30997164125</c:v>
                </c:pt>
                <c:pt idx="35">
                  <c:v>165451.93894951799</c:v>
                </c:pt>
                <c:pt idx="36">
                  <c:v>153369.03795507067</c:v>
                </c:pt>
                <c:pt idx="37">
                  <c:v>142301.80531305089</c:v>
                </c:pt>
                <c:pt idx="38">
                  <c:v>132153.92894702838</c:v>
                </c:pt>
                <c:pt idx="39">
                  <c:v>122839.24256281179</c:v>
                </c:pt>
                <c:pt idx="40">
                  <c:v>114280.55262873453</c:v>
                </c:pt>
                <c:pt idx="41">
                  <c:v>106408.61275260555</c:v>
                </c:pt>
                <c:pt idx="42">
                  <c:v>99161.225487730742</c:v>
                </c:pt>
                <c:pt idx="43">
                  <c:v>92482.454496932856</c:v>
                </c:pt>
                <c:pt idx="44">
                  <c:v>86321.932452710695</c:v>
                </c:pt>
                <c:pt idx="45">
                  <c:v>80634.252126699255</c:v>
                </c:pt>
                <c:pt idx="46">
                  <c:v>75378.429883037927</c:v>
                </c:pt>
                <c:pt idx="47">
                  <c:v>70517.43228831228</c:v>
                </c:pt>
                <c:pt idx="48">
                  <c:v>66017.757827166512</c:v>
                </c:pt>
                <c:pt idx="49">
                  <c:v>61849.066802214715</c:v>
                </c:pt>
                <c:pt idx="50">
                  <c:v>57983.853428549119</c:v>
                </c:pt>
                <c:pt idx="51">
                  <c:v>54397.154931179473</c:v>
                </c:pt>
                <c:pt idx="52">
                  <c:v>51066.293138461282</c:v>
                </c:pt>
                <c:pt idx="53">
                  <c:v>47970.644653066287</c:v>
                </c:pt>
                <c:pt idx="54">
                  <c:v>45091.436188620217</c:v>
                </c:pt>
                <c:pt idx="55">
                  <c:v>42411.562096913178</c:v>
                </c:pt>
                <c:pt idx="56">
                  <c:v>39915.421487747168</c:v>
                </c:pt>
                <c:pt idx="57">
                  <c:v>37588.772669672471</c:v>
                </c:pt>
                <c:pt idx="58">
                  <c:v>35418.602922383885</c:v>
                </c:pt>
                <c:pt idx="59">
                  <c:v>33393.011856596211</c:v>
                </c:pt>
                <c:pt idx="60">
                  <c:v>31501.106830079494</c:v>
                </c:pt>
                <c:pt idx="61">
                  <c:v>29732.909073684012</c:v>
                </c:pt>
                <c:pt idx="62">
                  <c:v>28079.269342458676</c:v>
                </c:pt>
                <c:pt idx="63">
                  <c:v>26531.79204763208</c:v>
                </c:pt>
                <c:pt idx="64">
                  <c:v>25082.766948069406</c:v>
                </c:pt>
                <c:pt idx="65">
                  <c:v>23725.107587252995</c:v>
                </c:pt>
                <c:pt idx="66">
                  <c:v>22452.295755894007</c:v>
                </c:pt>
                <c:pt idx="67">
                  <c:v>21258.331342749592</c:v>
                </c:pt>
                <c:pt idx="68">
                  <c:v>20137.687008603563</c:v>
                </c:pt>
                <c:pt idx="69">
                  <c:v>19085.267181978081</c:v>
                </c:pt>
                <c:pt idx="70">
                  <c:v>18096.370931114743</c:v>
                </c:pt>
                <c:pt idx="71">
                  <c:v>17166.658316060551</c:v>
                </c:pt>
                <c:pt idx="72">
                  <c:v>16292.119868171692</c:v>
                </c:pt>
                <c:pt idx="73">
                  <c:v>15469.04888273004</c:v>
                </c:pt>
                <c:pt idx="74">
                  <c:v>14694.016244289516</c:v>
                </c:pt>
                <c:pt idx="75">
                  <c:v>13963.847534383693</c:v>
                </c:pt>
                <c:pt idx="76">
                  <c:v>13275.602197808159</c:v>
                </c:pt>
                <c:pt idx="77">
                  <c:v>12626.554567261723</c:v>
                </c:pt>
                <c:pt idx="78">
                  <c:v>12014.176567046974</c:v>
                </c:pt>
                <c:pt idx="79">
                  <c:v>11436.121935116153</c:v>
                </c:pt>
                <c:pt idx="80">
                  <c:v>10890.211819274391</c:v>
                </c:pt>
                <c:pt idx="81">
                  <c:v>10374.421618064693</c:v>
                </c:pt>
                <c:pt idx="82">
                  <c:v>9886.868949965643</c:v>
                </c:pt>
                <c:pt idx="83">
                  <c:v>9425.8026462259113</c:v>
                </c:pt>
                <c:pt idx="84">
                  <c:v>8989.5926730924039</c:v>
                </c:pt>
                <c:pt idx="85">
                  <c:v>8576.7208985158522</c:v>
                </c:pt>
                <c:pt idx="86">
                  <c:v>8185.772626754595</c:v>
                </c:pt>
                <c:pt idx="87">
                  <c:v>7815.4288317619194</c:v>
                </c:pt>
                <c:pt idx="88">
                  <c:v>7464.4590269280052</c:v>
                </c:pt>
                <c:pt idx="89">
                  <c:v>7131.7147147434243</c:v>
                </c:pt>
                <c:pt idx="90">
                  <c:v>6816.1233653301415</c:v>
                </c:pt>
                <c:pt idx="91">
                  <c:v>6516.6828776187267</c:v>
                </c:pt>
                <c:pt idx="92">
                  <c:v>6232.4564812924782</c:v>
                </c:pt>
                <c:pt idx="93">
                  <c:v>5962.568041526758</c:v>
                </c:pt>
                <c:pt idx="94">
                  <c:v>5706.1977320688584</c:v>
                </c:pt>
                <c:pt idx="95">
                  <c:v>5462.5780453726484</c:v>
                </c:pt>
                <c:pt idx="96">
                  <c:v>5230.9901113597416</c:v>
                </c:pt>
                <c:pt idx="97">
                  <c:v>5010.7602989574216</c:v>
                </c:pt>
                <c:pt idx="98">
                  <c:v>4801.2570768918686</c:v>
                </c:pt>
                <c:pt idx="99">
                  <c:v>4601.8881123193632</c:v>
                </c:pt>
                <c:pt idx="100">
                  <c:v>4412.0975877812307</c:v>
                </c:pt>
              </c:numCache>
            </c:numRef>
          </c:xVal>
          <c:yVal>
            <c:numRef>
              <c:f>'ASTM E739 stat (Max Strain)'!$U$2:$U$102</c:f>
              <c:numCache>
                <c:formatCode>0.0</c:formatCode>
                <c:ptCount val="101"/>
                <c:pt idx="0">
                  <c:v>0.4</c:v>
                </c:pt>
                <c:pt idx="1">
                  <c:v>0.40899999999999997</c:v>
                </c:pt>
                <c:pt idx="2">
                  <c:v>0.41799999999999998</c:v>
                </c:pt>
                <c:pt idx="3">
                  <c:v>0.42699999999999999</c:v>
                </c:pt>
                <c:pt idx="4">
                  <c:v>0.436</c:v>
                </c:pt>
                <c:pt idx="5">
                  <c:v>0.44499999999999995</c:v>
                </c:pt>
                <c:pt idx="6">
                  <c:v>0.45400000000000001</c:v>
                </c:pt>
                <c:pt idx="7">
                  <c:v>0.46299999999999997</c:v>
                </c:pt>
                <c:pt idx="8">
                  <c:v>0.47200000000000009</c:v>
                </c:pt>
                <c:pt idx="9">
                  <c:v>0.48099999999999998</c:v>
                </c:pt>
                <c:pt idx="10">
                  <c:v>0.49</c:v>
                </c:pt>
                <c:pt idx="11">
                  <c:v>0.49899999999999994</c:v>
                </c:pt>
                <c:pt idx="12">
                  <c:v>0.5079999999999999</c:v>
                </c:pt>
                <c:pt idx="13">
                  <c:v>0.5169999999999999</c:v>
                </c:pt>
                <c:pt idx="14">
                  <c:v>0.52600000000000002</c:v>
                </c:pt>
                <c:pt idx="15">
                  <c:v>0.53500000000000003</c:v>
                </c:pt>
                <c:pt idx="16">
                  <c:v>0.54399999999999993</c:v>
                </c:pt>
                <c:pt idx="17">
                  <c:v>0.55300000000000005</c:v>
                </c:pt>
                <c:pt idx="18">
                  <c:v>0.56199999999999994</c:v>
                </c:pt>
                <c:pt idx="19">
                  <c:v>0.57100000000000006</c:v>
                </c:pt>
                <c:pt idx="20">
                  <c:v>0.58000000000000007</c:v>
                </c:pt>
                <c:pt idx="21">
                  <c:v>0.58900000000000008</c:v>
                </c:pt>
                <c:pt idx="22">
                  <c:v>0.59800000000000009</c:v>
                </c:pt>
                <c:pt idx="23">
                  <c:v>0.60699999999999998</c:v>
                </c:pt>
                <c:pt idx="24">
                  <c:v>0.6160000000000001</c:v>
                </c:pt>
                <c:pt idx="25">
                  <c:v>0.625</c:v>
                </c:pt>
                <c:pt idx="26">
                  <c:v>0.63400000000000001</c:v>
                </c:pt>
                <c:pt idx="27">
                  <c:v>0.64300000000000002</c:v>
                </c:pt>
                <c:pt idx="28">
                  <c:v>0.65200000000000002</c:v>
                </c:pt>
                <c:pt idx="29">
                  <c:v>0.66099999999999992</c:v>
                </c:pt>
                <c:pt idx="30">
                  <c:v>0.66999999999999993</c:v>
                </c:pt>
                <c:pt idx="31">
                  <c:v>0.67900000000000005</c:v>
                </c:pt>
                <c:pt idx="32">
                  <c:v>0.68800000000000006</c:v>
                </c:pt>
                <c:pt idx="33">
                  <c:v>0.69700000000000006</c:v>
                </c:pt>
                <c:pt idx="34">
                  <c:v>0.70599999999999996</c:v>
                </c:pt>
                <c:pt idx="35">
                  <c:v>0.71500000000000008</c:v>
                </c:pt>
                <c:pt idx="36">
                  <c:v>0.72399999999999998</c:v>
                </c:pt>
                <c:pt idx="37">
                  <c:v>0.7330000000000001</c:v>
                </c:pt>
                <c:pt idx="38">
                  <c:v>0.74199999999999988</c:v>
                </c:pt>
                <c:pt idx="39">
                  <c:v>0.75100000000000011</c:v>
                </c:pt>
                <c:pt idx="40">
                  <c:v>0.7599999999999999</c:v>
                </c:pt>
                <c:pt idx="41">
                  <c:v>0.76900000000000002</c:v>
                </c:pt>
                <c:pt idx="42">
                  <c:v>0.77800000000000002</c:v>
                </c:pt>
                <c:pt idx="43">
                  <c:v>0.78700000000000003</c:v>
                </c:pt>
                <c:pt idx="44">
                  <c:v>0.79600000000000004</c:v>
                </c:pt>
                <c:pt idx="45">
                  <c:v>0.80500000000000005</c:v>
                </c:pt>
                <c:pt idx="46">
                  <c:v>0.81400000000000006</c:v>
                </c:pt>
                <c:pt idx="47">
                  <c:v>0.82300000000000006</c:v>
                </c:pt>
                <c:pt idx="48">
                  <c:v>0.83200000000000007</c:v>
                </c:pt>
                <c:pt idx="49">
                  <c:v>0.84099999999999997</c:v>
                </c:pt>
                <c:pt idx="50">
                  <c:v>0.85000000000000009</c:v>
                </c:pt>
                <c:pt idx="51">
                  <c:v>0.85899999999999987</c:v>
                </c:pt>
                <c:pt idx="52">
                  <c:v>0.8680000000000001</c:v>
                </c:pt>
                <c:pt idx="53">
                  <c:v>0.877</c:v>
                </c:pt>
                <c:pt idx="54">
                  <c:v>0.8859999999999999</c:v>
                </c:pt>
                <c:pt idx="55">
                  <c:v>0.89500000000000002</c:v>
                </c:pt>
                <c:pt idx="56">
                  <c:v>0.90400000000000003</c:v>
                </c:pt>
                <c:pt idx="57">
                  <c:v>0.91299999999999992</c:v>
                </c:pt>
                <c:pt idx="58">
                  <c:v>0.92199999999999993</c:v>
                </c:pt>
                <c:pt idx="59">
                  <c:v>0.93099999999999994</c:v>
                </c:pt>
                <c:pt idx="60">
                  <c:v>0.94000000000000006</c:v>
                </c:pt>
                <c:pt idx="61">
                  <c:v>0.94899999999999995</c:v>
                </c:pt>
                <c:pt idx="62">
                  <c:v>0.95800000000000007</c:v>
                </c:pt>
                <c:pt idx="63">
                  <c:v>0.96700000000000019</c:v>
                </c:pt>
                <c:pt idx="64">
                  <c:v>0.97600000000000009</c:v>
                </c:pt>
                <c:pt idx="65">
                  <c:v>0.9850000000000001</c:v>
                </c:pt>
                <c:pt idx="66">
                  <c:v>0.99400000000000011</c:v>
                </c:pt>
                <c:pt idx="67">
                  <c:v>1.0030000000000001</c:v>
                </c:pt>
                <c:pt idx="68">
                  <c:v>1.012</c:v>
                </c:pt>
                <c:pt idx="69">
                  <c:v>1.0209999999999999</c:v>
                </c:pt>
                <c:pt idx="70">
                  <c:v>1.03</c:v>
                </c:pt>
                <c:pt idx="71">
                  <c:v>1.0390000000000001</c:v>
                </c:pt>
                <c:pt idx="72">
                  <c:v>1.048</c:v>
                </c:pt>
                <c:pt idx="73">
                  <c:v>1.0569999999999999</c:v>
                </c:pt>
                <c:pt idx="74">
                  <c:v>1.0660000000000001</c:v>
                </c:pt>
                <c:pt idx="75">
                  <c:v>1.0750000000000002</c:v>
                </c:pt>
                <c:pt idx="76">
                  <c:v>1.0840000000000001</c:v>
                </c:pt>
                <c:pt idx="77">
                  <c:v>1.093</c:v>
                </c:pt>
                <c:pt idx="78">
                  <c:v>1.1020000000000001</c:v>
                </c:pt>
                <c:pt idx="79">
                  <c:v>1.1110000000000002</c:v>
                </c:pt>
                <c:pt idx="80">
                  <c:v>1.1200000000000001</c:v>
                </c:pt>
                <c:pt idx="81">
                  <c:v>1.129</c:v>
                </c:pt>
                <c:pt idx="82">
                  <c:v>1.1379999999999999</c:v>
                </c:pt>
                <c:pt idx="83">
                  <c:v>1.147</c:v>
                </c:pt>
                <c:pt idx="84">
                  <c:v>1.1560000000000001</c:v>
                </c:pt>
                <c:pt idx="85">
                  <c:v>1.165</c:v>
                </c:pt>
                <c:pt idx="86">
                  <c:v>1.1739999999999999</c:v>
                </c:pt>
                <c:pt idx="87">
                  <c:v>1.1829999999999998</c:v>
                </c:pt>
                <c:pt idx="88">
                  <c:v>1.1920000000000002</c:v>
                </c:pt>
                <c:pt idx="89">
                  <c:v>1.2010000000000001</c:v>
                </c:pt>
                <c:pt idx="90">
                  <c:v>1.21</c:v>
                </c:pt>
                <c:pt idx="91">
                  <c:v>1.2190000000000001</c:v>
                </c:pt>
                <c:pt idx="92">
                  <c:v>1.228</c:v>
                </c:pt>
                <c:pt idx="93">
                  <c:v>1.2370000000000001</c:v>
                </c:pt>
                <c:pt idx="94">
                  <c:v>1.246</c:v>
                </c:pt>
                <c:pt idx="95">
                  <c:v>1.2549999999999999</c:v>
                </c:pt>
                <c:pt idx="96">
                  <c:v>1.2640000000000002</c:v>
                </c:pt>
                <c:pt idx="97">
                  <c:v>1.2730000000000001</c:v>
                </c:pt>
                <c:pt idx="98">
                  <c:v>1.282</c:v>
                </c:pt>
                <c:pt idx="99">
                  <c:v>1.2910000000000001</c:v>
                </c:pt>
                <c:pt idx="100">
                  <c:v>1.3</c:v>
                </c:pt>
              </c:numCache>
            </c:numRef>
          </c:yVal>
          <c:smooth val="1"/>
        </c:ser>
        <c:ser>
          <c:idx val="4"/>
          <c:order val="3"/>
          <c:tx>
            <c:v>Lower 95% confi.</c:v>
          </c:tx>
          <c:spPr>
            <a:ln w="19050">
              <a:solidFill>
                <a:srgbClr val="0070C0"/>
              </a:solidFill>
              <a:prstDash val="sysDash"/>
            </a:ln>
          </c:spPr>
          <c:marker>
            <c:symbol val="none"/>
          </c:marker>
          <c:xVal>
            <c:numRef>
              <c:f>'ASTM E739 stat (Max Strain)'!$V$2:$V$102</c:f>
              <c:numCache>
                <c:formatCode>0</c:formatCode>
                <c:ptCount val="101"/>
                <c:pt idx="0">
                  <c:v>2246607.6983861425</c:v>
                </c:pt>
                <c:pt idx="1">
                  <c:v>2010940.7493693931</c:v>
                </c:pt>
                <c:pt idx="2">
                  <c:v>1804212.9386483585</c:v>
                </c:pt>
                <c:pt idx="3">
                  <c:v>1622361.5661986656</c:v>
                </c:pt>
                <c:pt idx="4">
                  <c:v>1461963.0332507256</c:v>
                </c:pt>
                <c:pt idx="5">
                  <c:v>1320121.8877283093</c:v>
                </c:pt>
                <c:pt idx="6">
                  <c:v>1194380.8733998169</c:v>
                </c:pt>
                <c:pt idx="7">
                  <c:v>1082647.6893936063</c:v>
                </c:pt>
                <c:pt idx="8">
                  <c:v>983135.10683241964</c:v>
                </c:pt>
                <c:pt idx="9">
                  <c:v>894311.81040022336</c:v>
                </c:pt>
                <c:pt idx="10">
                  <c:v>814861.88867059525</c:v>
                </c:pt>
                <c:pt idx="11">
                  <c:v>743651.32798380195</c:v>
                </c:pt>
                <c:pt idx="12">
                  <c:v>679700.20033981721</c:v>
                </c:pt>
                <c:pt idx="13">
                  <c:v>622159.49848566088</c:v>
                </c:pt>
                <c:pt idx="14">
                  <c:v>570291.77792105486</c:v>
                </c:pt>
                <c:pt idx="15">
                  <c:v>523454.92865052121</c:v>
                </c:pt>
                <c:pt idx="16">
                  <c:v>481088.52885718964</c:v>
                </c:pt>
                <c:pt idx="17">
                  <c:v>442702.33567107416</c:v>
                </c:pt>
                <c:pt idx="18">
                  <c:v>407866.55054460984</c:v>
                </c:pt>
                <c:pt idx="19">
                  <c:v>376203.56282577565</c:v>
                </c:pt>
                <c:pt idx="20">
                  <c:v>347380.92834166845</c:v>
                </c:pt>
                <c:pt idx="21">
                  <c:v>321105.38282690611</c:v>
                </c:pt>
                <c:pt idx="22">
                  <c:v>297117.72492687596</c:v>
                </c:pt>
                <c:pt idx="23">
                  <c:v>275188.43190469808</c:v>
                </c:pt>
                <c:pt idx="24">
                  <c:v>255113.89436688228</c:v>
                </c:pt>
                <c:pt idx="25">
                  <c:v>236713.17531155772</c:v>
                </c:pt>
                <c:pt idx="26">
                  <c:v>219825.21440111069</c:v>
                </c:pt>
                <c:pt idx="27">
                  <c:v>204306.4112103291</c:v>
                </c:pt>
                <c:pt idx="28">
                  <c:v>190028.53181493454</c:v>
                </c:pt>
                <c:pt idx="29">
                  <c:v>176876.89187536977</c:v>
                </c:pt>
                <c:pt idx="30">
                  <c:v>164748.77666783213</c:v>
                </c:pt>
                <c:pt idx="31">
                  <c:v>153552.06458610736</c:v>
                </c:pt>
                <c:pt idx="32">
                  <c:v>143204.02570007424</c:v>
                </c:pt>
                <c:pt idx="33">
                  <c:v>133630.27118586915</c:v>
                </c:pt>
                <c:pt idx="34">
                  <c:v>124763.83298239349</c:v>
                </c:pt>
                <c:pt idx="35">
                  <c:v>116544.35599745486</c:v>
                </c:pt>
                <c:pt idx="36">
                  <c:v>108917.38768243212</c:v>
                </c:pt>
                <c:pt idx="37">
                  <c:v>101833.75189909863</c:v>
                </c:pt>
                <c:pt idx="38">
                  <c:v>95248.99578561903</c:v>
                </c:pt>
                <c:pt idx="39">
                  <c:v>89122.899850172282</c:v>
                </c:pt>
                <c:pt idx="40">
                  <c:v>83419.04283108165</c:v>
                </c:pt>
                <c:pt idx="41">
                  <c:v>78104.414005116356</c:v>
                </c:pt>
                <c:pt idx="42">
                  <c:v>73149.06663688118</c:v>
                </c:pt>
                <c:pt idx="43">
                  <c:v>68525.807170191561</c:v>
                </c:pt>
                <c:pt idx="44">
                  <c:v>64209.915587106043</c:v>
                </c:pt>
                <c:pt idx="45">
                  <c:v>60178.893112971185</c:v>
                </c:pt>
                <c:pt idx="46">
                  <c:v>56412.234128947894</c:v>
                </c:pt>
                <c:pt idx="47">
                  <c:v>52891.219762010282</c:v>
                </c:pt>
                <c:pt idx="48">
                  <c:v>49598.731146302773</c:v>
                </c:pt>
                <c:pt idx="49">
                  <c:v>46519.080777486153</c:v>
                </c:pt>
                <c:pt idx="50">
                  <c:v>43637.860704394705</c:v>
                </c:pt>
                <c:pt idx="51">
                  <c:v>40941.806517374018</c:v>
                </c:pt>
                <c:pt idx="52">
                  <c:v>38418.676206304575</c:v>
                </c:pt>
                <c:pt idx="53">
                  <c:v>36057.14298897735</c:v>
                </c:pt>
                <c:pt idx="54">
                  <c:v>33846.701175162038</c:v>
                </c:pt>
                <c:pt idx="55">
                  <c:v>31777.584060569727</c:v>
                </c:pt>
                <c:pt idx="56">
                  <c:v>29840.692765041309</c:v>
                </c:pt>
                <c:pt idx="57">
                  <c:v>28027.534863887544</c:v>
                </c:pt>
                <c:pt idx="58">
                  <c:v>26330.171626741354</c:v>
                </c:pt>
                <c:pt idx="59">
                  <c:v>24741.172683066277</c:v>
                </c:pt>
                <c:pt idx="60">
                  <c:v>23253.576978523899</c:v>
                </c:pt>
                <c:pt idx="61">
                  <c:v>21860.85896672594</c:v>
                </c:pt>
                <c:pt idx="62">
                  <c:v>20556.899087656071</c:v>
                </c:pt>
                <c:pt idx="63">
                  <c:v>19335.957706846268</c:v>
                </c:pt>
                <c:pt idx="64">
                  <c:v>18192.651818073511</c:v>
                </c:pt>
                <c:pt idx="65">
                  <c:v>17121.933938264199</c:v>
                </c:pt>
                <c:pt idx="66">
                  <c:v>16119.072739972295</c:v>
                </c:pt>
                <c:pt idx="67">
                  <c:v>15179.635070061267</c:v>
                </c:pt>
                <c:pt idx="68">
                  <c:v>14299.469090981773</c:v>
                </c:pt>
                <c:pt idx="69">
                  <c:v>13474.688352904479</c:v>
                </c:pt>
                <c:pt idx="70">
                  <c:v>12701.656661762614</c:v>
                </c:pt>
                <c:pt idx="71">
                  <c:v>11976.973651551581</c:v>
                </c:pt>
                <c:pt idx="72">
                  <c:v>11297.4610010053</c:v>
                </c:pt>
                <c:pt idx="73">
                  <c:v>10660.149257077841</c:v>
                </c:pt>
                <c:pt idx="74">
                  <c:v>10062.265242494665</c:v>
                </c:pt>
                <c:pt idx="75">
                  <c:v>9501.2200337713512</c:v>
                </c:pt>
                <c:pt idx="76">
                  <c:v>8974.5975010458042</c:v>
                </c:pt>
                <c:pt idx="77">
                  <c:v>8480.1434030744495</c:v>
                </c:pt>
                <c:pt idx="78">
                  <c:v>8015.7550307850215</c:v>
                </c:pt>
                <c:pt idx="79">
                  <c:v>7579.4713916081873</c:v>
                </c:pt>
                <c:pt idx="80">
                  <c:v>7169.4639249827542</c:v>
                </c:pt>
                <c:pt idx="81">
                  <c:v>6784.0277373363206</c:v>
                </c:pt>
                <c:pt idx="82">
                  <c:v>6421.5733427549358</c:v>
                </c:pt>
                <c:pt idx="83">
                  <c:v>6080.6188936426879</c:v>
                </c:pt>
                <c:pt idx="84">
                  <c:v>5759.7828840326902</c:v>
                </c:pt>
                <c:pt idx="85">
                  <c:v>5457.7773068971092</c:v>
                </c:pt>
                <c:pt idx="86">
                  <c:v>5173.4012458236184</c:v>
                </c:pt>
                <c:pt idx="87">
                  <c:v>4905.5348807721075</c:v>
                </c:pt>
                <c:pt idx="88">
                  <c:v>4653.1338872700935</c:v>
                </c:pt>
                <c:pt idx="89">
                  <c:v>4415.2242083161764</c:v>
                </c:pt>
                <c:pt idx="90">
                  <c:v>4190.8971784003916</c:v>
                </c:pt>
                <c:pt idx="91">
                  <c:v>3979.3049793814776</c:v>
                </c:pt>
                <c:pt idx="92">
                  <c:v>3779.6564084469924</c:v>
                </c:pt>
                <c:pt idx="93">
                  <c:v>3591.2129389913271</c:v>
                </c:pt>
                <c:pt idx="94">
                  <c:v>3413.2850559487511</c:v>
                </c:pt>
                <c:pt idx="95">
                  <c:v>3245.2288478876103</c:v>
                </c:pt>
                <c:pt idx="96">
                  <c:v>3086.4428389862055</c:v>
                </c:pt>
                <c:pt idx="97">
                  <c:v>2936.3650448519838</c:v>
                </c:pt>
                <c:pt idx="98">
                  <c:v>2794.4702369972078</c:v>
                </c:pt>
                <c:pt idx="99">
                  <c:v>2660.2674016352385</c:v>
                </c:pt>
                <c:pt idx="100">
                  <c:v>2533.2973793002775</c:v>
                </c:pt>
              </c:numCache>
            </c:numRef>
          </c:xVal>
          <c:yVal>
            <c:numRef>
              <c:f>'ASTM E739 stat (Max Strain)'!$W$2:$W$102</c:f>
              <c:numCache>
                <c:formatCode>0.0</c:formatCode>
                <c:ptCount val="101"/>
                <c:pt idx="0">
                  <c:v>0.4</c:v>
                </c:pt>
                <c:pt idx="1">
                  <c:v>0.40899999999999997</c:v>
                </c:pt>
                <c:pt idx="2">
                  <c:v>0.41799999999999998</c:v>
                </c:pt>
                <c:pt idx="3">
                  <c:v>0.42699999999999999</c:v>
                </c:pt>
                <c:pt idx="4">
                  <c:v>0.436</c:v>
                </c:pt>
                <c:pt idx="5">
                  <c:v>0.44499999999999995</c:v>
                </c:pt>
                <c:pt idx="6">
                  <c:v>0.45400000000000001</c:v>
                </c:pt>
                <c:pt idx="7">
                  <c:v>0.46299999999999997</c:v>
                </c:pt>
                <c:pt idx="8">
                  <c:v>0.47200000000000009</c:v>
                </c:pt>
                <c:pt idx="9">
                  <c:v>0.48099999999999998</c:v>
                </c:pt>
                <c:pt idx="10">
                  <c:v>0.49</c:v>
                </c:pt>
                <c:pt idx="11">
                  <c:v>0.49899999999999994</c:v>
                </c:pt>
                <c:pt idx="12">
                  <c:v>0.5079999999999999</c:v>
                </c:pt>
                <c:pt idx="13">
                  <c:v>0.5169999999999999</c:v>
                </c:pt>
                <c:pt idx="14">
                  <c:v>0.52600000000000002</c:v>
                </c:pt>
                <c:pt idx="15">
                  <c:v>0.53500000000000003</c:v>
                </c:pt>
                <c:pt idx="16">
                  <c:v>0.54399999999999993</c:v>
                </c:pt>
                <c:pt idx="17">
                  <c:v>0.55300000000000005</c:v>
                </c:pt>
                <c:pt idx="18">
                  <c:v>0.56199999999999994</c:v>
                </c:pt>
                <c:pt idx="19">
                  <c:v>0.57100000000000006</c:v>
                </c:pt>
                <c:pt idx="20">
                  <c:v>0.58000000000000007</c:v>
                </c:pt>
                <c:pt idx="21">
                  <c:v>0.58900000000000008</c:v>
                </c:pt>
                <c:pt idx="22">
                  <c:v>0.59800000000000009</c:v>
                </c:pt>
                <c:pt idx="23">
                  <c:v>0.60699999999999998</c:v>
                </c:pt>
                <c:pt idx="24">
                  <c:v>0.6160000000000001</c:v>
                </c:pt>
                <c:pt idx="25">
                  <c:v>0.625</c:v>
                </c:pt>
                <c:pt idx="26">
                  <c:v>0.63400000000000001</c:v>
                </c:pt>
                <c:pt idx="27">
                  <c:v>0.64300000000000002</c:v>
                </c:pt>
                <c:pt idx="28">
                  <c:v>0.65200000000000002</c:v>
                </c:pt>
                <c:pt idx="29">
                  <c:v>0.66099999999999992</c:v>
                </c:pt>
                <c:pt idx="30">
                  <c:v>0.66999999999999993</c:v>
                </c:pt>
                <c:pt idx="31">
                  <c:v>0.67900000000000005</c:v>
                </c:pt>
                <c:pt idx="32">
                  <c:v>0.68800000000000006</c:v>
                </c:pt>
                <c:pt idx="33">
                  <c:v>0.69700000000000006</c:v>
                </c:pt>
                <c:pt idx="34">
                  <c:v>0.70599999999999996</c:v>
                </c:pt>
                <c:pt idx="35">
                  <c:v>0.71500000000000008</c:v>
                </c:pt>
                <c:pt idx="36">
                  <c:v>0.72399999999999998</c:v>
                </c:pt>
                <c:pt idx="37">
                  <c:v>0.7330000000000001</c:v>
                </c:pt>
                <c:pt idx="38">
                  <c:v>0.74199999999999988</c:v>
                </c:pt>
                <c:pt idx="39">
                  <c:v>0.75100000000000011</c:v>
                </c:pt>
                <c:pt idx="40">
                  <c:v>0.7599999999999999</c:v>
                </c:pt>
                <c:pt idx="41">
                  <c:v>0.76900000000000002</c:v>
                </c:pt>
                <c:pt idx="42">
                  <c:v>0.77800000000000002</c:v>
                </c:pt>
                <c:pt idx="43">
                  <c:v>0.78700000000000003</c:v>
                </c:pt>
                <c:pt idx="44">
                  <c:v>0.79600000000000004</c:v>
                </c:pt>
                <c:pt idx="45">
                  <c:v>0.80500000000000005</c:v>
                </c:pt>
                <c:pt idx="46">
                  <c:v>0.81400000000000006</c:v>
                </c:pt>
                <c:pt idx="47">
                  <c:v>0.82300000000000006</c:v>
                </c:pt>
                <c:pt idx="48">
                  <c:v>0.83200000000000007</c:v>
                </c:pt>
                <c:pt idx="49">
                  <c:v>0.84099999999999997</c:v>
                </c:pt>
                <c:pt idx="50">
                  <c:v>0.85000000000000009</c:v>
                </c:pt>
                <c:pt idx="51">
                  <c:v>0.85899999999999987</c:v>
                </c:pt>
                <c:pt idx="52">
                  <c:v>0.8680000000000001</c:v>
                </c:pt>
                <c:pt idx="53">
                  <c:v>0.877</c:v>
                </c:pt>
                <c:pt idx="54">
                  <c:v>0.8859999999999999</c:v>
                </c:pt>
                <c:pt idx="55">
                  <c:v>0.89500000000000002</c:v>
                </c:pt>
                <c:pt idx="56">
                  <c:v>0.90400000000000003</c:v>
                </c:pt>
                <c:pt idx="57">
                  <c:v>0.91299999999999992</c:v>
                </c:pt>
                <c:pt idx="58">
                  <c:v>0.92199999999999993</c:v>
                </c:pt>
                <c:pt idx="59">
                  <c:v>0.93099999999999994</c:v>
                </c:pt>
                <c:pt idx="60">
                  <c:v>0.94000000000000006</c:v>
                </c:pt>
                <c:pt idx="61">
                  <c:v>0.94899999999999995</c:v>
                </c:pt>
                <c:pt idx="62">
                  <c:v>0.95800000000000007</c:v>
                </c:pt>
                <c:pt idx="63">
                  <c:v>0.96700000000000019</c:v>
                </c:pt>
                <c:pt idx="64">
                  <c:v>0.97600000000000009</c:v>
                </c:pt>
                <c:pt idx="65">
                  <c:v>0.9850000000000001</c:v>
                </c:pt>
                <c:pt idx="66">
                  <c:v>0.99400000000000011</c:v>
                </c:pt>
                <c:pt idx="67">
                  <c:v>1.0030000000000001</c:v>
                </c:pt>
                <c:pt idx="68">
                  <c:v>1.012</c:v>
                </c:pt>
                <c:pt idx="69">
                  <c:v>1.0209999999999999</c:v>
                </c:pt>
                <c:pt idx="70">
                  <c:v>1.03</c:v>
                </c:pt>
                <c:pt idx="71">
                  <c:v>1.0390000000000001</c:v>
                </c:pt>
                <c:pt idx="72">
                  <c:v>1.048</c:v>
                </c:pt>
                <c:pt idx="73">
                  <c:v>1.0569999999999999</c:v>
                </c:pt>
                <c:pt idx="74">
                  <c:v>1.0660000000000001</c:v>
                </c:pt>
                <c:pt idx="75">
                  <c:v>1.0750000000000002</c:v>
                </c:pt>
                <c:pt idx="76">
                  <c:v>1.0840000000000001</c:v>
                </c:pt>
                <c:pt idx="77">
                  <c:v>1.093</c:v>
                </c:pt>
                <c:pt idx="78">
                  <c:v>1.1020000000000001</c:v>
                </c:pt>
                <c:pt idx="79">
                  <c:v>1.1110000000000002</c:v>
                </c:pt>
                <c:pt idx="80">
                  <c:v>1.1200000000000001</c:v>
                </c:pt>
                <c:pt idx="81">
                  <c:v>1.129</c:v>
                </c:pt>
                <c:pt idx="82">
                  <c:v>1.1379999999999999</c:v>
                </c:pt>
                <c:pt idx="83">
                  <c:v>1.147</c:v>
                </c:pt>
                <c:pt idx="84">
                  <c:v>1.1560000000000001</c:v>
                </c:pt>
                <c:pt idx="85">
                  <c:v>1.165</c:v>
                </c:pt>
                <c:pt idx="86">
                  <c:v>1.1739999999999999</c:v>
                </c:pt>
                <c:pt idx="87">
                  <c:v>1.1829999999999998</c:v>
                </c:pt>
                <c:pt idx="88">
                  <c:v>1.1920000000000002</c:v>
                </c:pt>
                <c:pt idx="89">
                  <c:v>1.2010000000000001</c:v>
                </c:pt>
                <c:pt idx="90">
                  <c:v>1.21</c:v>
                </c:pt>
                <c:pt idx="91">
                  <c:v>1.2190000000000001</c:v>
                </c:pt>
                <c:pt idx="92">
                  <c:v>1.228</c:v>
                </c:pt>
                <c:pt idx="93">
                  <c:v>1.2370000000000001</c:v>
                </c:pt>
                <c:pt idx="94">
                  <c:v>1.246</c:v>
                </c:pt>
                <c:pt idx="95">
                  <c:v>1.2549999999999999</c:v>
                </c:pt>
                <c:pt idx="96">
                  <c:v>1.2640000000000002</c:v>
                </c:pt>
                <c:pt idx="97">
                  <c:v>1.2730000000000001</c:v>
                </c:pt>
                <c:pt idx="98">
                  <c:v>1.282</c:v>
                </c:pt>
                <c:pt idx="99">
                  <c:v>1.2910000000000001</c:v>
                </c:pt>
                <c:pt idx="100">
                  <c:v>1.3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946496"/>
        <c:axId val="81977344"/>
      </c:scatterChart>
      <c:valAx>
        <c:axId val="81946496"/>
        <c:scaling>
          <c:logBase val="10"/>
          <c:orientation val="minMax"/>
          <c:max val="10000000"/>
          <c:min val="1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Number of cycles to faliure</a:t>
                </a:r>
              </a:p>
            </c:rich>
          </c:tx>
          <c:layout>
            <c:manualLayout>
              <c:xMode val="edge"/>
              <c:yMode val="edge"/>
              <c:x val="0.39193381592555487"/>
              <c:y val="0.947457627118644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1977344"/>
        <c:crosses val="autoZero"/>
        <c:crossBetween val="midCat"/>
      </c:valAx>
      <c:valAx>
        <c:axId val="81977344"/>
        <c:scaling>
          <c:orientation val="minMax"/>
          <c:max val="1.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Max Strain (%)</a:t>
                </a:r>
              </a:p>
            </c:rich>
          </c:tx>
          <c:layout>
            <c:manualLayout>
              <c:xMode val="edge"/>
              <c:yMode val="edge"/>
              <c:x val="1.0341261633919601E-3"/>
              <c:y val="0.36949152542372876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194649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txPr>
          <a:bodyPr/>
          <a:lstStyle/>
          <a:p>
            <a:pPr>
              <a:defRPr>
                <a:latin typeface="+mn-lt"/>
              </a:defRPr>
            </a:pPr>
            <a:endParaRPr lang="en-US"/>
          </a:p>
        </c:txPr>
      </c:legendEntry>
      <c:layout>
        <c:manualLayout>
          <c:xMode val="edge"/>
          <c:yMode val="edge"/>
          <c:x val="0.76008273009307414"/>
          <c:y val="8.8700564971751744E-2"/>
          <c:w val="0.23937268441238024"/>
          <c:h val="0.2451920459095155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>
              <a:latin typeface="+mn-l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+mn-lt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Results!$D$1</c:f>
          <c:strCache>
            <c:ptCount val="1"/>
            <c:pt idx="0">
              <c:v>EQA03 Fatigue test</c:v>
            </c:pt>
          </c:strCache>
        </c:strRef>
      </c:tx>
      <c:layout>
        <c:manualLayout>
          <c:xMode val="edge"/>
          <c:yMode val="edge"/>
          <c:x val="0.42605997931747913"/>
          <c:y val="1.581920903954802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600" b="1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832471561530524E-2"/>
          <c:y val="8.6440677966101193E-2"/>
          <c:w val="0.87073422957601065"/>
          <c:h val="0.81016949152542372"/>
        </c:manualLayout>
      </c:layout>
      <c:scatterChart>
        <c:scatterStyle val="smoothMarker"/>
        <c:varyColors val="0"/>
        <c:ser>
          <c:idx val="1"/>
          <c:order val="0"/>
          <c:tx>
            <c:v>R = 0.10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strRef>
              <c:f>Results!$C$23:$C$31</c:f>
              <c:strCache>
                <c:ptCount val="9"/>
                <c:pt idx="0">
                  <c:v>Statisk</c:v>
                </c:pt>
                <c:pt idx="1">
                  <c:v>Statisk</c:v>
                </c:pt>
                <c:pt idx="2">
                  <c:v>Statisk</c:v>
                </c:pt>
                <c:pt idx="3">
                  <c:v>0</c:v>
                </c:pt>
                <c:pt idx="4">
                  <c:v>2000000</c:v>
                </c:pt>
                <c:pt idx="5">
                  <c:v>234687</c:v>
                </c:pt>
                <c:pt idx="6">
                  <c:v>417783</c:v>
                </c:pt>
                <c:pt idx="7">
                  <c:v>1500000</c:v>
                </c:pt>
                <c:pt idx="8">
                  <c:v>4683</c:v>
                </c:pt>
              </c:strCache>
            </c:strRef>
          </c:xVal>
          <c:yVal>
            <c:numRef>
              <c:f>Results!$D$23:$D$30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0.49500000000000005</c:v>
                </c:pt>
                <c:pt idx="5">
                  <c:v>0.63</c:v>
                </c:pt>
                <c:pt idx="6">
                  <c:v>0.54</c:v>
                </c:pt>
                <c:pt idx="7">
                  <c:v>0.45</c:v>
                </c:pt>
              </c:numCache>
            </c:numRef>
          </c:yVal>
          <c:smooth val="1"/>
        </c:ser>
        <c:ser>
          <c:idx val="5"/>
          <c:order val="1"/>
          <c:tx>
            <c:v>R = 0.10 run out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Results!$A$33:$A$34</c:f>
              <c:numCache>
                <c:formatCode>0</c:formatCode>
                <c:ptCount val="2"/>
                <c:pt idx="0">
                  <c:v>32980</c:v>
                </c:pt>
                <c:pt idx="1">
                  <c:v>95620</c:v>
                </c:pt>
              </c:numCache>
            </c:numRef>
          </c:xVal>
          <c:yVal>
            <c:numRef>
              <c:f>Results!$B$33:$B$34</c:f>
              <c:numCache>
                <c:formatCode>0.000</c:formatCode>
                <c:ptCount val="2"/>
                <c:pt idx="0">
                  <c:v>0.9</c:v>
                </c:pt>
                <c:pt idx="1">
                  <c:v>0.8</c:v>
                </c:pt>
              </c:numCache>
            </c:numRef>
          </c:yVal>
          <c:smooth val="1"/>
        </c:ser>
        <c:ser>
          <c:idx val="0"/>
          <c:order val="2"/>
          <c:tx>
            <c:v>50% Basquin line (S independent)</c:v>
          </c:tx>
          <c:spPr>
            <a:ln w="19050"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'ASTM E739 stat (Strain Range)'!$T$2:$T$102</c:f>
              <c:numCache>
                <c:formatCode>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xVal>
          <c:yVal>
            <c:numRef>
              <c:f>'ASTM E739 stat (Strain Range)'!$U$2:$U$102</c:f>
              <c:numCache>
                <c:formatCode>0.0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</c:ser>
        <c:ser>
          <c:idx val="4"/>
          <c:order val="3"/>
          <c:tx>
            <c:v>Lower 95% confi.</c:v>
          </c:tx>
          <c:spPr>
            <a:ln w="19050">
              <a:solidFill>
                <a:srgbClr val="0070C0"/>
              </a:solidFill>
              <a:prstDash val="sysDash"/>
            </a:ln>
          </c:spPr>
          <c:marker>
            <c:symbol val="none"/>
          </c:marker>
          <c:xVal>
            <c:numRef>
              <c:f>'ASTM E739 stat (Strain Range)'!$V$2:$V$102</c:f>
              <c:numCache>
                <c:formatCode>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xVal>
          <c:yVal>
            <c:numRef>
              <c:f>'ASTM E739 stat (Strain Range)'!$W$2:$W$102</c:f>
              <c:numCache>
                <c:formatCode>0.0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13888"/>
        <c:axId val="81815808"/>
      </c:scatterChart>
      <c:valAx>
        <c:axId val="81813888"/>
        <c:scaling>
          <c:logBase val="10"/>
          <c:orientation val="minMax"/>
          <c:max val="10000000"/>
          <c:min val="1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Number of cycles to faliure</a:t>
                </a:r>
              </a:p>
            </c:rich>
          </c:tx>
          <c:layout>
            <c:manualLayout>
              <c:xMode val="edge"/>
              <c:yMode val="edge"/>
              <c:x val="0.39193381592555493"/>
              <c:y val="0.947457627118644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1815808"/>
        <c:crosses val="autoZero"/>
        <c:crossBetween val="midCat"/>
      </c:valAx>
      <c:valAx>
        <c:axId val="81815808"/>
        <c:scaling>
          <c:orientation val="minMax"/>
          <c:max val="1.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Strain Range (%)</a:t>
                </a:r>
              </a:p>
            </c:rich>
          </c:tx>
          <c:layout>
            <c:manualLayout>
              <c:xMode val="edge"/>
              <c:yMode val="edge"/>
              <c:x val="1.0341261633919601E-3"/>
              <c:y val="0.3694915254237287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181388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txPr>
          <a:bodyPr/>
          <a:lstStyle/>
          <a:p>
            <a:pPr>
              <a:defRPr>
                <a:latin typeface="+mn-lt"/>
              </a:defRPr>
            </a:pPr>
            <a:endParaRPr lang="en-US"/>
          </a:p>
        </c:txPr>
      </c:legendEntry>
      <c:layout>
        <c:manualLayout>
          <c:xMode val="edge"/>
          <c:yMode val="edge"/>
          <c:x val="0.75594622543950674"/>
          <c:y val="8.644067796610122E-2"/>
          <c:w val="0.23937268441238024"/>
          <c:h val="0.2451920459095155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>
              <a:latin typeface="+mn-l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+mn-lt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Results!$D$1</c:f>
          <c:strCache>
            <c:ptCount val="1"/>
            <c:pt idx="0">
              <c:v>EQA03 Fatigue test</c:v>
            </c:pt>
          </c:strCache>
        </c:strRef>
      </c:tx>
      <c:layout>
        <c:manualLayout>
          <c:xMode val="edge"/>
          <c:yMode val="edge"/>
          <c:x val="0.4260599793174793"/>
          <c:y val="1.581920903954802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600" b="1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53636677007934E-2"/>
          <c:y val="8.4180790960452265E-2"/>
          <c:w val="0.87073422957601065"/>
          <c:h val="0.81016949152542372"/>
        </c:manualLayout>
      </c:layout>
      <c:scatterChart>
        <c:scatterStyle val="smoothMarker"/>
        <c:varyColors val="0"/>
        <c:ser>
          <c:idx val="1"/>
          <c:order val="0"/>
          <c:tx>
            <c:v>R = 0.10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strRef>
              <c:f>Results!$E$23:$E$31</c:f>
              <c:strCache>
                <c:ptCount val="9"/>
                <c:pt idx="0">
                  <c:v>Statisk</c:v>
                </c:pt>
                <c:pt idx="1">
                  <c:v>Statisk</c:v>
                </c:pt>
                <c:pt idx="2">
                  <c:v>Statisk</c:v>
                </c:pt>
                <c:pt idx="3">
                  <c:v>0</c:v>
                </c:pt>
                <c:pt idx="4">
                  <c:v>2000000</c:v>
                </c:pt>
                <c:pt idx="5">
                  <c:v>234687</c:v>
                </c:pt>
                <c:pt idx="6">
                  <c:v>417783</c:v>
                </c:pt>
                <c:pt idx="7">
                  <c:v>1500000</c:v>
                </c:pt>
                <c:pt idx="8">
                  <c:v>4683</c:v>
                </c:pt>
              </c:strCache>
            </c:strRef>
          </c:xVal>
          <c:yVal>
            <c:numRef>
              <c:f>Results!$F$23:$F$30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</c:ser>
        <c:ser>
          <c:idx val="5"/>
          <c:order val="1"/>
          <c:tx>
            <c:v>R = 0.10 run out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Results!$A$33:$A$34</c:f>
              <c:numCache>
                <c:formatCode>0</c:formatCode>
                <c:ptCount val="2"/>
                <c:pt idx="0">
                  <c:v>32980</c:v>
                </c:pt>
                <c:pt idx="1">
                  <c:v>95620</c:v>
                </c:pt>
              </c:numCache>
            </c:numRef>
          </c:xVal>
          <c:yVal>
            <c:numRef>
              <c:f>Results!$B$33:$B$34</c:f>
              <c:numCache>
                <c:formatCode>0.000</c:formatCode>
                <c:ptCount val="2"/>
                <c:pt idx="0">
                  <c:v>0.9</c:v>
                </c:pt>
                <c:pt idx="1">
                  <c:v>0.8</c:v>
                </c:pt>
              </c:numCache>
            </c:numRef>
          </c:yVal>
          <c:smooth val="1"/>
        </c:ser>
        <c:ser>
          <c:idx val="0"/>
          <c:order val="2"/>
          <c:tx>
            <c:v>50% Basquin line (S independent)</c:v>
          </c:tx>
          <c:spPr>
            <a:ln w="19050"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'ASTM E739 stat (Max Stress)'!$T$2:$T$102</c:f>
              <c:numCache>
                <c:formatCode>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xVal>
          <c:yVal>
            <c:numRef>
              <c:f>'ASTM E739 stat (Max Stress)'!$U$2:$U$102</c:f>
              <c:numCache>
                <c:formatCode>0.0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</c:ser>
        <c:ser>
          <c:idx val="4"/>
          <c:order val="3"/>
          <c:tx>
            <c:v>Lower 95% confi.</c:v>
          </c:tx>
          <c:spPr>
            <a:ln w="19050">
              <a:solidFill>
                <a:srgbClr val="0070C0"/>
              </a:solidFill>
              <a:prstDash val="sysDash"/>
            </a:ln>
          </c:spPr>
          <c:marker>
            <c:symbol val="none"/>
          </c:marker>
          <c:xVal>
            <c:numRef>
              <c:f>'ASTM E739 stat (Max Stress)'!$V$2:$V$102</c:f>
              <c:numCache>
                <c:formatCode>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xVal>
          <c:yVal>
            <c:numRef>
              <c:f>'ASTM E739 stat (Max Stress)'!$W$2:$W$102</c:f>
              <c:numCache>
                <c:formatCode>0.0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503936"/>
        <c:axId val="82387328"/>
      </c:scatterChart>
      <c:valAx>
        <c:axId val="82503936"/>
        <c:scaling>
          <c:logBase val="10"/>
          <c:orientation val="minMax"/>
          <c:max val="10000000"/>
          <c:min val="1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Number of cycles to faliure</a:t>
                </a:r>
              </a:p>
            </c:rich>
          </c:tx>
          <c:layout>
            <c:manualLayout>
              <c:xMode val="edge"/>
              <c:yMode val="edge"/>
              <c:x val="0.39193381592555504"/>
              <c:y val="0.947457627118644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2387328"/>
        <c:crosses val="autoZero"/>
        <c:crossBetween val="midCat"/>
      </c:valAx>
      <c:valAx>
        <c:axId val="82387328"/>
        <c:scaling>
          <c:orientation val="minMax"/>
          <c:max val="8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Max Stress (MPa)</a:t>
                </a:r>
              </a:p>
            </c:rich>
          </c:tx>
          <c:layout>
            <c:manualLayout>
              <c:xMode val="edge"/>
              <c:yMode val="edge"/>
              <c:x val="1.0341261633919601E-3"/>
              <c:y val="0.3694915254237287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250393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txPr>
          <a:bodyPr/>
          <a:lstStyle/>
          <a:p>
            <a:pPr>
              <a:defRPr>
                <a:latin typeface="+mn-lt"/>
              </a:defRPr>
            </a:pPr>
            <a:endParaRPr lang="en-US"/>
          </a:p>
        </c:txPr>
      </c:legendEntry>
      <c:layout>
        <c:manualLayout>
          <c:xMode val="edge"/>
          <c:yMode val="edge"/>
          <c:x val="0.75594622543950685"/>
          <c:y val="8.6440677966101193E-2"/>
          <c:w val="0.23937268441238024"/>
          <c:h val="0.2451920459095155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>
              <a:latin typeface="+mn-l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+mn-lt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/>
  </sheetViews>
  <pageMargins left="0.75" right="0.75" top="1" bottom="1" header="0.5" footer="0.5"/>
  <pageSetup paperSize="9"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5" workbookViewId="0"/>
  </sheetViews>
  <pageMargins left="0.75" right="0.75" top="1" bottom="1" header="0.5" footer="0.5"/>
  <pageSetup paperSize="9"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25" workbookViewId="0"/>
  </sheetViews>
  <pageMargins left="0.75" right="0.75" top="1" bottom="1" header="0.5" footer="0.5"/>
  <pageSetup paperSize="9" orientation="landscape" horizontalDpi="300" verticalDpi="3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10261" cy="56156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0.24981</cdr:x>
      <cdr:y>0.32756</cdr:y>
    </cdr:from>
    <cdr:to>
      <cdr:x>0.42706</cdr:x>
      <cdr:y>0.36481</cdr:y>
    </cdr:to>
    <cdr:sp macro="" textlink="'ASTM E739 stat (Max Strain)'!$J$14">
      <cdr:nvSpPr>
        <cdr:cNvPr id="102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2300917" y="1840790"/>
          <a:ext cx="1632592" cy="2093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fld id="{94896840-5BF0-4B2E-B665-803A91061348}" type="TxLink">
            <a:rPr lang="en-US" sz="1000" b="0" i="0" strike="noStrike">
              <a:solidFill>
                <a:srgbClr val="000000"/>
              </a:solidFill>
              <a:latin typeface="+mn-lt"/>
              <a:cs typeface="Arial"/>
            </a:rPr>
            <a:pPr algn="l" rtl="0">
              <a:defRPr sz="1000"/>
            </a:pPr>
            <a:t>(X=21647.9Y^-6.06)</a:t>
          </a:fld>
          <a:endParaRPr lang="en-US" sz="1000" b="0" i="0" strike="noStrike">
            <a:solidFill>
              <a:srgbClr val="000000"/>
            </a:solidFill>
            <a:latin typeface="+mn-lt"/>
            <a:cs typeface="Arial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20200" cy="562356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0.58438</cdr:x>
      <cdr:y>0.34002</cdr:y>
    </cdr:from>
    <cdr:to>
      <cdr:x>0.76163</cdr:x>
      <cdr:y>0.37727</cdr:y>
    </cdr:to>
    <cdr:sp macro="" textlink="'ASTM E739 stat (Strain Range)'!$J$14">
      <cdr:nvSpPr>
        <cdr:cNvPr id="102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5382497" y="1910838"/>
          <a:ext cx="1632593" cy="2093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fld id="{94896840-5BF0-4B2E-B665-803A91061348}" type="TxLink">
            <a:rPr lang="en-US" sz="1000" b="0" i="0" strike="noStrike">
              <a:solidFill>
                <a:srgbClr val="000000"/>
              </a:solidFill>
              <a:latin typeface="+mn-lt"/>
              <a:cs typeface="Arial"/>
            </a:rPr>
            <a:pPr algn="l" rtl="0">
              <a:defRPr sz="1000"/>
            </a:pPr>
            <a:t>#VALUE!</a:t>
          </a:fld>
          <a:endParaRPr lang="en-US" sz="1000" b="0" i="0" strike="noStrike">
            <a:solidFill>
              <a:srgbClr val="000000"/>
            </a:solidFill>
            <a:latin typeface="+mn-lt"/>
            <a:cs typeface="Arial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20200" cy="562356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0.51983</cdr:x>
      <cdr:y>0.25339</cdr:y>
    </cdr:from>
    <cdr:to>
      <cdr:x>0.7157</cdr:x>
      <cdr:y>0.29675</cdr:y>
    </cdr:to>
    <cdr:sp macro="" textlink="'ASTM E739 stat (Max Stress)'!$J$14">
      <cdr:nvSpPr>
        <cdr:cNvPr id="2" name="TextBox 1"/>
        <cdr:cNvSpPr txBox="1"/>
      </cdr:nvSpPr>
      <cdr:spPr>
        <a:xfrm xmlns:a="http://schemas.openxmlformats.org/drawingml/2006/main">
          <a:off x="4792980" y="1424940"/>
          <a:ext cx="1805940" cy="2438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6010028A-B93E-4343-B420-A95E999FB473}" type="TxLink">
            <a:rPr lang="en-GB" sz="1100"/>
            <a:pPr/>
            <a:t>#VALUE!</a:t>
          </a:fld>
          <a:endParaRPr lang="en-GB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9"/>
  <sheetViews>
    <sheetView topLeftCell="D1" zoomScale="75" workbookViewId="0">
      <selection activeCell="M14" sqref="M14"/>
    </sheetView>
  </sheetViews>
  <sheetFormatPr defaultRowHeight="12.75" x14ac:dyDescent="0.2"/>
  <cols>
    <col min="1" max="1" width="15.140625" style="3" customWidth="1"/>
    <col min="2" max="2" width="11.42578125" style="3" bestFit="1" customWidth="1"/>
    <col min="3" max="3" width="14" style="3" customWidth="1"/>
    <col min="4" max="4" width="11.5703125" style="3" bestFit="1" customWidth="1"/>
    <col min="5" max="5" width="11" style="3" bestFit="1" customWidth="1"/>
    <col min="6" max="6" width="12.140625" style="3" bestFit="1" customWidth="1"/>
    <col min="7" max="7" width="15.5703125" style="3" bestFit="1" customWidth="1"/>
    <col min="8" max="8" width="16.140625" style="3" bestFit="1" customWidth="1"/>
    <col min="9" max="9" width="11.140625" style="3" bestFit="1" customWidth="1"/>
    <col min="10" max="10" width="10.85546875" style="3" bestFit="1" customWidth="1"/>
    <col min="11" max="11" width="11.7109375" style="3" bestFit="1" customWidth="1"/>
    <col min="12" max="12" width="18" style="3" bestFit="1" customWidth="1"/>
    <col min="13" max="13" width="49.140625" style="3" bestFit="1" customWidth="1"/>
    <col min="14" max="14" width="15.7109375" style="3" customWidth="1"/>
    <col min="15" max="15" width="52.7109375" style="3" bestFit="1" customWidth="1"/>
    <col min="16" max="16384" width="9.140625" style="3"/>
  </cols>
  <sheetData>
    <row r="1" spans="1:17" ht="15.75" x14ac:dyDescent="0.25">
      <c r="A1" s="65" t="s">
        <v>133</v>
      </c>
      <c r="L1" s="12"/>
    </row>
    <row r="3" spans="1:17" ht="15.75" x14ac:dyDescent="0.25">
      <c r="A3" s="66" t="s">
        <v>132</v>
      </c>
      <c r="B3" s="222" t="s">
        <v>147</v>
      </c>
      <c r="C3" s="10"/>
      <c r="D3" s="10"/>
      <c r="F3" s="10"/>
      <c r="G3" s="10"/>
      <c r="H3" s="10"/>
      <c r="I3" s="10"/>
      <c r="J3" s="11" t="s">
        <v>99</v>
      </c>
      <c r="K3" s="10" t="s">
        <v>100</v>
      </c>
      <c r="M3" s="12"/>
    </row>
    <row r="4" spans="1:17" ht="15.75" x14ac:dyDescent="0.25">
      <c r="A4" s="13" t="s">
        <v>0</v>
      </c>
      <c r="B4" s="223" t="s">
        <v>148</v>
      </c>
      <c r="C4" s="67"/>
      <c r="D4" s="47"/>
      <c r="E4" s="14"/>
      <c r="F4" s="14"/>
      <c r="G4" s="14"/>
      <c r="H4" s="14"/>
      <c r="I4" s="24" t="s">
        <v>26</v>
      </c>
      <c r="J4" s="23"/>
      <c r="K4" s="24"/>
      <c r="M4" s="12"/>
    </row>
    <row r="5" spans="1:17" ht="15.75" x14ac:dyDescent="0.25">
      <c r="A5" s="13" t="s">
        <v>131</v>
      </c>
      <c r="B5" s="13"/>
      <c r="C5" s="48"/>
      <c r="D5" s="15"/>
      <c r="E5" s="13" t="s">
        <v>103</v>
      </c>
      <c r="F5" s="15"/>
      <c r="G5" s="15"/>
      <c r="H5" s="15"/>
      <c r="I5" s="16"/>
      <c r="J5" s="28"/>
      <c r="K5" s="29"/>
      <c r="L5" s="15"/>
      <c r="M5" s="17"/>
    </row>
    <row r="6" spans="1:17" ht="16.5" thickBot="1" x14ac:dyDescent="0.3">
      <c r="A6" s="48"/>
      <c r="B6" s="15" t="s">
        <v>1</v>
      </c>
      <c r="C6" s="48">
        <v>0.1</v>
      </c>
      <c r="D6" s="15"/>
      <c r="E6" s="15" t="s">
        <v>104</v>
      </c>
      <c r="F6" s="13" t="s">
        <v>105</v>
      </c>
      <c r="G6" s="13"/>
      <c r="H6" s="13"/>
      <c r="I6" s="15"/>
      <c r="J6" s="15"/>
      <c r="K6" s="15"/>
      <c r="L6" s="15"/>
      <c r="M6" s="17"/>
      <c r="O6" s="60"/>
      <c r="P6" s="60"/>
      <c r="Q6" s="60"/>
    </row>
    <row r="7" spans="1:17" ht="15.75" x14ac:dyDescent="0.25">
      <c r="A7" s="18"/>
      <c r="B7" s="30" t="s">
        <v>2</v>
      </c>
      <c r="C7" s="31" t="s">
        <v>3</v>
      </c>
      <c r="D7" s="31" t="s">
        <v>4</v>
      </c>
      <c r="E7" s="31" t="s">
        <v>17</v>
      </c>
      <c r="F7" s="31" t="s">
        <v>23</v>
      </c>
      <c r="G7" s="31" t="s">
        <v>106</v>
      </c>
      <c r="H7" s="31" t="s">
        <v>107</v>
      </c>
      <c r="I7" s="31" t="s">
        <v>6</v>
      </c>
      <c r="J7" s="31" t="s">
        <v>19</v>
      </c>
      <c r="K7" s="31" t="s">
        <v>8</v>
      </c>
      <c r="L7" s="31" t="s">
        <v>9</v>
      </c>
      <c r="M7" s="32" t="s">
        <v>10</v>
      </c>
      <c r="N7" s="19" t="s">
        <v>24</v>
      </c>
      <c r="O7" s="60"/>
      <c r="P7" s="60"/>
      <c r="Q7" s="60"/>
    </row>
    <row r="8" spans="1:17" ht="16.5" thickBot="1" x14ac:dyDescent="0.3">
      <c r="A8" s="115" t="s">
        <v>18</v>
      </c>
      <c r="B8" s="116" t="s">
        <v>11</v>
      </c>
      <c r="C8" s="117" t="s">
        <v>12</v>
      </c>
      <c r="D8" s="117" t="s">
        <v>12</v>
      </c>
      <c r="E8" s="117" t="s">
        <v>21</v>
      </c>
      <c r="F8" s="117" t="s">
        <v>13</v>
      </c>
      <c r="G8" s="117"/>
      <c r="H8" s="117"/>
      <c r="I8" s="117" t="s">
        <v>15</v>
      </c>
      <c r="J8" s="117" t="s">
        <v>15</v>
      </c>
      <c r="K8" s="117" t="s">
        <v>16</v>
      </c>
      <c r="L8" s="117"/>
      <c r="M8" s="118"/>
      <c r="N8" s="26"/>
      <c r="O8" s="60"/>
      <c r="P8" s="60"/>
      <c r="Q8" s="60"/>
    </row>
    <row r="9" spans="1:17" ht="37.5" customHeight="1" thickBot="1" x14ac:dyDescent="0.3">
      <c r="A9" s="121">
        <v>42233</v>
      </c>
      <c r="B9" s="36" t="str">
        <f t="shared" ref="B9:B17" si="0">+$B$4&amp;"-0"&amp;TEXT((ROW()-8),0)</f>
        <v>EQA03-01</v>
      </c>
      <c r="C9" s="27">
        <v>25.37</v>
      </c>
      <c r="D9" s="27">
        <v>4.4000000000000004</v>
      </c>
      <c r="E9" s="204">
        <f t="shared" ref="E9:E17" si="1">+C9*D9</f>
        <v>111.62800000000001</v>
      </c>
      <c r="F9" s="27"/>
      <c r="G9" s="27"/>
      <c r="H9" s="224"/>
      <c r="I9" s="37"/>
      <c r="J9" s="27"/>
      <c r="K9" s="27" t="s">
        <v>155</v>
      </c>
      <c r="L9" s="225" t="s">
        <v>154</v>
      </c>
      <c r="M9" s="120" t="s">
        <v>157</v>
      </c>
      <c r="N9" s="33" t="s">
        <v>149</v>
      </c>
      <c r="O9" s="60"/>
      <c r="P9" s="60"/>
      <c r="Q9" s="60"/>
    </row>
    <row r="10" spans="1:17" ht="37.5" customHeight="1" thickBot="1" x14ac:dyDescent="0.3">
      <c r="A10" s="121">
        <v>42233</v>
      </c>
      <c r="B10" s="34" t="str">
        <f t="shared" si="0"/>
        <v>EQA03-02</v>
      </c>
      <c r="C10" s="22">
        <v>25.38</v>
      </c>
      <c r="D10" s="22">
        <v>4.51</v>
      </c>
      <c r="E10" s="205">
        <f t="shared" si="1"/>
        <v>114.46379999999999</v>
      </c>
      <c r="F10" s="22"/>
      <c r="G10" s="35"/>
      <c r="H10" s="35"/>
      <c r="I10" s="35"/>
      <c r="J10" s="22"/>
      <c r="K10" s="27" t="s">
        <v>155</v>
      </c>
      <c r="L10" s="225" t="s">
        <v>154</v>
      </c>
      <c r="M10" s="120" t="s">
        <v>157</v>
      </c>
      <c r="N10" s="33" t="s">
        <v>149</v>
      </c>
      <c r="O10" s="60"/>
      <c r="P10" s="60"/>
      <c r="Q10" s="60"/>
    </row>
    <row r="11" spans="1:17" ht="37.5" customHeight="1" x14ac:dyDescent="0.25">
      <c r="A11" s="121">
        <v>42233</v>
      </c>
      <c r="B11" s="34" t="str">
        <f t="shared" si="0"/>
        <v>EQA03-03</v>
      </c>
      <c r="C11" s="20">
        <v>25.41</v>
      </c>
      <c r="D11" s="20">
        <v>4.45</v>
      </c>
      <c r="E11" s="205">
        <f t="shared" si="1"/>
        <v>113.0745</v>
      </c>
      <c r="F11" s="20"/>
      <c r="G11" s="20"/>
      <c r="H11" s="20"/>
      <c r="I11" s="21"/>
      <c r="J11" s="20"/>
      <c r="K11" s="27" t="s">
        <v>155</v>
      </c>
      <c r="L11" s="225" t="s">
        <v>154</v>
      </c>
      <c r="M11" s="120" t="s">
        <v>157</v>
      </c>
      <c r="N11" s="33" t="s">
        <v>149</v>
      </c>
      <c r="O11" s="60"/>
      <c r="P11" s="60"/>
      <c r="Q11" s="60"/>
    </row>
    <row r="12" spans="1:17" ht="37.5" customHeight="1" x14ac:dyDescent="0.3">
      <c r="A12" s="121"/>
      <c r="B12" s="34" t="str">
        <f t="shared" si="0"/>
        <v>EQA03-04</v>
      </c>
      <c r="C12" s="20">
        <v>25.43</v>
      </c>
      <c r="D12" s="20">
        <v>4.42</v>
      </c>
      <c r="E12" s="205">
        <f t="shared" si="1"/>
        <v>112.4006</v>
      </c>
      <c r="F12" s="20"/>
      <c r="G12" s="21"/>
      <c r="H12" s="21"/>
      <c r="I12" s="21"/>
      <c r="J12" s="20"/>
      <c r="K12" s="22"/>
      <c r="L12" s="119"/>
      <c r="M12" s="44"/>
      <c r="N12" s="122"/>
      <c r="O12" s="60"/>
      <c r="P12" s="60"/>
      <c r="Q12" s="60"/>
    </row>
    <row r="13" spans="1:17" ht="37.5" customHeight="1" x14ac:dyDescent="0.3">
      <c r="A13" s="121">
        <v>42233</v>
      </c>
      <c r="B13" s="34" t="str">
        <f t="shared" si="0"/>
        <v>EQA03-05</v>
      </c>
      <c r="C13" s="22">
        <v>25.35</v>
      </c>
      <c r="D13" s="22">
        <v>4.49</v>
      </c>
      <c r="E13" s="205">
        <f t="shared" si="1"/>
        <v>113.82150000000001</v>
      </c>
      <c r="F13" s="20">
        <v>0.55000000000000004</v>
      </c>
      <c r="G13" s="20">
        <v>35.93</v>
      </c>
      <c r="H13" s="20">
        <v>36.07</v>
      </c>
      <c r="I13" s="21">
        <v>22.58</v>
      </c>
      <c r="J13" s="20">
        <v>2.2599999999999998</v>
      </c>
      <c r="K13" s="22">
        <v>5</v>
      </c>
      <c r="L13" s="25">
        <v>2000000</v>
      </c>
      <c r="M13" s="44" t="s">
        <v>158</v>
      </c>
      <c r="N13" s="122" t="s">
        <v>156</v>
      </c>
      <c r="O13" s="60"/>
      <c r="P13" s="60"/>
      <c r="Q13" s="60"/>
    </row>
    <row r="14" spans="1:17" ht="37.5" customHeight="1" x14ac:dyDescent="0.3">
      <c r="A14" s="121">
        <v>42233</v>
      </c>
      <c r="B14" s="34" t="str">
        <f t="shared" si="0"/>
        <v>EQA03-06</v>
      </c>
      <c r="C14" s="22">
        <v>25.38</v>
      </c>
      <c r="D14" s="22">
        <v>4.4400000000000004</v>
      </c>
      <c r="E14" s="205">
        <f t="shared" si="1"/>
        <v>112.6872</v>
      </c>
      <c r="F14" s="20">
        <v>0.7</v>
      </c>
      <c r="G14" s="20">
        <v>35.86</v>
      </c>
      <c r="H14" s="20">
        <v>35.79</v>
      </c>
      <c r="I14" s="21">
        <v>28.23</v>
      </c>
      <c r="J14" s="20">
        <v>2.82</v>
      </c>
      <c r="K14" s="22">
        <v>5</v>
      </c>
      <c r="L14" s="25">
        <v>234687</v>
      </c>
      <c r="M14" s="44"/>
      <c r="N14" s="122" t="s">
        <v>152</v>
      </c>
      <c r="O14" s="60"/>
      <c r="P14" s="60"/>
      <c r="Q14" s="60"/>
    </row>
    <row r="15" spans="1:17" ht="37.5" customHeight="1" x14ac:dyDescent="0.3">
      <c r="A15" s="121">
        <v>42230</v>
      </c>
      <c r="B15" s="34" t="str">
        <f t="shared" si="0"/>
        <v>EQA03-07</v>
      </c>
      <c r="C15" s="22">
        <v>25.42</v>
      </c>
      <c r="D15" s="22">
        <v>4.29</v>
      </c>
      <c r="E15" s="205">
        <f t="shared" si="1"/>
        <v>109.05180000000001</v>
      </c>
      <c r="F15" s="20">
        <v>0.6</v>
      </c>
      <c r="G15" s="22">
        <v>37.549999999999997</v>
      </c>
      <c r="H15" s="22">
        <v>37.520000000000003</v>
      </c>
      <c r="I15" s="21">
        <v>24.55</v>
      </c>
      <c r="J15" s="20">
        <v>2.4500000000000002</v>
      </c>
      <c r="K15" s="22">
        <v>4</v>
      </c>
      <c r="L15" s="25">
        <v>417783</v>
      </c>
      <c r="M15" s="44"/>
      <c r="N15" s="122" t="s">
        <v>149</v>
      </c>
      <c r="O15" s="60"/>
      <c r="P15" s="60"/>
      <c r="Q15" s="60"/>
    </row>
    <row r="16" spans="1:17" ht="37.5" customHeight="1" x14ac:dyDescent="0.3">
      <c r="A16" s="121">
        <v>42230</v>
      </c>
      <c r="B16" s="34" t="str">
        <f t="shared" si="0"/>
        <v>EQA03-08</v>
      </c>
      <c r="C16" s="22">
        <v>25.39</v>
      </c>
      <c r="D16" s="22">
        <v>4.3</v>
      </c>
      <c r="E16" s="205">
        <f t="shared" si="1"/>
        <v>109.17699999999999</v>
      </c>
      <c r="F16" s="20">
        <v>0.5</v>
      </c>
      <c r="G16" s="22">
        <v>37.78</v>
      </c>
      <c r="H16" s="22">
        <v>37.979999999999997</v>
      </c>
      <c r="I16" s="21">
        <v>20.73</v>
      </c>
      <c r="J16" s="20">
        <v>2.0699999999999998</v>
      </c>
      <c r="K16" s="22">
        <v>4</v>
      </c>
      <c r="L16" s="25">
        <v>1500000</v>
      </c>
      <c r="M16" s="44"/>
      <c r="N16" s="122" t="s">
        <v>150</v>
      </c>
      <c r="O16" s="60"/>
      <c r="P16" s="60"/>
      <c r="Q16" s="60"/>
    </row>
    <row r="17" spans="1:30" ht="37.9" customHeight="1" x14ac:dyDescent="0.3">
      <c r="A17" s="121">
        <v>42230</v>
      </c>
      <c r="B17" s="34" t="str">
        <f t="shared" si="0"/>
        <v>EQA03-09</v>
      </c>
      <c r="C17" s="22">
        <v>25.53</v>
      </c>
      <c r="D17" s="22">
        <v>4.49</v>
      </c>
      <c r="E17" s="205">
        <f t="shared" si="1"/>
        <v>114.62970000000001</v>
      </c>
      <c r="F17" s="20">
        <v>1.3</v>
      </c>
      <c r="G17" s="22">
        <v>35.909999999999997</v>
      </c>
      <c r="H17" s="22">
        <v>35.72</v>
      </c>
      <c r="I17" s="21">
        <v>53.23</v>
      </c>
      <c r="J17" s="20">
        <v>5.32</v>
      </c>
      <c r="K17" s="22">
        <v>2</v>
      </c>
      <c r="L17" s="25">
        <v>4683</v>
      </c>
      <c r="M17" s="44" t="s">
        <v>153</v>
      </c>
      <c r="N17" s="122" t="s">
        <v>149</v>
      </c>
      <c r="O17" s="68"/>
      <c r="P17" s="60"/>
      <c r="Q17" s="60"/>
    </row>
    <row r="18" spans="1:30" ht="37.9" customHeight="1" x14ac:dyDescent="0.3">
      <c r="A18" s="121">
        <v>42230</v>
      </c>
      <c r="B18" s="34" t="str">
        <f>+$B$4&amp;"-"&amp;TEXT((ROW()-8),0)</f>
        <v>EQA03-10</v>
      </c>
      <c r="C18" s="22">
        <v>25.45</v>
      </c>
      <c r="D18" s="22">
        <v>4.41</v>
      </c>
      <c r="E18" s="205">
        <f t="shared" ref="E18:E20" si="2">+C18*D18</f>
        <v>112.2345</v>
      </c>
      <c r="F18" s="20">
        <v>1</v>
      </c>
      <c r="G18" s="22">
        <v>36.229999999999997</v>
      </c>
      <c r="H18" s="22">
        <v>36.270000000000003</v>
      </c>
      <c r="I18" s="21">
        <v>40.700000000000003</v>
      </c>
      <c r="J18" s="20">
        <v>4.07</v>
      </c>
      <c r="K18" s="22">
        <v>4</v>
      </c>
      <c r="L18" s="25">
        <v>20412</v>
      </c>
      <c r="M18" s="44"/>
      <c r="N18" s="122" t="s">
        <v>150</v>
      </c>
      <c r="O18" s="68"/>
      <c r="P18" s="60"/>
      <c r="Q18" s="60"/>
    </row>
    <row r="19" spans="1:30" ht="37.9" customHeight="1" x14ac:dyDescent="0.3">
      <c r="A19" s="121">
        <v>42230</v>
      </c>
      <c r="B19" s="34" t="str">
        <f>+$B$4&amp;"-"&amp;TEXT((ROW()-8),0)</f>
        <v>EQA03-11</v>
      </c>
      <c r="C19" s="22">
        <v>25.46</v>
      </c>
      <c r="D19" s="22">
        <v>4.43</v>
      </c>
      <c r="E19" s="205">
        <f t="shared" si="2"/>
        <v>112.78779999999999</v>
      </c>
      <c r="F19" s="20">
        <v>0.9</v>
      </c>
      <c r="G19" s="22">
        <v>37.119999999999997</v>
      </c>
      <c r="H19" s="22">
        <v>37.229999999999997</v>
      </c>
      <c r="I19" s="21">
        <v>37.799999999999997</v>
      </c>
      <c r="J19" s="20">
        <v>3.78</v>
      </c>
      <c r="K19" s="22">
        <v>4</v>
      </c>
      <c r="L19" s="25">
        <v>32980</v>
      </c>
      <c r="M19" s="44"/>
      <c r="N19" s="122" t="s">
        <v>151</v>
      </c>
      <c r="O19" s="68"/>
      <c r="P19" s="60"/>
      <c r="Q19" s="60"/>
    </row>
    <row r="20" spans="1:30" ht="37.9" customHeight="1" x14ac:dyDescent="0.3">
      <c r="A20" s="121">
        <v>42230</v>
      </c>
      <c r="B20" s="34" t="str">
        <f>+$B$4&amp;"-"&amp;TEXT((ROW()-8),0)</f>
        <v>EQA03-12</v>
      </c>
      <c r="C20" s="22">
        <v>25.44</v>
      </c>
      <c r="D20" s="22">
        <v>4.46</v>
      </c>
      <c r="E20" s="205">
        <f t="shared" si="2"/>
        <v>113.4624</v>
      </c>
      <c r="F20" s="20">
        <v>0.8</v>
      </c>
      <c r="G20" s="22">
        <v>35.17</v>
      </c>
      <c r="H20" s="22">
        <v>35.299999999999997</v>
      </c>
      <c r="I20" s="21">
        <v>32.04</v>
      </c>
      <c r="J20" s="20">
        <v>3.2</v>
      </c>
      <c r="K20" s="22">
        <v>5</v>
      </c>
      <c r="L20" s="25">
        <v>95620</v>
      </c>
      <c r="M20" s="44"/>
      <c r="N20" s="122" t="s">
        <v>152</v>
      </c>
      <c r="O20" s="69"/>
      <c r="P20" s="60"/>
      <c r="Q20" s="60"/>
    </row>
    <row r="21" spans="1:30" ht="34.5" customHeight="1" x14ac:dyDescent="0.25">
      <c r="A21" s="38"/>
      <c r="B21" s="39"/>
      <c r="C21" s="40"/>
      <c r="D21" s="40"/>
      <c r="E21" s="203"/>
      <c r="F21" s="40"/>
      <c r="G21" s="40"/>
      <c r="H21" s="40"/>
      <c r="I21" s="40"/>
      <c r="J21" s="41"/>
      <c r="K21" s="40"/>
      <c r="L21" s="40"/>
      <c r="M21" s="42"/>
      <c r="N21" s="43"/>
      <c r="O21" s="60"/>
      <c r="P21" s="60"/>
    </row>
    <row r="22" spans="1:30" ht="18.75" x14ac:dyDescent="0.3">
      <c r="G22" s="63"/>
      <c r="H22" s="62"/>
      <c r="I22" s="70"/>
      <c r="J22" s="64"/>
      <c r="K22" s="70"/>
      <c r="L22" s="70"/>
      <c r="M22" s="71"/>
    </row>
    <row r="23" spans="1:30" ht="18.75" x14ac:dyDescent="0.3">
      <c r="G23" s="63"/>
      <c r="H23" s="64"/>
      <c r="I23" s="70"/>
      <c r="J23" s="64"/>
      <c r="K23" s="70"/>
      <c r="L23" s="72"/>
      <c r="M23" s="71"/>
    </row>
    <row r="24" spans="1:30" ht="18.75" x14ac:dyDescent="0.3">
      <c r="G24" s="63"/>
      <c r="H24" s="64"/>
      <c r="I24" s="70"/>
      <c r="J24" s="64"/>
      <c r="K24" s="70"/>
      <c r="L24" s="72"/>
      <c r="M24" s="71"/>
    </row>
    <row r="25" spans="1:30" ht="18.75" x14ac:dyDescent="0.3">
      <c r="G25" s="63"/>
      <c r="H25" s="64"/>
      <c r="I25" s="70"/>
      <c r="J25" s="64"/>
      <c r="K25" s="72"/>
      <c r="L25" s="72"/>
      <c r="M25" s="71"/>
    </row>
    <row r="26" spans="1:30" ht="18.75" x14ac:dyDescent="0.3">
      <c r="G26" s="63"/>
      <c r="H26" s="72"/>
      <c r="I26" s="72"/>
      <c r="J26" s="72"/>
      <c r="K26" s="72"/>
      <c r="L26" s="72"/>
      <c r="M26" s="71"/>
    </row>
    <row r="27" spans="1:30" x14ac:dyDescent="0.2">
      <c r="G27" s="63"/>
      <c r="H27" s="63"/>
      <c r="I27" s="63"/>
      <c r="J27" s="63"/>
      <c r="K27" s="63"/>
      <c r="L27" s="63"/>
    </row>
    <row r="28" spans="1:30" x14ac:dyDescent="0.2">
      <c r="G28" s="63"/>
      <c r="H28" s="63"/>
      <c r="I28" s="63"/>
      <c r="J28" s="63"/>
      <c r="K28" s="63"/>
      <c r="L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</row>
    <row r="29" spans="1:30" x14ac:dyDescent="0.2"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</row>
    <row r="30" spans="1:30" ht="15.75" x14ac:dyDescent="0.25">
      <c r="R30" s="73"/>
      <c r="S30" s="74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</row>
    <row r="31" spans="1:30" ht="15.75" x14ac:dyDescent="0.25">
      <c r="R31" s="73"/>
      <c r="S31" s="74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</row>
    <row r="32" spans="1:30" ht="15.75" x14ac:dyDescent="0.25">
      <c r="R32" s="75"/>
      <c r="S32" s="75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</row>
    <row r="33" spans="1:30" ht="15.75" x14ac:dyDescent="0.25">
      <c r="R33" s="75"/>
      <c r="S33" s="75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</row>
    <row r="34" spans="1:30" ht="15.75" x14ac:dyDescent="0.25">
      <c r="A34" s="63"/>
      <c r="B34" s="76"/>
      <c r="C34" s="77"/>
      <c r="D34" s="76"/>
      <c r="E34" s="77"/>
      <c r="F34" s="77"/>
      <c r="G34" s="78"/>
      <c r="H34" s="78"/>
      <c r="I34" s="78"/>
      <c r="J34" s="77"/>
      <c r="K34" s="77"/>
      <c r="L34" s="76"/>
      <c r="M34" s="77"/>
      <c r="N34" s="79"/>
      <c r="O34" s="80"/>
      <c r="P34" s="81"/>
      <c r="Q34" s="75"/>
      <c r="R34" s="75"/>
      <c r="S34" s="80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</row>
    <row r="35" spans="1:30" ht="15.75" x14ac:dyDescent="0.25">
      <c r="A35" s="63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0"/>
      <c r="P35" s="81"/>
      <c r="Q35" s="75"/>
      <c r="R35" s="75"/>
      <c r="S35" s="80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</row>
    <row r="36" spans="1:30" ht="15.75" x14ac:dyDescent="0.25">
      <c r="A36" s="63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0"/>
      <c r="P36" s="81"/>
      <c r="Q36" s="75"/>
      <c r="R36" s="75"/>
      <c r="S36" s="80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</row>
    <row r="37" spans="1:30" ht="15.75" x14ac:dyDescent="0.25">
      <c r="A37" s="63"/>
      <c r="B37" s="83"/>
      <c r="C37" s="82"/>
      <c r="D37" s="84"/>
      <c r="E37" s="84"/>
      <c r="F37" s="84"/>
      <c r="G37" s="84"/>
      <c r="H37" s="84"/>
      <c r="I37" s="84"/>
      <c r="J37" s="84"/>
      <c r="K37" s="85"/>
      <c r="L37" s="83"/>
      <c r="M37" s="84"/>
      <c r="N37" s="86"/>
      <c r="O37" s="80"/>
      <c r="P37" s="81"/>
      <c r="Q37" s="75"/>
      <c r="R37" s="75"/>
      <c r="S37" s="80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</row>
    <row r="38" spans="1:30" ht="18.75" x14ac:dyDescent="0.3">
      <c r="A38" s="63"/>
      <c r="B38" s="83"/>
      <c r="C38" s="82"/>
      <c r="D38" s="84"/>
      <c r="E38" s="84"/>
      <c r="F38" s="84"/>
      <c r="G38" s="85"/>
      <c r="H38" s="85"/>
      <c r="I38" s="85"/>
      <c r="J38" s="85"/>
      <c r="K38" s="85"/>
      <c r="L38" s="83"/>
      <c r="M38" s="85"/>
      <c r="N38" s="88"/>
      <c r="O38" s="80"/>
      <c r="P38" s="89"/>
      <c r="Q38" s="90"/>
      <c r="R38" s="75"/>
      <c r="S38" s="80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</row>
    <row r="39" spans="1:30" ht="15.75" x14ac:dyDescent="0.25">
      <c r="A39" s="63"/>
      <c r="B39" s="83"/>
      <c r="C39" s="82"/>
      <c r="D39" s="84"/>
      <c r="E39" s="84"/>
      <c r="F39" s="84"/>
      <c r="G39" s="84"/>
      <c r="H39" s="84"/>
      <c r="I39" s="84"/>
      <c r="J39" s="84"/>
      <c r="K39" s="85"/>
      <c r="L39" s="83"/>
      <c r="M39" s="84"/>
      <c r="N39" s="86"/>
      <c r="O39" s="80"/>
      <c r="P39" s="81"/>
      <c r="Q39" s="75"/>
      <c r="R39" s="75"/>
      <c r="S39" s="80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</row>
    <row r="40" spans="1:30" ht="15.75" x14ac:dyDescent="0.25">
      <c r="A40" s="63"/>
      <c r="B40" s="83"/>
      <c r="C40" s="82"/>
      <c r="D40" s="84"/>
      <c r="E40" s="84"/>
      <c r="F40" s="84"/>
      <c r="G40" s="85"/>
      <c r="H40" s="85"/>
      <c r="I40" s="85"/>
      <c r="J40" s="84"/>
      <c r="K40" s="85"/>
      <c r="L40" s="83"/>
      <c r="M40" s="84"/>
      <c r="N40" s="86"/>
      <c r="O40" s="91"/>
      <c r="P40" s="91"/>
      <c r="Q40" s="73"/>
      <c r="R40" s="73"/>
      <c r="S40" s="80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</row>
    <row r="41" spans="1:30" ht="15.75" x14ac:dyDescent="0.25">
      <c r="A41" s="63"/>
      <c r="B41" s="83"/>
      <c r="C41" s="82"/>
      <c r="D41" s="84"/>
      <c r="E41" s="84"/>
      <c r="F41" s="84"/>
      <c r="G41" s="84"/>
      <c r="H41" s="84"/>
      <c r="I41" s="84"/>
      <c r="J41" s="84"/>
      <c r="K41" s="85"/>
      <c r="L41" s="83"/>
      <c r="M41" s="84"/>
      <c r="N41" s="86"/>
      <c r="O41" s="91"/>
      <c r="P41" s="91"/>
      <c r="Q41" s="73"/>
      <c r="R41" s="73"/>
      <c r="S41" s="80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</row>
    <row r="42" spans="1:30" ht="15.75" x14ac:dyDescent="0.25">
      <c r="A42" s="63"/>
      <c r="B42" s="83"/>
      <c r="C42" s="82"/>
      <c r="D42" s="84"/>
      <c r="E42" s="84"/>
      <c r="F42" s="84"/>
      <c r="G42" s="84"/>
      <c r="H42" s="84"/>
      <c r="I42" s="84"/>
      <c r="J42" s="84"/>
      <c r="K42" s="85"/>
      <c r="L42" s="83"/>
      <c r="M42" s="84"/>
      <c r="N42" s="86"/>
      <c r="O42" s="73"/>
      <c r="P42" s="73"/>
      <c r="Q42" s="73"/>
      <c r="R42" s="73"/>
      <c r="S42" s="92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</row>
    <row r="43" spans="1:30" ht="15.75" x14ac:dyDescent="0.25">
      <c r="A43" s="63"/>
      <c r="B43" s="83"/>
      <c r="C43" s="82"/>
      <c r="D43" s="84"/>
      <c r="E43" s="84"/>
      <c r="F43" s="84"/>
      <c r="G43" s="84"/>
      <c r="H43" s="84"/>
      <c r="I43" s="84"/>
      <c r="J43" s="84"/>
      <c r="K43" s="85"/>
      <c r="L43" s="83"/>
      <c r="M43" s="84"/>
      <c r="N43" s="93"/>
      <c r="O43" s="73"/>
      <c r="P43" s="73"/>
      <c r="Q43" s="73"/>
      <c r="R43" s="73"/>
      <c r="S43" s="75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</row>
    <row r="44" spans="1:30" ht="15.75" x14ac:dyDescent="0.25">
      <c r="A44" s="63"/>
      <c r="B44" s="94"/>
      <c r="C44" s="82"/>
      <c r="D44" s="84"/>
      <c r="E44" s="84"/>
      <c r="F44" s="84"/>
      <c r="G44" s="84"/>
      <c r="H44" s="84"/>
      <c r="I44" s="84"/>
      <c r="J44" s="84"/>
      <c r="K44" s="85"/>
      <c r="L44" s="94"/>
      <c r="M44" s="84"/>
      <c r="N44" s="86"/>
      <c r="O44" s="73"/>
      <c r="P44" s="73"/>
      <c r="Q44" s="73"/>
      <c r="R44" s="73"/>
      <c r="S44" s="75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</row>
    <row r="45" spans="1:30" ht="15.75" x14ac:dyDescent="0.25">
      <c r="A45" s="63"/>
      <c r="B45" s="76"/>
      <c r="C45" s="77"/>
      <c r="D45" s="95"/>
      <c r="E45" s="95"/>
      <c r="F45" s="95"/>
      <c r="G45" s="96"/>
      <c r="H45" s="96"/>
      <c r="I45" s="96"/>
      <c r="J45" s="76"/>
      <c r="K45" s="97"/>
      <c r="L45" s="76"/>
      <c r="M45" s="97"/>
      <c r="N45" s="97"/>
      <c r="O45" s="73"/>
      <c r="P45" s="73"/>
      <c r="Q45" s="73"/>
      <c r="R45" s="73"/>
      <c r="S45" s="75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</row>
    <row r="46" spans="1:30" ht="18.75" x14ac:dyDescent="0.3">
      <c r="A46" s="63"/>
      <c r="B46" s="76"/>
      <c r="C46" s="77"/>
      <c r="D46" s="95"/>
      <c r="E46" s="95"/>
      <c r="F46" s="95"/>
      <c r="G46" s="96"/>
      <c r="H46" s="96"/>
      <c r="I46" s="96"/>
      <c r="J46" s="98"/>
      <c r="K46" s="97"/>
      <c r="L46" s="76"/>
      <c r="M46" s="97"/>
      <c r="N46" s="97"/>
      <c r="O46" s="74"/>
      <c r="P46" s="99"/>
      <c r="Q46" s="73"/>
      <c r="R46" s="73"/>
      <c r="S46" s="75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</row>
    <row r="47" spans="1:30" ht="18.75" x14ac:dyDescent="0.3">
      <c r="A47" s="63"/>
      <c r="B47" s="63"/>
      <c r="C47" s="76"/>
      <c r="D47" s="76"/>
      <c r="E47" s="76"/>
      <c r="F47" s="76"/>
      <c r="G47" s="76"/>
      <c r="H47" s="76"/>
      <c r="I47" s="63"/>
      <c r="J47" s="63"/>
      <c r="K47" s="63"/>
      <c r="L47" s="63"/>
      <c r="M47" s="76"/>
      <c r="N47" s="76"/>
      <c r="O47" s="70"/>
      <c r="P47" s="72"/>
      <c r="Q47" s="63"/>
      <c r="R47" s="63"/>
      <c r="S47" s="63"/>
      <c r="T47" s="73"/>
      <c r="U47" s="63"/>
      <c r="V47" s="63"/>
      <c r="W47" s="63"/>
      <c r="X47" s="63"/>
      <c r="Y47" s="63"/>
      <c r="Z47" s="63"/>
      <c r="AA47" s="63"/>
      <c r="AB47" s="63"/>
      <c r="AC47" s="63"/>
      <c r="AD47" s="63"/>
    </row>
    <row r="48" spans="1:30" ht="18.75" x14ac:dyDescent="0.3">
      <c r="A48" s="63"/>
      <c r="B48" s="76"/>
      <c r="C48" s="76"/>
      <c r="D48" s="76"/>
      <c r="E48" s="76"/>
      <c r="F48" s="76"/>
      <c r="G48" s="76"/>
      <c r="H48" s="76"/>
      <c r="I48" s="63"/>
      <c r="J48" s="63"/>
      <c r="K48" s="63"/>
      <c r="L48" s="76"/>
      <c r="M48" s="76"/>
      <c r="N48" s="76"/>
      <c r="O48" s="70"/>
      <c r="P48" s="72"/>
      <c r="Q48" s="63"/>
      <c r="R48" s="63"/>
      <c r="S48" s="63"/>
      <c r="T48" s="76"/>
      <c r="U48" s="63"/>
      <c r="V48" s="63"/>
      <c r="W48" s="63"/>
      <c r="X48" s="63"/>
      <c r="Y48" s="63"/>
      <c r="Z48" s="63"/>
      <c r="AA48" s="63"/>
      <c r="AB48" s="63"/>
      <c r="AC48" s="63"/>
      <c r="AD48" s="63"/>
    </row>
    <row r="49" spans="1:30" ht="18.75" x14ac:dyDescent="0.3">
      <c r="A49" s="63"/>
      <c r="B49" s="100"/>
      <c r="C49" s="87"/>
      <c r="D49" s="87"/>
      <c r="E49" s="87"/>
      <c r="F49" s="100"/>
      <c r="G49" s="87"/>
      <c r="H49" s="101"/>
      <c r="I49" s="102"/>
      <c r="J49" s="102"/>
      <c r="K49" s="102"/>
      <c r="L49" s="100"/>
      <c r="M49" s="76"/>
      <c r="N49" s="76"/>
      <c r="O49" s="70"/>
      <c r="P49" s="72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</row>
    <row r="50" spans="1:30" ht="18.75" x14ac:dyDescent="0.3">
      <c r="A50" s="63"/>
      <c r="B50" s="103"/>
      <c r="C50" s="87"/>
      <c r="D50" s="87"/>
      <c r="E50" s="87"/>
      <c r="F50" s="100"/>
      <c r="G50" s="87"/>
      <c r="H50" s="101"/>
      <c r="I50" s="104"/>
      <c r="J50" s="102"/>
      <c r="K50" s="102"/>
      <c r="L50" s="103"/>
      <c r="M50" s="76"/>
      <c r="N50" s="76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</row>
    <row r="51" spans="1:30" ht="18.75" x14ac:dyDescent="0.3">
      <c r="A51" s="63"/>
      <c r="B51" s="103"/>
      <c r="C51" s="105"/>
      <c r="D51" s="87"/>
      <c r="E51" s="87"/>
      <c r="F51" s="100"/>
      <c r="G51" s="106"/>
      <c r="H51" s="107"/>
      <c r="I51" s="104"/>
      <c r="J51" s="76"/>
      <c r="K51" s="76"/>
      <c r="L51" s="103"/>
      <c r="M51" s="63"/>
      <c r="N51" s="72"/>
      <c r="O51" s="64"/>
      <c r="P51" s="70"/>
      <c r="Q51" s="70"/>
      <c r="R51" s="72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</row>
    <row r="52" spans="1:30" ht="18.75" x14ac:dyDescent="0.3">
      <c r="A52" s="63"/>
      <c r="B52" s="100"/>
      <c r="C52" s="108"/>
      <c r="D52" s="109"/>
      <c r="E52" s="108"/>
      <c r="F52" s="110"/>
      <c r="G52" s="111"/>
      <c r="H52" s="111"/>
      <c r="I52" s="63"/>
      <c r="J52" s="63"/>
      <c r="K52" s="63"/>
      <c r="L52" s="100"/>
      <c r="M52" s="70"/>
      <c r="N52" s="72"/>
      <c r="O52" s="72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</row>
    <row r="53" spans="1:30" ht="18.75" x14ac:dyDescent="0.3">
      <c r="A53" s="63"/>
      <c r="B53" s="110"/>
      <c r="C53" s="112"/>
      <c r="D53" s="110"/>
      <c r="E53" s="112"/>
      <c r="F53" s="110"/>
      <c r="G53" s="111"/>
      <c r="H53" s="61"/>
      <c r="I53" s="63"/>
      <c r="J53" s="113"/>
      <c r="K53" s="113"/>
      <c r="L53" s="110"/>
      <c r="M53" s="70"/>
      <c r="N53" s="72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</row>
    <row r="54" spans="1:30" ht="18.75" x14ac:dyDescent="0.3">
      <c r="A54" s="63"/>
      <c r="B54" s="63"/>
      <c r="C54" s="63"/>
      <c r="D54" s="63"/>
      <c r="E54" s="114"/>
      <c r="F54" s="63"/>
      <c r="G54" s="61"/>
      <c r="H54" s="61"/>
      <c r="I54" s="62"/>
      <c r="J54" s="70"/>
      <c r="K54" s="64"/>
      <c r="L54" s="63"/>
      <c r="M54" s="70"/>
      <c r="N54" s="72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</row>
    <row r="55" spans="1:30" ht="18.75" x14ac:dyDescent="0.3">
      <c r="A55" s="63"/>
      <c r="B55" s="63"/>
      <c r="C55" s="63"/>
      <c r="D55" s="63"/>
      <c r="E55" s="63"/>
      <c r="F55" s="63"/>
      <c r="G55" s="63"/>
      <c r="H55" s="63"/>
      <c r="I55" s="62"/>
      <c r="J55" s="70"/>
      <c r="K55" s="64"/>
      <c r="L55" s="63"/>
      <c r="M55" s="70"/>
      <c r="N55" s="72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</row>
    <row r="56" spans="1:30" ht="18.75" x14ac:dyDescent="0.3">
      <c r="A56" s="63"/>
      <c r="B56" s="63"/>
      <c r="C56" s="63"/>
      <c r="D56" s="63"/>
      <c r="E56" s="63"/>
      <c r="F56" s="63"/>
      <c r="G56" s="63"/>
      <c r="H56" s="63"/>
      <c r="I56" s="64"/>
      <c r="J56" s="70"/>
      <c r="K56" s="64"/>
      <c r="L56" s="63"/>
      <c r="M56" s="72"/>
      <c r="N56" s="72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</row>
    <row r="57" spans="1:30" ht="15.75" x14ac:dyDescent="0.25">
      <c r="E57" s="65"/>
    </row>
    <row r="59" spans="1:30" ht="15.75" x14ac:dyDescent="0.25">
      <c r="D59" s="65"/>
      <c r="E59" s="66"/>
      <c r="F59" s="10"/>
      <c r="G59" s="10"/>
      <c r="H59" s="10"/>
      <c r="J59" s="10"/>
      <c r="K59" s="10"/>
      <c r="L59" s="10"/>
      <c r="M59" s="10"/>
      <c r="N59" s="11"/>
    </row>
  </sheetData>
  <phoneticPr fontId="0" type="noConversion"/>
  <pageMargins left="0.19685039370078741" right="0.19685039370078741" top="0.98425196850393704" bottom="0.98425196850393704" header="0.51181102362204722" footer="0.51181102362204722"/>
  <pageSetup paperSize="9" scale="60" fitToWidth="0" fitToHeight="0" orientation="landscape" r:id="rId1"/>
  <headerFooter alignWithMargins="0">
    <oddFooter>&amp;R&amp;"Arial,Italic"&amp;D/pobr
&amp;F,&amp;A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1"/>
  <sheetViews>
    <sheetView zoomScaleNormal="100" workbookViewId="0">
      <selection activeCell="H33" sqref="H33"/>
    </sheetView>
  </sheetViews>
  <sheetFormatPr defaultRowHeight="12.75" x14ac:dyDescent="0.2"/>
  <cols>
    <col min="1" max="1" width="13.85546875" style="3" customWidth="1"/>
    <col min="2" max="2" width="9.42578125" style="3" customWidth="1"/>
    <col min="3" max="3" width="12.140625" style="3" customWidth="1"/>
    <col min="4" max="4" width="12.85546875" style="3" customWidth="1"/>
    <col min="5" max="5" width="10.5703125" style="3" bestFit="1" customWidth="1"/>
    <col min="6" max="6" width="13.5703125" style="3" bestFit="1" customWidth="1"/>
    <col min="7" max="7" width="12.7109375" style="3" customWidth="1"/>
    <col min="8" max="8" width="13.5703125" style="3" bestFit="1" customWidth="1"/>
    <col min="9" max="11" width="13.5703125" style="3" customWidth="1"/>
    <col min="12" max="16" width="12.7109375" style="3" customWidth="1"/>
    <col min="17" max="17" width="8.85546875" style="3" customWidth="1"/>
    <col min="18" max="18" width="13.85546875" style="3" bestFit="1" customWidth="1"/>
    <col min="19" max="19" width="9.140625" style="3" bestFit="1" customWidth="1"/>
    <col min="20" max="20" width="9.5703125" style="3" customWidth="1"/>
    <col min="21" max="21" width="19.28515625" style="148" bestFit="1" customWidth="1"/>
    <col min="22" max="22" width="14.7109375" style="148" bestFit="1" customWidth="1"/>
    <col min="23" max="26" width="15.7109375" style="148" bestFit="1" customWidth="1"/>
    <col min="27" max="27" width="10.85546875" style="3" customWidth="1"/>
    <col min="28" max="28" width="5.85546875" style="3" customWidth="1"/>
    <col min="29" max="29" width="6.28515625" style="3" customWidth="1"/>
    <col min="30" max="30" width="3.28515625" style="3" customWidth="1"/>
    <col min="31" max="31" width="5.28515625" style="3" customWidth="1"/>
    <col min="32" max="32" width="8.5703125" style="3" customWidth="1"/>
    <col min="33" max="33" width="5" style="3" customWidth="1"/>
    <col min="34" max="16384" width="9.140625" style="3"/>
  </cols>
  <sheetData>
    <row r="1" spans="1:28" ht="15.75" x14ac:dyDescent="0.25">
      <c r="A1" s="65" t="str">
        <f>+Plan!A1</f>
        <v>Udmattelse</v>
      </c>
      <c r="D1" s="3" t="str">
        <f>B4&amp;" Fatigue test"</f>
        <v>EQA03 Fatigue test</v>
      </c>
    </row>
    <row r="2" spans="1:28" ht="15.75" x14ac:dyDescent="0.25">
      <c r="A2" s="65"/>
    </row>
    <row r="3" spans="1:28" ht="15.75" x14ac:dyDescent="0.25">
      <c r="A3" s="65" t="str">
        <f>+Plan!A3</f>
        <v>prj nummer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206"/>
      <c r="V3" s="206"/>
      <c r="W3" s="206"/>
    </row>
    <row r="4" spans="1:28" ht="15.75" x14ac:dyDescent="0.25">
      <c r="A4" s="65" t="str">
        <f>+Plan!A4</f>
        <v>Plader:</v>
      </c>
      <c r="B4" s="65" t="str">
        <f>+Plan!B4</f>
        <v>EQA03</v>
      </c>
      <c r="C4" s="65"/>
      <c r="D4" s="65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T4" s="10"/>
      <c r="U4" s="206"/>
      <c r="V4" s="206"/>
      <c r="W4" s="206"/>
    </row>
    <row r="5" spans="1:28" ht="16.5" thickBot="1" x14ac:dyDescent="0.3">
      <c r="A5" s="65" t="str">
        <f>+Plan!A5</f>
        <v>Geometri:</v>
      </c>
      <c r="B5" s="17"/>
      <c r="C5" s="65"/>
      <c r="D5" s="65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201"/>
      <c r="S5" s="201"/>
      <c r="T5" s="124"/>
      <c r="U5" s="124"/>
      <c r="V5" s="207"/>
      <c r="W5" s="207"/>
    </row>
    <row r="6" spans="1:28" ht="13.5" thickBot="1" x14ac:dyDescent="0.25">
      <c r="A6" s="125"/>
      <c r="B6" s="126"/>
      <c r="C6" s="126" t="str">
        <f>+Plan!B6</f>
        <v>R=</v>
      </c>
      <c r="D6" s="127">
        <f>+Plan!C6</f>
        <v>0.1</v>
      </c>
      <c r="E6" s="123" t="str">
        <f>+Plan!E6</f>
        <v>Frekvens</v>
      </c>
      <c r="F6" s="123" t="str">
        <f>+Plan!F6</f>
        <v>5 Hz</v>
      </c>
      <c r="H6" s="17"/>
      <c r="I6" s="17"/>
      <c r="J6" s="17"/>
      <c r="K6" s="17"/>
      <c r="L6" s="17"/>
      <c r="M6" s="17"/>
      <c r="N6" s="226" t="s">
        <v>117</v>
      </c>
      <c r="O6" s="227"/>
      <c r="P6" s="227"/>
      <c r="Q6" s="228"/>
      <c r="R6" s="202"/>
      <c r="S6" s="202"/>
      <c r="T6" s="17"/>
      <c r="U6" s="148" t="s">
        <v>123</v>
      </c>
      <c r="W6" s="207"/>
      <c r="X6" s="207"/>
    </row>
    <row r="7" spans="1:28" x14ac:dyDescent="0.2">
      <c r="A7" s="128" t="s">
        <v>18</v>
      </c>
      <c r="B7" s="128" t="s">
        <v>2</v>
      </c>
      <c r="C7" s="128" t="s">
        <v>3</v>
      </c>
      <c r="D7" s="128" t="s">
        <v>4</v>
      </c>
      <c r="E7" s="128" t="s">
        <v>17</v>
      </c>
      <c r="F7" s="128" t="s">
        <v>9</v>
      </c>
      <c r="G7" s="128" t="s">
        <v>20</v>
      </c>
      <c r="H7" s="128" t="s">
        <v>5</v>
      </c>
      <c r="I7" s="128" t="s">
        <v>22</v>
      </c>
      <c r="J7" s="128" t="s">
        <v>6</v>
      </c>
      <c r="K7" s="128" t="s">
        <v>19</v>
      </c>
      <c r="L7" s="128" t="s">
        <v>116</v>
      </c>
      <c r="M7" s="128" t="s">
        <v>7</v>
      </c>
      <c r="N7" s="128" t="s">
        <v>114</v>
      </c>
      <c r="O7" s="128" t="s">
        <v>115</v>
      </c>
      <c r="P7" s="128" t="s">
        <v>112</v>
      </c>
      <c r="Q7" s="128" t="s">
        <v>113</v>
      </c>
      <c r="R7" s="128" t="s">
        <v>120</v>
      </c>
      <c r="S7" s="128" t="s">
        <v>10</v>
      </c>
      <c r="U7" s="148" t="s">
        <v>122</v>
      </c>
    </row>
    <row r="8" spans="1:28" ht="15" thickBot="1" x14ac:dyDescent="0.25">
      <c r="A8" s="129"/>
      <c r="B8" s="129" t="s">
        <v>11</v>
      </c>
      <c r="C8" s="129" t="s">
        <v>12</v>
      </c>
      <c r="D8" s="129" t="s">
        <v>12</v>
      </c>
      <c r="E8" s="129" t="s">
        <v>111</v>
      </c>
      <c r="F8" s="129"/>
      <c r="G8" s="129" t="s">
        <v>13</v>
      </c>
      <c r="H8" s="129" t="s">
        <v>13</v>
      </c>
      <c r="I8" s="129" t="s">
        <v>14</v>
      </c>
      <c r="J8" s="129" t="s">
        <v>15</v>
      </c>
      <c r="K8" s="129" t="s">
        <v>15</v>
      </c>
      <c r="L8" s="129" t="s">
        <v>15</v>
      </c>
      <c r="M8" s="129" t="s">
        <v>15</v>
      </c>
      <c r="N8" s="129" t="s">
        <v>25</v>
      </c>
      <c r="O8" s="129" t="s">
        <v>25</v>
      </c>
      <c r="P8" s="129" t="s">
        <v>25</v>
      </c>
      <c r="Q8" s="129" t="s">
        <v>25</v>
      </c>
      <c r="R8" s="129" t="s">
        <v>121</v>
      </c>
      <c r="S8" s="130"/>
      <c r="T8" s="3" t="s">
        <v>124</v>
      </c>
      <c r="U8" s="148" t="s">
        <v>125</v>
      </c>
      <c r="V8" s="148" t="s">
        <v>126</v>
      </c>
      <c r="W8" s="148" t="s">
        <v>127</v>
      </c>
      <c r="X8" s="148" t="s">
        <v>128</v>
      </c>
      <c r="Y8" s="148" t="s">
        <v>129</v>
      </c>
      <c r="Z8" s="148" t="s">
        <v>130</v>
      </c>
    </row>
    <row r="9" spans="1:28" x14ac:dyDescent="0.2">
      <c r="A9" s="131">
        <f>+Plan!A9</f>
        <v>42233</v>
      </c>
      <c r="B9" s="132" t="str">
        <f>+Plan!B9</f>
        <v>EQA03-01</v>
      </c>
      <c r="C9" s="133">
        <f>+Plan!C9</f>
        <v>25.37</v>
      </c>
      <c r="D9" s="133">
        <f>+Plan!D9</f>
        <v>4.4000000000000004</v>
      </c>
      <c r="E9" s="134">
        <f>+Plan!E9</f>
        <v>111.62800000000001</v>
      </c>
      <c r="F9" s="139" t="str">
        <f>+Plan!L9</f>
        <v>Statisk</v>
      </c>
      <c r="G9" s="133">
        <f>+Plan!F9</f>
        <v>0</v>
      </c>
      <c r="H9" s="135">
        <f t="shared" ref="H9:H17" si="0">IF(ISNUMBER(G9),+G9*(1-$D$6),"")</f>
        <v>0</v>
      </c>
      <c r="I9" s="136">
        <f>+J9/E9*1000</f>
        <v>0</v>
      </c>
      <c r="J9" s="133">
        <f>+O9*G9*E9/100</f>
        <v>0</v>
      </c>
      <c r="K9" s="137">
        <f>+J9*$D$6</f>
        <v>0</v>
      </c>
      <c r="L9" s="138">
        <f t="shared" ref="L9" si="1">+(J9+K9)/2</f>
        <v>0</v>
      </c>
      <c r="M9" s="138">
        <f t="shared" ref="M9" si="2">+(J9-K9)/2</f>
        <v>0</v>
      </c>
      <c r="N9" s="133">
        <f>+U9</f>
        <v>0</v>
      </c>
      <c r="O9" s="133">
        <f>+V9</f>
        <v>0</v>
      </c>
      <c r="P9" s="133">
        <f>+X9</f>
        <v>0</v>
      </c>
      <c r="Q9" s="133">
        <f>+Z9</f>
        <v>0</v>
      </c>
      <c r="R9" s="199" t="e">
        <f t="shared" ref="R9:R17" si="3">+ABS(P9-Q9)/(P9+Q9)</f>
        <v>#DIV/0!</v>
      </c>
      <c r="S9" s="139" t="str">
        <f>+Plan!N9</f>
        <v>88R8033</v>
      </c>
      <c r="AA9" s="148"/>
      <c r="AB9" s="148"/>
    </row>
    <row r="10" spans="1:28" x14ac:dyDescent="0.2">
      <c r="A10" s="131">
        <f>+Plan!A10</f>
        <v>42233</v>
      </c>
      <c r="B10" s="132" t="str">
        <f>+Plan!B10</f>
        <v>EQA03-02</v>
      </c>
      <c r="C10" s="133">
        <f>+Plan!C10</f>
        <v>25.38</v>
      </c>
      <c r="D10" s="133">
        <f>+Plan!D10</f>
        <v>4.51</v>
      </c>
      <c r="E10" s="134">
        <f>+Plan!E10</f>
        <v>114.46379999999999</v>
      </c>
      <c r="F10" s="139" t="str">
        <f>+Plan!L10</f>
        <v>Statisk</v>
      </c>
      <c r="G10" s="133">
        <f>+Plan!F10</f>
        <v>0</v>
      </c>
      <c r="H10" s="135">
        <f t="shared" si="0"/>
        <v>0</v>
      </c>
      <c r="I10" s="136">
        <f t="shared" ref="I10:I16" si="4">+J10/C10/D10*1000</f>
        <v>0</v>
      </c>
      <c r="J10" s="133">
        <f t="shared" ref="J10:J16" si="5">+O10*G10*E10/100</f>
        <v>0</v>
      </c>
      <c r="K10" s="137">
        <f t="shared" ref="K10:K17" si="6">+J10*$D$6</f>
        <v>0</v>
      </c>
      <c r="L10" s="138">
        <f t="shared" ref="L10:L16" si="7">+(J10+K10)/2</f>
        <v>0</v>
      </c>
      <c r="M10" s="138">
        <f t="shared" ref="M10:M16" si="8">+(J10-K10)/2</f>
        <v>0</v>
      </c>
      <c r="N10" s="133">
        <f t="shared" ref="N10:N12" si="9">+U10</f>
        <v>0</v>
      </c>
      <c r="O10" s="133">
        <f t="shared" ref="O10:O12" si="10">+V10</f>
        <v>0</v>
      </c>
      <c r="P10" s="133">
        <f t="shared" ref="P10:P12" si="11">+X10</f>
        <v>0</v>
      </c>
      <c r="Q10" s="133">
        <f t="shared" ref="Q10:Q12" si="12">+Z10</f>
        <v>0</v>
      </c>
      <c r="R10" s="199" t="e">
        <f t="shared" si="3"/>
        <v>#DIV/0!</v>
      </c>
      <c r="S10" s="139" t="str">
        <f>+Plan!N10</f>
        <v>88R8033</v>
      </c>
    </row>
    <row r="11" spans="1:28" x14ac:dyDescent="0.2">
      <c r="A11" s="131">
        <f>+Plan!A11</f>
        <v>42233</v>
      </c>
      <c r="B11" s="132" t="str">
        <f>+Plan!B11</f>
        <v>EQA03-03</v>
      </c>
      <c r="C11" s="133">
        <f>+Plan!C11</f>
        <v>25.41</v>
      </c>
      <c r="D11" s="133">
        <f>+Plan!D11</f>
        <v>4.45</v>
      </c>
      <c r="E11" s="134">
        <f>+Plan!E11</f>
        <v>113.0745</v>
      </c>
      <c r="F11" s="139" t="str">
        <f>+Plan!L11</f>
        <v>Statisk</v>
      </c>
      <c r="G11" s="133">
        <f>+Plan!F11</f>
        <v>0</v>
      </c>
      <c r="H11" s="135">
        <f t="shared" si="0"/>
        <v>0</v>
      </c>
      <c r="I11" s="136">
        <f t="shared" si="4"/>
        <v>0</v>
      </c>
      <c r="J11" s="133">
        <f t="shared" si="5"/>
        <v>0</v>
      </c>
      <c r="K11" s="137">
        <f t="shared" si="6"/>
        <v>0</v>
      </c>
      <c r="L11" s="138">
        <f t="shared" si="7"/>
        <v>0</v>
      </c>
      <c r="M11" s="138">
        <f t="shared" si="8"/>
        <v>0</v>
      </c>
      <c r="N11" s="133">
        <f t="shared" si="9"/>
        <v>0</v>
      </c>
      <c r="O11" s="133">
        <f t="shared" si="10"/>
        <v>0</v>
      </c>
      <c r="P11" s="133">
        <f t="shared" si="11"/>
        <v>0</v>
      </c>
      <c r="Q11" s="133">
        <f t="shared" si="12"/>
        <v>0</v>
      </c>
      <c r="R11" s="199" t="e">
        <f t="shared" si="3"/>
        <v>#DIV/0!</v>
      </c>
      <c r="S11" s="139" t="str">
        <f>+Plan!N11</f>
        <v>88R8033</v>
      </c>
    </row>
    <row r="12" spans="1:28" x14ac:dyDescent="0.2">
      <c r="A12" s="131">
        <f>+Plan!A12</f>
        <v>0</v>
      </c>
      <c r="B12" s="132" t="str">
        <f>+Plan!B12</f>
        <v>EQA03-04</v>
      </c>
      <c r="C12" s="133">
        <f>+Plan!C12</f>
        <v>25.43</v>
      </c>
      <c r="D12" s="133">
        <f>+Plan!D12</f>
        <v>4.42</v>
      </c>
      <c r="E12" s="134">
        <f>+Plan!E12</f>
        <v>112.4006</v>
      </c>
      <c r="F12" s="139">
        <f>+Plan!L12</f>
        <v>0</v>
      </c>
      <c r="G12" s="133">
        <f>+Plan!F12</f>
        <v>0</v>
      </c>
      <c r="H12" s="135">
        <f t="shared" si="0"/>
        <v>0</v>
      </c>
      <c r="I12" s="136">
        <f t="shared" si="4"/>
        <v>0</v>
      </c>
      <c r="J12" s="133">
        <f t="shared" si="5"/>
        <v>0</v>
      </c>
      <c r="K12" s="137">
        <f t="shared" si="6"/>
        <v>0</v>
      </c>
      <c r="L12" s="138">
        <f t="shared" si="7"/>
        <v>0</v>
      </c>
      <c r="M12" s="138">
        <f t="shared" si="8"/>
        <v>0</v>
      </c>
      <c r="N12" s="133">
        <f t="shared" si="9"/>
        <v>0</v>
      </c>
      <c r="O12" s="133">
        <f t="shared" si="10"/>
        <v>0</v>
      </c>
      <c r="P12" s="133">
        <f t="shared" si="11"/>
        <v>0</v>
      </c>
      <c r="Q12" s="133">
        <f t="shared" si="12"/>
        <v>0</v>
      </c>
      <c r="R12" s="199" t="e">
        <f t="shared" si="3"/>
        <v>#DIV/0!</v>
      </c>
      <c r="S12" s="139">
        <f>+Plan!N12</f>
        <v>0</v>
      </c>
    </row>
    <row r="13" spans="1:28" x14ac:dyDescent="0.2">
      <c r="A13" s="131">
        <f>+Plan!A13</f>
        <v>42233</v>
      </c>
      <c r="B13" s="132" t="str">
        <f>+Plan!B13</f>
        <v>EQA03-05</v>
      </c>
      <c r="C13" s="133">
        <f>+Plan!C13</f>
        <v>25.35</v>
      </c>
      <c r="D13" s="133">
        <f>+Plan!D13</f>
        <v>4.49</v>
      </c>
      <c r="E13" s="134">
        <f>+Plan!E13</f>
        <v>113.82150000000001</v>
      </c>
      <c r="F13" s="139">
        <f>+Plan!L13</f>
        <v>2000000</v>
      </c>
      <c r="G13" s="133">
        <f>+Plan!F13</f>
        <v>0.55000000000000004</v>
      </c>
      <c r="H13" s="135">
        <f t="shared" si="0"/>
        <v>0.49500000000000005</v>
      </c>
      <c r="I13" s="136">
        <f t="shared" si="4"/>
        <v>0</v>
      </c>
      <c r="J13" s="133">
        <f t="shared" si="5"/>
        <v>0</v>
      </c>
      <c r="K13" s="137">
        <f t="shared" si="6"/>
        <v>0</v>
      </c>
      <c r="L13" s="138">
        <f t="shared" si="7"/>
        <v>0</v>
      </c>
      <c r="M13" s="138">
        <f t="shared" si="8"/>
        <v>0</v>
      </c>
      <c r="N13" s="133"/>
      <c r="O13" s="133"/>
      <c r="P13" s="133"/>
      <c r="Q13" s="133"/>
      <c r="R13" s="199" t="e">
        <f t="shared" si="3"/>
        <v>#DIV/0!</v>
      </c>
      <c r="S13" s="139" t="str">
        <f>+Plan!N13</f>
        <v>88R1331</v>
      </c>
    </row>
    <row r="14" spans="1:28" x14ac:dyDescent="0.2">
      <c r="A14" s="140">
        <f>+Plan!A14</f>
        <v>42233</v>
      </c>
      <c r="B14" s="141" t="str">
        <f>+Plan!B14</f>
        <v>EQA03-06</v>
      </c>
      <c r="C14" s="133">
        <f>+Plan!C14</f>
        <v>25.38</v>
      </c>
      <c r="D14" s="133">
        <f>+Plan!D14</f>
        <v>4.4400000000000004</v>
      </c>
      <c r="E14" s="134">
        <f>+Plan!E14</f>
        <v>112.6872</v>
      </c>
      <c r="F14" s="139">
        <f>+Plan!L14</f>
        <v>234687</v>
      </c>
      <c r="G14" s="133">
        <f>+Plan!F14</f>
        <v>0.7</v>
      </c>
      <c r="H14" s="135">
        <f t="shared" si="0"/>
        <v>0.63</v>
      </c>
      <c r="I14" s="136">
        <f t="shared" si="4"/>
        <v>0</v>
      </c>
      <c r="J14" s="133">
        <f t="shared" si="5"/>
        <v>0</v>
      </c>
      <c r="K14" s="137">
        <f t="shared" si="6"/>
        <v>0</v>
      </c>
      <c r="L14" s="138">
        <f t="shared" si="7"/>
        <v>0</v>
      </c>
      <c r="M14" s="138">
        <f t="shared" si="8"/>
        <v>0</v>
      </c>
      <c r="N14" s="133"/>
      <c r="O14" s="133"/>
      <c r="P14" s="133"/>
      <c r="Q14" s="133"/>
      <c r="R14" s="199" t="e">
        <f t="shared" si="3"/>
        <v>#DIV/0!</v>
      </c>
      <c r="S14" s="139" t="str">
        <f>+Plan!N14</f>
        <v>88R8501</v>
      </c>
    </row>
    <row r="15" spans="1:28" x14ac:dyDescent="0.2">
      <c r="A15" s="131">
        <f>+Plan!A15</f>
        <v>42230</v>
      </c>
      <c r="B15" s="132" t="str">
        <f>+Plan!B15</f>
        <v>EQA03-07</v>
      </c>
      <c r="C15" s="142">
        <f>+Plan!C15</f>
        <v>25.42</v>
      </c>
      <c r="D15" s="142">
        <f>+Plan!D15</f>
        <v>4.29</v>
      </c>
      <c r="E15" s="143">
        <f>+Plan!E15</f>
        <v>109.05180000000001</v>
      </c>
      <c r="F15" s="147">
        <f>+Plan!L15</f>
        <v>417783</v>
      </c>
      <c r="G15" s="142">
        <f>+Plan!F15</f>
        <v>0.6</v>
      </c>
      <c r="H15" s="144">
        <f t="shared" si="0"/>
        <v>0.54</v>
      </c>
      <c r="I15" s="145">
        <f t="shared" si="4"/>
        <v>0</v>
      </c>
      <c r="J15" s="142">
        <f t="shared" si="5"/>
        <v>0</v>
      </c>
      <c r="K15" s="146">
        <f t="shared" si="6"/>
        <v>0</v>
      </c>
      <c r="L15" s="144">
        <f t="shared" si="7"/>
        <v>0</v>
      </c>
      <c r="M15" s="144">
        <f t="shared" si="8"/>
        <v>0</v>
      </c>
      <c r="N15" s="142"/>
      <c r="O15" s="142"/>
      <c r="P15" s="142"/>
      <c r="Q15" s="142"/>
      <c r="R15" s="200" t="e">
        <f t="shared" si="3"/>
        <v>#DIV/0!</v>
      </c>
      <c r="S15" s="139" t="str">
        <f>+Plan!N15</f>
        <v>88R8033</v>
      </c>
    </row>
    <row r="16" spans="1:28" x14ac:dyDescent="0.2">
      <c r="A16" s="140">
        <f>+Plan!A16</f>
        <v>42230</v>
      </c>
      <c r="B16" s="141" t="str">
        <f>+Plan!B16</f>
        <v>EQA03-08</v>
      </c>
      <c r="C16" s="133">
        <f>+Plan!C16</f>
        <v>25.39</v>
      </c>
      <c r="D16" s="133">
        <f>+Plan!D16</f>
        <v>4.3</v>
      </c>
      <c r="E16" s="134">
        <f>+Plan!E16</f>
        <v>109.17699999999999</v>
      </c>
      <c r="F16" s="139">
        <f>+Plan!L16</f>
        <v>1500000</v>
      </c>
      <c r="G16" s="142">
        <f>+Plan!F16</f>
        <v>0.5</v>
      </c>
      <c r="H16" s="135">
        <f t="shared" si="0"/>
        <v>0.45</v>
      </c>
      <c r="I16" s="136">
        <f t="shared" si="4"/>
        <v>0</v>
      </c>
      <c r="J16" s="133">
        <f t="shared" si="5"/>
        <v>0</v>
      </c>
      <c r="K16" s="137">
        <f t="shared" si="6"/>
        <v>0</v>
      </c>
      <c r="L16" s="138">
        <f t="shared" si="7"/>
        <v>0</v>
      </c>
      <c r="M16" s="138">
        <f t="shared" si="8"/>
        <v>0</v>
      </c>
      <c r="N16" s="133"/>
      <c r="O16" s="133"/>
      <c r="P16" s="133"/>
      <c r="Q16" s="133"/>
      <c r="R16" s="199" t="e">
        <f t="shared" si="3"/>
        <v>#DIV/0!</v>
      </c>
      <c r="S16" s="139" t="str">
        <f>+Plan!N16</f>
        <v>88R1332</v>
      </c>
    </row>
    <row r="17" spans="1:19" x14ac:dyDescent="0.2">
      <c r="A17" s="140">
        <f>+Plan!A17</f>
        <v>42230</v>
      </c>
      <c r="B17" s="141" t="str">
        <f>+Plan!B17</f>
        <v>EQA03-09</v>
      </c>
      <c r="C17" s="133">
        <f>+Plan!C17</f>
        <v>25.53</v>
      </c>
      <c r="D17" s="133">
        <f>+Plan!D17</f>
        <v>4.49</v>
      </c>
      <c r="E17" s="134">
        <f>+Plan!E17</f>
        <v>114.62970000000001</v>
      </c>
      <c r="F17" s="139">
        <f>+Plan!L17</f>
        <v>4683</v>
      </c>
      <c r="G17" s="142">
        <f>+Plan!F17</f>
        <v>1.3</v>
      </c>
      <c r="H17" s="135">
        <f t="shared" si="0"/>
        <v>1.1700000000000002</v>
      </c>
      <c r="I17" s="136">
        <f t="shared" ref="I17" si="13">+J17/C17/D17*1000</f>
        <v>0</v>
      </c>
      <c r="J17" s="133">
        <f t="shared" ref="J17" si="14">+O17*G17*E17/100</f>
        <v>0</v>
      </c>
      <c r="K17" s="137">
        <f t="shared" si="6"/>
        <v>0</v>
      </c>
      <c r="L17" s="138">
        <f t="shared" ref="L17" si="15">+(J17+K17)/2</f>
        <v>0</v>
      </c>
      <c r="M17" s="138">
        <f t="shared" ref="M17" si="16">+(J17-K17)/2</f>
        <v>0</v>
      </c>
      <c r="N17" s="138"/>
      <c r="O17" s="138"/>
      <c r="P17" s="133"/>
      <c r="Q17" s="133"/>
      <c r="R17" s="199" t="e">
        <f t="shared" si="3"/>
        <v>#DIV/0!</v>
      </c>
      <c r="S17" s="139" t="str">
        <f>+Plan!N17</f>
        <v>88R8033</v>
      </c>
    </row>
    <row r="18" spans="1:19" x14ac:dyDescent="0.2">
      <c r="A18" s="140">
        <f>+Plan!A18</f>
        <v>42230</v>
      </c>
      <c r="B18" s="141" t="str">
        <f>+Plan!B18</f>
        <v>EQA03-10</v>
      </c>
      <c r="C18" s="133">
        <f>+Plan!C18</f>
        <v>25.45</v>
      </c>
      <c r="D18" s="133">
        <f>+Plan!D18</f>
        <v>4.41</v>
      </c>
      <c r="E18" s="134">
        <f>+Plan!E18</f>
        <v>112.2345</v>
      </c>
      <c r="F18" s="139">
        <f>+Plan!L18</f>
        <v>20412</v>
      </c>
      <c r="G18" s="142">
        <f>+Plan!F18</f>
        <v>1</v>
      </c>
      <c r="H18" s="135">
        <f t="shared" ref="H18" si="17">IF(ISNUMBER(G18),+G18*(1-$D$6),"")</f>
        <v>0.9</v>
      </c>
      <c r="I18" s="136">
        <f t="shared" ref="I18" si="18">+J18/C18/D18*1000</f>
        <v>0</v>
      </c>
      <c r="J18" s="133">
        <f t="shared" ref="J18" si="19">+O18*G18*E18/100</f>
        <v>0</v>
      </c>
      <c r="K18" s="137">
        <f t="shared" ref="K18" si="20">+J18*$D$6</f>
        <v>0</v>
      </c>
      <c r="L18" s="138">
        <f t="shared" ref="L18" si="21">+(J18+K18)/2</f>
        <v>0</v>
      </c>
      <c r="M18" s="138">
        <f t="shared" ref="M18" si="22">+(J18-K18)/2</f>
        <v>0</v>
      </c>
      <c r="N18" s="138"/>
      <c r="O18" s="138"/>
      <c r="P18" s="133"/>
      <c r="Q18" s="133"/>
      <c r="R18" s="199" t="e">
        <f t="shared" ref="R18" si="23">+ABS(P18-Q18)/(P18+Q18)</f>
        <v>#DIV/0!</v>
      </c>
      <c r="S18" s="139" t="str">
        <f>+Plan!N18</f>
        <v>88R1332</v>
      </c>
    </row>
    <row r="19" spans="1:19" x14ac:dyDescent="0.2">
      <c r="A19" s="140">
        <f>+Plan!A19</f>
        <v>42230</v>
      </c>
      <c r="B19" s="141" t="str">
        <f>+Plan!B19</f>
        <v>EQA03-11</v>
      </c>
      <c r="C19" s="133">
        <f>+Plan!C19</f>
        <v>25.46</v>
      </c>
      <c r="D19" s="133">
        <f>+Plan!D19</f>
        <v>4.43</v>
      </c>
      <c r="E19" s="134">
        <f>+Plan!E19</f>
        <v>112.78779999999999</v>
      </c>
      <c r="F19" s="139">
        <f>+Plan!L19</f>
        <v>32980</v>
      </c>
      <c r="G19" s="142">
        <f>+Plan!F19</f>
        <v>0.9</v>
      </c>
      <c r="H19" s="135">
        <f t="shared" ref="H19" si="24">IF(ISNUMBER(G19),+G19*(1-$D$6),"")</f>
        <v>0.81</v>
      </c>
      <c r="I19" s="136">
        <f t="shared" ref="I19" si="25">+J19/C19/D19*1000</f>
        <v>0</v>
      </c>
      <c r="J19" s="133">
        <f t="shared" ref="J19" si="26">+O19*G19*E19/100</f>
        <v>0</v>
      </c>
      <c r="K19" s="137">
        <f t="shared" ref="K19" si="27">+J19*$D$6</f>
        <v>0</v>
      </c>
      <c r="L19" s="138">
        <f t="shared" ref="L19" si="28">+(J19+K19)/2</f>
        <v>0</v>
      </c>
      <c r="M19" s="138">
        <f t="shared" ref="M19" si="29">+(J19-K19)/2</f>
        <v>0</v>
      </c>
      <c r="N19" s="138"/>
      <c r="O19" s="138"/>
      <c r="P19" s="133"/>
      <c r="Q19" s="133"/>
      <c r="R19" s="199" t="e">
        <f t="shared" ref="R19" si="30">+ABS(P19-Q19)/(P19+Q19)</f>
        <v>#DIV/0!</v>
      </c>
      <c r="S19" s="139" t="str">
        <f>+Plan!N19</f>
        <v>88R1342</v>
      </c>
    </row>
    <row r="20" spans="1:19" x14ac:dyDescent="0.2">
      <c r="A20" s="140">
        <f>+Plan!A20</f>
        <v>42230</v>
      </c>
      <c r="B20" s="141" t="str">
        <f>+Plan!B20</f>
        <v>EQA03-12</v>
      </c>
      <c r="C20" s="133">
        <f>+Plan!C20</f>
        <v>25.44</v>
      </c>
      <c r="D20" s="133">
        <f>+Plan!D20</f>
        <v>4.46</v>
      </c>
      <c r="E20" s="134">
        <f>+Plan!E20</f>
        <v>113.4624</v>
      </c>
      <c r="F20" s="139">
        <f>+Plan!L20</f>
        <v>95620</v>
      </c>
      <c r="G20" s="142">
        <f>+Plan!F20</f>
        <v>0.8</v>
      </c>
      <c r="H20" s="135">
        <f t="shared" ref="H20" si="31">IF(ISNUMBER(G20),+G20*(1-$D$6),"")</f>
        <v>0.72000000000000008</v>
      </c>
      <c r="I20" s="136">
        <f t="shared" ref="I20" si="32">+J20/C20/D20*1000</f>
        <v>0</v>
      </c>
      <c r="J20" s="133">
        <f t="shared" ref="J20" si="33">+O20*G20*E20/100</f>
        <v>0</v>
      </c>
      <c r="K20" s="137">
        <f t="shared" ref="K20" si="34">+J20*$D$6</f>
        <v>0</v>
      </c>
      <c r="L20" s="138">
        <f t="shared" ref="L20" si="35">+(J20+K20)/2</f>
        <v>0</v>
      </c>
      <c r="M20" s="138">
        <f t="shared" ref="M20" si="36">+(J20-K20)/2</f>
        <v>0</v>
      </c>
      <c r="N20" s="138"/>
      <c r="O20" s="138"/>
      <c r="P20" s="133"/>
      <c r="Q20" s="133"/>
      <c r="R20" s="199" t="e">
        <f t="shared" ref="R20" si="37">+ABS(P20-Q20)/(P20+Q20)</f>
        <v>#DIV/0!</v>
      </c>
      <c r="S20" s="139" t="str">
        <f>+Plan!N20</f>
        <v>88R8501</v>
      </c>
    </row>
    <row r="21" spans="1:19" ht="19.5" thickBot="1" x14ac:dyDescent="0.35">
      <c r="A21" s="46" t="s">
        <v>109</v>
      </c>
      <c r="B21" s="45" t="s">
        <v>110</v>
      </c>
      <c r="S21" s="60"/>
    </row>
    <row r="22" spans="1:19" ht="15.75" thickBot="1" x14ac:dyDescent="0.3">
      <c r="A22" s="51" t="s">
        <v>108</v>
      </c>
      <c r="B22" s="52" t="s">
        <v>101</v>
      </c>
      <c r="C22" s="51" t="s">
        <v>108</v>
      </c>
      <c r="D22" s="52" t="s">
        <v>5</v>
      </c>
      <c r="E22" s="51" t="s">
        <v>108</v>
      </c>
      <c r="F22" s="52" t="s">
        <v>102</v>
      </c>
      <c r="S22" s="60"/>
    </row>
    <row r="23" spans="1:19" x14ac:dyDescent="0.2">
      <c r="A23" s="49" t="str">
        <f>+F9</f>
        <v>Statisk</v>
      </c>
      <c r="B23" s="54">
        <f>+G9</f>
        <v>0</v>
      </c>
      <c r="C23" s="53" t="str">
        <f>+F9</f>
        <v>Statisk</v>
      </c>
      <c r="D23" s="148">
        <f>+H9</f>
        <v>0</v>
      </c>
      <c r="E23" s="53" t="str">
        <f>+F9</f>
        <v>Statisk</v>
      </c>
      <c r="F23" s="58">
        <f>+I9</f>
        <v>0</v>
      </c>
      <c r="S23" s="60"/>
    </row>
    <row r="24" spans="1:19" x14ac:dyDescent="0.2">
      <c r="A24" s="49" t="str">
        <f t="shared" ref="A24:A31" si="38">+F10</f>
        <v>Statisk</v>
      </c>
      <c r="B24" s="56">
        <f t="shared" ref="B24:B31" si="39">+G10</f>
        <v>0</v>
      </c>
      <c r="C24" s="55" t="str">
        <f t="shared" ref="C24:C31" si="40">+F10</f>
        <v>Statisk</v>
      </c>
      <c r="D24" s="148">
        <f t="shared" ref="D24:D31" si="41">+H10</f>
        <v>0</v>
      </c>
      <c r="E24" s="55" t="str">
        <f t="shared" ref="E24:E31" si="42">+F10</f>
        <v>Statisk</v>
      </c>
      <c r="F24" s="59">
        <f t="shared" ref="F24:F31" si="43">+I10</f>
        <v>0</v>
      </c>
      <c r="S24" s="60"/>
    </row>
    <row r="25" spans="1:19" x14ac:dyDescent="0.2">
      <c r="A25" s="49" t="str">
        <f t="shared" si="38"/>
        <v>Statisk</v>
      </c>
      <c r="B25" s="56">
        <f t="shared" si="39"/>
        <v>0</v>
      </c>
      <c r="C25" s="55" t="str">
        <f t="shared" si="40"/>
        <v>Statisk</v>
      </c>
      <c r="D25" s="148">
        <f t="shared" si="41"/>
        <v>0</v>
      </c>
      <c r="E25" s="55" t="str">
        <f t="shared" si="42"/>
        <v>Statisk</v>
      </c>
      <c r="F25" s="59">
        <f t="shared" si="43"/>
        <v>0</v>
      </c>
      <c r="S25" s="60"/>
    </row>
    <row r="26" spans="1:19" x14ac:dyDescent="0.2">
      <c r="A26" s="49">
        <f t="shared" si="38"/>
        <v>0</v>
      </c>
      <c r="B26" s="56">
        <f t="shared" si="39"/>
        <v>0</v>
      </c>
      <c r="C26" s="55">
        <f t="shared" si="40"/>
        <v>0</v>
      </c>
      <c r="D26" s="148">
        <f t="shared" si="41"/>
        <v>0</v>
      </c>
      <c r="E26" s="55">
        <f t="shared" si="42"/>
        <v>0</v>
      </c>
      <c r="F26" s="59">
        <f t="shared" si="43"/>
        <v>0</v>
      </c>
      <c r="S26" s="60"/>
    </row>
    <row r="27" spans="1:19" x14ac:dyDescent="0.2">
      <c r="A27" s="49">
        <f t="shared" si="38"/>
        <v>2000000</v>
      </c>
      <c r="B27" s="56">
        <f t="shared" si="39"/>
        <v>0.55000000000000004</v>
      </c>
      <c r="C27" s="55">
        <f t="shared" si="40"/>
        <v>2000000</v>
      </c>
      <c r="D27" s="148">
        <f t="shared" si="41"/>
        <v>0.49500000000000005</v>
      </c>
      <c r="E27" s="55">
        <f t="shared" si="42"/>
        <v>2000000</v>
      </c>
      <c r="F27" s="59">
        <f t="shared" si="43"/>
        <v>0</v>
      </c>
      <c r="S27" s="60"/>
    </row>
    <row r="28" spans="1:19" x14ac:dyDescent="0.2">
      <c r="A28" s="49">
        <f t="shared" si="38"/>
        <v>234687</v>
      </c>
      <c r="B28" s="56">
        <f t="shared" si="39"/>
        <v>0.7</v>
      </c>
      <c r="C28" s="55">
        <f t="shared" si="40"/>
        <v>234687</v>
      </c>
      <c r="D28" s="148">
        <f t="shared" si="41"/>
        <v>0.63</v>
      </c>
      <c r="E28" s="55">
        <f t="shared" si="42"/>
        <v>234687</v>
      </c>
      <c r="F28" s="59">
        <f t="shared" si="43"/>
        <v>0</v>
      </c>
      <c r="S28" s="60"/>
    </row>
    <row r="29" spans="1:19" x14ac:dyDescent="0.2">
      <c r="A29" s="49">
        <f t="shared" si="38"/>
        <v>417783</v>
      </c>
      <c r="B29" s="56">
        <f t="shared" si="39"/>
        <v>0.6</v>
      </c>
      <c r="C29" s="55">
        <f t="shared" si="40"/>
        <v>417783</v>
      </c>
      <c r="D29" s="148">
        <f t="shared" si="41"/>
        <v>0.54</v>
      </c>
      <c r="E29" s="55">
        <f t="shared" si="42"/>
        <v>417783</v>
      </c>
      <c r="F29" s="59">
        <f t="shared" si="43"/>
        <v>0</v>
      </c>
      <c r="S29" s="60"/>
    </row>
    <row r="30" spans="1:19" x14ac:dyDescent="0.2">
      <c r="A30" s="49">
        <f t="shared" si="38"/>
        <v>1500000</v>
      </c>
      <c r="B30" s="56">
        <f t="shared" si="39"/>
        <v>0.5</v>
      </c>
      <c r="C30" s="55">
        <f t="shared" si="40"/>
        <v>1500000</v>
      </c>
      <c r="D30" s="148">
        <f t="shared" si="41"/>
        <v>0.45</v>
      </c>
      <c r="E30" s="55">
        <f t="shared" si="42"/>
        <v>1500000</v>
      </c>
      <c r="F30" s="59">
        <f t="shared" si="43"/>
        <v>0</v>
      </c>
      <c r="S30" s="60"/>
    </row>
    <row r="31" spans="1:19" x14ac:dyDescent="0.2">
      <c r="A31" s="49">
        <f t="shared" si="38"/>
        <v>4683</v>
      </c>
      <c r="B31" s="56">
        <f t="shared" si="39"/>
        <v>1.3</v>
      </c>
      <c r="C31" s="55">
        <f t="shared" si="40"/>
        <v>4683</v>
      </c>
      <c r="D31" s="148">
        <f t="shared" si="41"/>
        <v>1.1700000000000002</v>
      </c>
      <c r="E31" s="55">
        <f t="shared" si="42"/>
        <v>4683</v>
      </c>
      <c r="F31" s="59">
        <f t="shared" si="43"/>
        <v>0</v>
      </c>
      <c r="S31" s="60"/>
    </row>
    <row r="32" spans="1:19" x14ac:dyDescent="0.2">
      <c r="A32" s="49">
        <f t="shared" ref="A32:A33" si="44">+F18</f>
        <v>20412</v>
      </c>
      <c r="B32" s="56">
        <f t="shared" ref="B32" si="45">+G18</f>
        <v>1</v>
      </c>
      <c r="C32" s="55">
        <f t="shared" ref="C32:C33" si="46">+F18</f>
        <v>20412</v>
      </c>
      <c r="D32" s="148">
        <f t="shared" ref="D32:D33" si="47">+H18</f>
        <v>0.9</v>
      </c>
      <c r="E32" s="55">
        <f t="shared" ref="E32:E33" si="48">+F18</f>
        <v>20412</v>
      </c>
      <c r="F32" s="59">
        <f t="shared" ref="F32:F33" si="49">+I18</f>
        <v>0</v>
      </c>
      <c r="S32" s="60"/>
    </row>
    <row r="33" spans="1:19" x14ac:dyDescent="0.2">
      <c r="A33" s="49">
        <f t="shared" si="44"/>
        <v>32980</v>
      </c>
      <c r="B33" s="56">
        <f>+G19</f>
        <v>0.9</v>
      </c>
      <c r="C33" s="55">
        <f t="shared" si="46"/>
        <v>32980</v>
      </c>
      <c r="D33" s="148">
        <f t="shared" si="47"/>
        <v>0.81</v>
      </c>
      <c r="E33" s="55">
        <f t="shared" si="48"/>
        <v>32980</v>
      </c>
      <c r="F33" s="59">
        <f t="shared" si="49"/>
        <v>0</v>
      </c>
      <c r="S33" s="60"/>
    </row>
    <row r="34" spans="1:19" x14ac:dyDescent="0.2">
      <c r="A34" s="49">
        <f t="shared" ref="A34" si="50">+F20</f>
        <v>95620</v>
      </c>
      <c r="B34" s="56">
        <f>+G20</f>
        <v>0.8</v>
      </c>
      <c r="C34" s="55">
        <f t="shared" ref="C34" si="51">+F20</f>
        <v>95620</v>
      </c>
      <c r="D34" s="148">
        <f t="shared" ref="D34" si="52">+H20</f>
        <v>0.72000000000000008</v>
      </c>
      <c r="E34" s="55">
        <f t="shared" ref="E34" si="53">+F20</f>
        <v>95620</v>
      </c>
      <c r="F34" s="59">
        <f t="shared" ref="F34" si="54">+I20</f>
        <v>0</v>
      </c>
      <c r="S34" s="60"/>
    </row>
    <row r="35" spans="1:19" x14ac:dyDescent="0.2">
      <c r="S35" s="60"/>
    </row>
    <row r="36" spans="1:19" x14ac:dyDescent="0.2">
      <c r="S36" s="60"/>
    </row>
    <row r="37" spans="1:19" x14ac:dyDescent="0.2">
      <c r="S37" s="60"/>
    </row>
    <row r="38" spans="1:19" x14ac:dyDescent="0.2">
      <c r="S38" s="60"/>
    </row>
    <row r="39" spans="1:19" x14ac:dyDescent="0.2">
      <c r="S39" s="60"/>
    </row>
    <row r="40" spans="1:19" x14ac:dyDescent="0.2">
      <c r="S40" s="60"/>
    </row>
    <row r="41" spans="1:19" x14ac:dyDescent="0.2">
      <c r="S41" s="60"/>
    </row>
  </sheetData>
  <mergeCells count="1">
    <mergeCell ref="N6:Q6"/>
  </mergeCells>
  <phoneticPr fontId="0" type="noConversion"/>
  <pageMargins left="0.32" right="0.22" top="1" bottom="1" header="0.5" footer="0.5"/>
  <pageSetup paperSize="9" scale="42" orientation="landscape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3"/>
  <sheetViews>
    <sheetView zoomScale="75" workbookViewId="0">
      <selection activeCell="C6" sqref="C6:G6"/>
    </sheetView>
  </sheetViews>
  <sheetFormatPr defaultRowHeight="12.75" x14ac:dyDescent="0.2"/>
  <cols>
    <col min="1" max="1" width="12.140625" customWidth="1"/>
    <col min="2" max="2" width="13.7109375" bestFit="1" customWidth="1"/>
    <col min="3" max="7" width="9" bestFit="1" customWidth="1"/>
    <col min="8" max="8" width="15.28515625" customWidth="1"/>
    <col min="9" max="10" width="12.7109375" customWidth="1"/>
    <col min="11" max="11" width="15.42578125" customWidth="1"/>
    <col min="12" max="12" width="12.7109375" customWidth="1"/>
    <col min="13" max="13" width="10.5703125" bestFit="1" customWidth="1"/>
    <col min="14" max="19" width="13.140625" customWidth="1"/>
    <col min="20" max="25" width="9" customWidth="1"/>
    <col min="26" max="26" width="26.85546875" customWidth="1"/>
    <col min="27" max="27" width="14.85546875" customWidth="1"/>
    <col min="28" max="28" width="12.42578125" customWidth="1"/>
    <col min="29" max="29" width="16.7109375" customWidth="1"/>
    <col min="31" max="31" width="16.42578125" customWidth="1"/>
    <col min="32" max="32" width="11.28515625" customWidth="1"/>
    <col min="33" max="33" width="13" customWidth="1"/>
    <col min="34" max="34" width="13.42578125" customWidth="1"/>
  </cols>
  <sheetData>
    <row r="1" spans="1:37" ht="13.5" thickBot="1" x14ac:dyDescent="0.25">
      <c r="A1" s="152" t="s">
        <v>27</v>
      </c>
      <c r="B1" s="152"/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153" t="s">
        <v>33</v>
      </c>
      <c r="I1" s="154">
        <f>COUNT(C:C)</f>
        <v>6</v>
      </c>
      <c r="J1" s="3"/>
      <c r="K1" s="3"/>
      <c r="L1" s="3"/>
      <c r="M1" s="60" t="s">
        <v>28</v>
      </c>
      <c r="N1" s="60" t="s">
        <v>34</v>
      </c>
      <c r="O1" s="60" t="s">
        <v>28</v>
      </c>
      <c r="P1" s="60" t="s">
        <v>35</v>
      </c>
      <c r="Q1" s="60" t="s">
        <v>36</v>
      </c>
      <c r="R1" s="60" t="s">
        <v>37</v>
      </c>
      <c r="S1" s="60" t="s">
        <v>38</v>
      </c>
      <c r="T1" s="229" t="s">
        <v>39</v>
      </c>
      <c r="U1" s="229"/>
      <c r="V1" s="229" t="s">
        <v>40</v>
      </c>
      <c r="W1" s="229"/>
      <c r="X1" s="229" t="s">
        <v>41</v>
      </c>
      <c r="Y1" s="229"/>
      <c r="Z1" s="3" t="s">
        <v>42</v>
      </c>
      <c r="AA1" s="3"/>
      <c r="AB1" s="3"/>
      <c r="AC1" s="3"/>
      <c r="AD1" s="3"/>
      <c r="AE1" s="3"/>
      <c r="AF1" s="3"/>
      <c r="AG1" s="3"/>
      <c r="AH1" s="3"/>
      <c r="AI1" s="1"/>
      <c r="AJ1" s="1"/>
      <c r="AK1" s="1"/>
    </row>
    <row r="2" spans="1:37" ht="13.5" thickBot="1" x14ac:dyDescent="0.25">
      <c r="A2" s="50"/>
      <c r="B2" s="49"/>
      <c r="C2" s="50"/>
      <c r="D2" s="50"/>
      <c r="E2" s="50"/>
      <c r="F2" s="50"/>
      <c r="G2" s="3"/>
      <c r="H2" s="155" t="s">
        <v>43</v>
      </c>
      <c r="I2" s="56">
        <f>SUM(C:C)</f>
        <v>-0.40547486086399431</v>
      </c>
      <c r="J2" s="50"/>
      <c r="K2" s="50"/>
      <c r="L2" s="50"/>
      <c r="M2" s="150">
        <f t="shared" ref="M2:M19" si="0">+C2</f>
        <v>0</v>
      </c>
      <c r="N2" s="156">
        <f t="shared" ref="N2:N19" si="1">+$I$13+$I$12*M2</f>
        <v>4.3354159558556518</v>
      </c>
      <c r="O2" s="156">
        <f t="shared" ref="O2:O33" si="2">LOG($I$19+($I$20-$I$19)*(ROW()-2)/100)</f>
        <v>-0.3979400086720376</v>
      </c>
      <c r="P2" s="208">
        <f t="shared" ref="P2:P33" si="3">SQRT(2*$I$16*$K$24)*SQRT((1/$I$1)+((O2-$I$10)^2/$I$7))</f>
        <v>0.39636255161030481</v>
      </c>
      <c r="Q2" s="156">
        <f t="shared" ref="Q2:Q33" si="4">+$I$13+$I$12*O2</f>
        <v>6.7478897943451308</v>
      </c>
      <c r="R2" s="156">
        <f t="shared" ref="R2:R33" si="5">+$I$13+$I$12*O2-P2</f>
        <v>6.3515272427348259</v>
      </c>
      <c r="S2" s="156">
        <f t="shared" ref="S2:S33" si="6">+$I$13+$I$12*O2+P2</f>
        <v>7.1442523459554357</v>
      </c>
      <c r="T2" s="149">
        <f t="shared" ref="T2:T33" si="7">10^Q2</f>
        <v>5596155.7660346087</v>
      </c>
      <c r="U2" s="157">
        <f>10^$O2</f>
        <v>0.4</v>
      </c>
      <c r="V2" s="149">
        <f t="shared" ref="V2:V33" si="8">10^R2</f>
        <v>2246607.6983861425</v>
      </c>
      <c r="W2" s="157">
        <f t="shared" ref="W2:W33" si="9">10^$O2</f>
        <v>0.4</v>
      </c>
      <c r="X2" s="149">
        <f t="shared" ref="X2:X33" si="10">10^S2</f>
        <v>13939665.29190609</v>
      </c>
      <c r="Y2" s="157">
        <f t="shared" ref="Y2:Y33" si="11">10^$O2</f>
        <v>0.4</v>
      </c>
      <c r="Z2" s="3"/>
      <c r="AA2" s="3"/>
      <c r="AB2" s="3"/>
      <c r="AC2" s="3"/>
      <c r="AD2" s="3"/>
      <c r="AE2" s="3"/>
      <c r="AF2" s="3"/>
      <c r="AG2" s="3"/>
      <c r="AH2" s="3"/>
      <c r="AI2" s="1"/>
      <c r="AJ2" s="1"/>
      <c r="AK2" s="1"/>
    </row>
    <row r="3" spans="1:37" x14ac:dyDescent="0.2">
      <c r="A3" s="50"/>
      <c r="B3" s="49"/>
      <c r="C3" s="50"/>
      <c r="D3" s="50"/>
      <c r="E3" s="50"/>
      <c r="F3" s="50"/>
      <c r="G3" s="3"/>
      <c r="H3" s="158" t="s">
        <v>44</v>
      </c>
      <c r="I3" s="56">
        <f>SUM(D:D)</f>
        <v>28.470648905668035</v>
      </c>
      <c r="J3" s="50"/>
      <c r="K3" s="50"/>
      <c r="L3" s="50"/>
      <c r="M3" s="150">
        <f t="shared" si="0"/>
        <v>0</v>
      </c>
      <c r="N3" s="156">
        <f t="shared" si="1"/>
        <v>4.3354159558556518</v>
      </c>
      <c r="O3" s="156">
        <f t="shared" si="2"/>
        <v>-0.38827669199265819</v>
      </c>
      <c r="P3" s="208">
        <f t="shared" si="3"/>
        <v>0.38590757205607723</v>
      </c>
      <c r="Q3" s="156">
        <f t="shared" si="4"/>
        <v>6.6893068467298917</v>
      </c>
      <c r="R3" s="156">
        <f t="shared" si="5"/>
        <v>6.3033992746738141</v>
      </c>
      <c r="S3" s="156">
        <f t="shared" si="6"/>
        <v>7.0752144187859694</v>
      </c>
      <c r="T3" s="149">
        <f t="shared" si="7"/>
        <v>4889977.3412213624</v>
      </c>
      <c r="U3" s="157">
        <f t="shared" ref="U3:U34" si="12">10^O3</f>
        <v>0.40899999999999997</v>
      </c>
      <c r="V3" s="149">
        <f t="shared" si="8"/>
        <v>2010940.7493693931</v>
      </c>
      <c r="W3" s="157">
        <f t="shared" si="9"/>
        <v>0.40899999999999997</v>
      </c>
      <c r="X3" s="149">
        <f t="shared" si="10"/>
        <v>11890891.566624638</v>
      </c>
      <c r="Y3" s="157">
        <f t="shared" si="11"/>
        <v>0.40899999999999997</v>
      </c>
      <c r="Z3" s="159" t="s">
        <v>45</v>
      </c>
      <c r="AA3" s="159"/>
      <c r="AB3" s="3"/>
      <c r="AC3" s="3"/>
      <c r="AD3" s="3"/>
      <c r="AE3" s="3"/>
      <c r="AF3" s="3"/>
      <c r="AG3" s="3"/>
      <c r="AH3" s="3"/>
      <c r="AI3" s="1"/>
      <c r="AJ3" s="1"/>
      <c r="AK3" s="1"/>
    </row>
    <row r="4" spans="1:37" x14ac:dyDescent="0.2">
      <c r="A4" s="50"/>
      <c r="B4" s="49"/>
      <c r="C4" s="50"/>
      <c r="D4" s="50"/>
      <c r="E4" s="50"/>
      <c r="F4" s="50"/>
      <c r="G4" s="3"/>
      <c r="H4" s="158" t="s">
        <v>46</v>
      </c>
      <c r="I4" s="56">
        <f>SUM(E:E)</f>
        <v>9.7679871012317426E-2</v>
      </c>
      <c r="J4" s="50"/>
      <c r="K4" s="50"/>
      <c r="L4" s="50"/>
      <c r="M4" s="150">
        <f t="shared" si="0"/>
        <v>0</v>
      </c>
      <c r="N4" s="156">
        <f t="shared" si="1"/>
        <v>4.3354159558556518</v>
      </c>
      <c r="O4" s="156">
        <f t="shared" si="2"/>
        <v>-0.37882371822496475</v>
      </c>
      <c r="P4" s="208">
        <f t="shared" si="3"/>
        <v>0.37571129023952243</v>
      </c>
      <c r="Q4" s="156">
        <f t="shared" si="4"/>
        <v>6.6319990832140032</v>
      </c>
      <c r="R4" s="156">
        <f t="shared" si="5"/>
        <v>6.2562877929744811</v>
      </c>
      <c r="S4" s="156">
        <f t="shared" si="6"/>
        <v>7.0077103734535253</v>
      </c>
      <c r="T4" s="149">
        <f t="shared" si="7"/>
        <v>4285476.1574199554</v>
      </c>
      <c r="U4" s="157">
        <f t="shared" si="12"/>
        <v>0.41799999999999998</v>
      </c>
      <c r="V4" s="149">
        <f t="shared" si="8"/>
        <v>1804212.9386483585</v>
      </c>
      <c r="W4" s="157">
        <f t="shared" si="9"/>
        <v>0.41799999999999998</v>
      </c>
      <c r="X4" s="149">
        <f t="shared" si="10"/>
        <v>10179123.263340192</v>
      </c>
      <c r="Y4" s="157">
        <f t="shared" si="11"/>
        <v>0.41799999999999998</v>
      </c>
      <c r="Z4" s="160" t="s">
        <v>47</v>
      </c>
      <c r="AA4" s="160">
        <v>0.88244046806828758</v>
      </c>
      <c r="AB4" s="3"/>
      <c r="AC4" s="3"/>
      <c r="AD4" s="3"/>
      <c r="AE4" s="3"/>
      <c r="AF4" s="3"/>
      <c r="AG4" s="3"/>
      <c r="AH4" s="3"/>
      <c r="AI4" s="1"/>
      <c r="AJ4" s="1"/>
      <c r="AK4" s="1"/>
    </row>
    <row r="5" spans="1:37" x14ac:dyDescent="0.2">
      <c r="A5" s="50"/>
      <c r="B5" s="49"/>
      <c r="C5" s="50"/>
      <c r="D5" s="50"/>
      <c r="E5" s="50"/>
      <c r="F5" s="50"/>
      <c r="G5" s="3"/>
      <c r="H5" s="158" t="s">
        <v>48</v>
      </c>
      <c r="I5" s="56">
        <f>SUM(F:F)</f>
        <v>137.70555577435854</v>
      </c>
      <c r="J5" s="50"/>
      <c r="K5" s="50"/>
      <c r="L5" s="50"/>
      <c r="M5" s="150">
        <f t="shared" si="0"/>
        <v>0</v>
      </c>
      <c r="N5" s="156">
        <f t="shared" si="1"/>
        <v>4.3354159558556518</v>
      </c>
      <c r="O5" s="156">
        <f t="shared" si="2"/>
        <v>-0.3695721249749761</v>
      </c>
      <c r="P5" s="208">
        <f t="shared" si="3"/>
        <v>0.36576452080383476</v>
      </c>
      <c r="Q5" s="156">
        <f t="shared" si="4"/>
        <v>6.5759121701277197</v>
      </c>
      <c r="R5" s="156">
        <f t="shared" si="5"/>
        <v>6.2101476493238845</v>
      </c>
      <c r="S5" s="156">
        <f t="shared" si="6"/>
        <v>6.9416766909315548</v>
      </c>
      <c r="T5" s="149">
        <f t="shared" si="7"/>
        <v>3766276.2370979041</v>
      </c>
      <c r="U5" s="157">
        <f t="shared" si="12"/>
        <v>0.42699999999999999</v>
      </c>
      <c r="V5" s="149">
        <f t="shared" si="8"/>
        <v>1622361.5661986656</v>
      </c>
      <c r="W5" s="157">
        <f t="shared" si="9"/>
        <v>0.42699999999999999</v>
      </c>
      <c r="X5" s="149">
        <f t="shared" si="10"/>
        <v>8743326.3889286276</v>
      </c>
      <c r="Y5" s="157">
        <f t="shared" si="11"/>
        <v>0.42699999999999999</v>
      </c>
      <c r="Z5" s="160" t="s">
        <v>49</v>
      </c>
      <c r="AA5" s="160">
        <v>0.77870117968457842</v>
      </c>
      <c r="AB5" s="3"/>
      <c r="AC5" s="3"/>
      <c r="AD5" s="3"/>
      <c r="AE5" s="3"/>
      <c r="AF5" s="3"/>
      <c r="AG5" s="3"/>
      <c r="AH5" s="3"/>
      <c r="AI5" s="1"/>
      <c r="AJ5" s="1"/>
      <c r="AK5" s="1"/>
    </row>
    <row r="6" spans="1:37" x14ac:dyDescent="0.2">
      <c r="A6" s="50">
        <f>+Results!B27</f>
        <v>0.55000000000000004</v>
      </c>
      <c r="B6" s="49">
        <f>+Results!A27</f>
        <v>2000000</v>
      </c>
      <c r="C6" s="50"/>
      <c r="D6" s="50"/>
      <c r="E6" s="50"/>
      <c r="F6" s="50"/>
      <c r="G6" s="3"/>
      <c r="H6" s="158" t="s">
        <v>50</v>
      </c>
      <c r="I6" s="56">
        <f>SUM(G:G)</f>
        <v>-2.3500772034232735</v>
      </c>
      <c r="J6" s="50"/>
      <c r="K6" s="50"/>
      <c r="L6" s="50"/>
      <c r="M6" s="150">
        <f t="shared" si="0"/>
        <v>0</v>
      </c>
      <c r="N6" s="156">
        <f t="shared" si="1"/>
        <v>4.3354159558556518</v>
      </c>
      <c r="O6" s="156">
        <f t="shared" si="2"/>
        <v>-0.36051351073141391</v>
      </c>
      <c r="P6" s="208">
        <f t="shared" si="3"/>
        <v>0.35605878277639152</v>
      </c>
      <c r="Q6" s="156">
        <f t="shared" si="4"/>
        <v>6.5209951740998768</v>
      </c>
      <c r="R6" s="156">
        <f t="shared" si="5"/>
        <v>6.1649363913234856</v>
      </c>
      <c r="S6" s="156">
        <f t="shared" si="6"/>
        <v>6.8770539568762681</v>
      </c>
      <c r="T6" s="149">
        <f t="shared" si="7"/>
        <v>3318907.6954672681</v>
      </c>
      <c r="U6" s="157">
        <f t="shared" si="12"/>
        <v>0.436</v>
      </c>
      <c r="V6" s="149">
        <f t="shared" si="8"/>
        <v>1461963.0332507256</v>
      </c>
      <c r="W6" s="157">
        <f t="shared" si="9"/>
        <v>0.436</v>
      </c>
      <c r="X6" s="149">
        <f t="shared" si="10"/>
        <v>7534491.6666868711</v>
      </c>
      <c r="Y6" s="157">
        <f t="shared" si="11"/>
        <v>0.436</v>
      </c>
      <c r="Z6" s="160" t="s">
        <v>51</v>
      </c>
      <c r="AA6" s="160">
        <v>0.75103882714515069</v>
      </c>
      <c r="AB6" s="3"/>
      <c r="AC6" s="3"/>
      <c r="AD6" s="3"/>
      <c r="AE6" s="3"/>
      <c r="AF6" s="3"/>
      <c r="AG6" s="3"/>
      <c r="AH6" s="3"/>
      <c r="AI6" s="1"/>
      <c r="AJ6" s="1"/>
      <c r="AK6" s="1"/>
    </row>
    <row r="7" spans="1:37" x14ac:dyDescent="0.2">
      <c r="A7" s="50">
        <f>+Results!B28</f>
        <v>0.7</v>
      </c>
      <c r="B7" s="49">
        <f>+Results!A28</f>
        <v>234687</v>
      </c>
      <c r="C7" s="50">
        <f t="shared" ref="C6:C8" si="13">LOG(A7)</f>
        <v>-0.15490195998574319</v>
      </c>
      <c r="D7" s="50">
        <f t="shared" ref="D6:D8" si="14">LOG(B7)</f>
        <v>5.3704890334220634</v>
      </c>
      <c r="E7" s="50">
        <f t="shared" ref="E6:E8" si="15">+C7^2</f>
        <v>2.3994617207424785E-2</v>
      </c>
      <c r="F7" s="50">
        <f t="shared" ref="F6:F8" si="16">+D7^2</f>
        <v>28.84215245810665</v>
      </c>
      <c r="G7" s="3">
        <f t="shared" ref="G6:G8" si="17">+C7*D7</f>
        <v>-0.83189927735901703</v>
      </c>
      <c r="H7" s="155" t="s">
        <v>52</v>
      </c>
      <c r="I7" s="161">
        <f>+I4-I2^2/$I$1</f>
        <v>7.0278227213538172E-2</v>
      </c>
      <c r="J7" s="3"/>
      <c r="K7" s="3"/>
      <c r="L7" s="3"/>
      <c r="M7" s="150">
        <f t="shared" si="0"/>
        <v>-0.15490195998574319</v>
      </c>
      <c r="N7" s="156">
        <f t="shared" si="1"/>
        <v>5.2744945050153866</v>
      </c>
      <c r="O7" s="156">
        <f t="shared" si="2"/>
        <v>-0.3516399890190684</v>
      </c>
      <c r="P7" s="208">
        <f t="shared" si="3"/>
        <v>0.34658625236267593</v>
      </c>
      <c r="Q7" s="156">
        <f t="shared" si="4"/>
        <v>6.4672002841169887</v>
      </c>
      <c r="R7" s="156">
        <f t="shared" si="5"/>
        <v>6.1206140317543127</v>
      </c>
      <c r="S7" s="156">
        <f t="shared" si="6"/>
        <v>6.8137865364796646</v>
      </c>
      <c r="T7" s="149">
        <f t="shared" si="7"/>
        <v>2932245.2005876922</v>
      </c>
      <c r="U7" s="157">
        <f t="shared" si="12"/>
        <v>0.44499999999999995</v>
      </c>
      <c r="V7" s="149">
        <f t="shared" si="8"/>
        <v>1320121.8877283093</v>
      </c>
      <c r="W7" s="157">
        <f t="shared" si="9"/>
        <v>0.44499999999999995</v>
      </c>
      <c r="X7" s="149">
        <f t="shared" si="10"/>
        <v>6513081.8572861077</v>
      </c>
      <c r="Y7" s="157">
        <f t="shared" si="11"/>
        <v>0.44499999999999995</v>
      </c>
      <c r="Z7" s="160" t="s">
        <v>53</v>
      </c>
      <c r="AA7" s="160">
        <v>4.8757093884921039</v>
      </c>
      <c r="AB7" s="3"/>
      <c r="AC7" s="3"/>
      <c r="AD7" s="3"/>
      <c r="AE7" s="3"/>
      <c r="AF7" s="3"/>
      <c r="AG7" s="3"/>
      <c r="AH7" s="3"/>
      <c r="AI7" s="1"/>
      <c r="AJ7" s="1"/>
      <c r="AK7" s="1"/>
    </row>
    <row r="8" spans="1:37" ht="15" thickBot="1" x14ac:dyDescent="0.3">
      <c r="A8" s="50">
        <f>+Results!B29</f>
        <v>0.6</v>
      </c>
      <c r="B8" s="49">
        <f>+Results!A29</f>
        <v>417783</v>
      </c>
      <c r="C8" s="50">
        <f t="shared" si="13"/>
        <v>-0.22184874961635639</v>
      </c>
      <c r="D8" s="50">
        <f t="shared" si="14"/>
        <v>5.620950764135431</v>
      </c>
      <c r="E8" s="50">
        <f t="shared" si="15"/>
        <v>4.9216867706340789E-2</v>
      </c>
      <c r="F8" s="50">
        <f t="shared" si="16"/>
        <v>31.595087492834686</v>
      </c>
      <c r="G8" s="3">
        <f t="shared" si="17"/>
        <v>-1.2470008986785484</v>
      </c>
      <c r="H8" s="158" t="s">
        <v>118</v>
      </c>
      <c r="I8" s="162">
        <f>+I5-I3^2/$I$1</f>
        <v>2.6092475893891276</v>
      </c>
      <c r="J8" s="148"/>
      <c r="K8" s="148"/>
      <c r="L8" s="148"/>
      <c r="M8" s="150">
        <f t="shared" si="0"/>
        <v>-0.22184874961635639</v>
      </c>
      <c r="N8" s="156">
        <f t="shared" si="1"/>
        <v>5.6803531144416626</v>
      </c>
      <c r="O8" s="156">
        <f t="shared" si="2"/>
        <v>-0.34294414714289606</v>
      </c>
      <c r="P8" s="208">
        <f t="shared" si="3"/>
        <v>0.33733972135417872</v>
      </c>
      <c r="Q8" s="156">
        <f t="shared" si="4"/>
        <v>6.4144825614132213</v>
      </c>
      <c r="R8" s="156">
        <f t="shared" si="5"/>
        <v>6.0771428400590422</v>
      </c>
      <c r="S8" s="156">
        <f t="shared" si="6"/>
        <v>6.7518222827674004</v>
      </c>
      <c r="T8" s="149">
        <f t="shared" si="7"/>
        <v>2597063.4572638669</v>
      </c>
      <c r="U8" s="157">
        <f t="shared" si="12"/>
        <v>0.45400000000000001</v>
      </c>
      <c r="V8" s="149">
        <f t="shared" si="8"/>
        <v>1194380.8733998169</v>
      </c>
      <c r="W8" s="157">
        <f t="shared" si="9"/>
        <v>0.45400000000000001</v>
      </c>
      <c r="X8" s="149">
        <f t="shared" si="10"/>
        <v>5647058.447826934</v>
      </c>
      <c r="Y8" s="157">
        <f t="shared" si="11"/>
        <v>0.45400000000000001</v>
      </c>
      <c r="Z8" s="163" t="s">
        <v>54</v>
      </c>
      <c r="AA8" s="163">
        <v>10</v>
      </c>
      <c r="AB8" s="3"/>
      <c r="AC8" s="3"/>
      <c r="AD8" s="3"/>
      <c r="AE8" s="3"/>
      <c r="AF8" s="3"/>
      <c r="AG8" s="3"/>
      <c r="AH8" s="3"/>
      <c r="AI8" s="1"/>
      <c r="AJ8" s="1"/>
      <c r="AK8" s="1"/>
    </row>
    <row r="9" spans="1:37" ht="13.5" thickBot="1" x14ac:dyDescent="0.25">
      <c r="A9" s="50">
        <f>+Results!B30</f>
        <v>0.5</v>
      </c>
      <c r="B9" s="49">
        <f>+Results!A30</f>
        <v>1500000</v>
      </c>
      <c r="C9" s="50"/>
      <c r="D9" s="50"/>
      <c r="E9" s="50"/>
      <c r="F9" s="50"/>
      <c r="G9" s="3"/>
      <c r="H9" s="164" t="s">
        <v>55</v>
      </c>
      <c r="I9" s="165">
        <f>+I6-I2*I3/$I$1</f>
        <v>-0.42605513613437718</v>
      </c>
      <c r="J9" s="3"/>
      <c r="K9" s="3"/>
      <c r="L9" s="3"/>
      <c r="M9" s="150">
        <f t="shared" si="0"/>
        <v>0</v>
      </c>
      <c r="N9" s="156">
        <f t="shared" si="1"/>
        <v>4.3354159558556518</v>
      </c>
      <c r="O9" s="156">
        <f t="shared" si="2"/>
        <v>-0.33441900898204685</v>
      </c>
      <c r="P9" s="208">
        <f t="shared" si="3"/>
        <v>0.32831256056063407</v>
      </c>
      <c r="Q9" s="156">
        <f t="shared" si="4"/>
        <v>6.3627997139126906</v>
      </c>
      <c r="R9" s="156">
        <f t="shared" si="5"/>
        <v>6.0344871533520568</v>
      </c>
      <c r="S9" s="156">
        <f t="shared" si="6"/>
        <v>6.6911122744733245</v>
      </c>
      <c r="T9" s="149">
        <f t="shared" si="7"/>
        <v>2305683.6180999</v>
      </c>
      <c r="U9" s="157">
        <f t="shared" si="12"/>
        <v>0.46299999999999997</v>
      </c>
      <c r="V9" s="149">
        <f t="shared" si="8"/>
        <v>1082647.6893936063</v>
      </c>
      <c r="W9" s="157">
        <f t="shared" si="9"/>
        <v>0.46299999999999997</v>
      </c>
      <c r="X9" s="149">
        <f t="shared" si="10"/>
        <v>4910348.0281307949</v>
      </c>
      <c r="Y9" s="157">
        <f t="shared" si="11"/>
        <v>0.46299999999999997</v>
      </c>
      <c r="Z9" s="3"/>
      <c r="AA9" s="3"/>
      <c r="AB9" s="3"/>
      <c r="AC9" s="3"/>
      <c r="AD9" s="3"/>
      <c r="AE9" s="3"/>
      <c r="AF9" s="3"/>
      <c r="AG9" s="3"/>
      <c r="AH9" s="3"/>
      <c r="AI9" s="1"/>
      <c r="AJ9" s="1"/>
      <c r="AK9" s="1"/>
    </row>
    <row r="10" spans="1:37" ht="13.5" thickBot="1" x14ac:dyDescent="0.25">
      <c r="A10" s="50">
        <f>+Results!B31</f>
        <v>1.3</v>
      </c>
      <c r="B10" s="49">
        <f>+Results!A31</f>
        <v>4683</v>
      </c>
      <c r="C10" s="50">
        <f t="shared" ref="C10" si="18">LOG(A10)</f>
        <v>0.11394335230683679</v>
      </c>
      <c r="D10" s="50">
        <f t="shared" ref="D10" si="19">LOG(B10)</f>
        <v>3.6705241577820797</v>
      </c>
      <c r="E10" s="50">
        <f t="shared" ref="E10" si="20">+C10^2</f>
        <v>1.2983087534919929E-2</v>
      </c>
      <c r="F10" s="50">
        <f t="shared" ref="F10" si="21">+D10^2</f>
        <v>13.472747592861845</v>
      </c>
      <c r="G10" s="3">
        <f t="shared" ref="G10" si="22">+C10*D10</f>
        <v>0.4182318272609189</v>
      </c>
      <c r="H10" s="166" t="s">
        <v>56</v>
      </c>
      <c r="I10" s="154">
        <f>+I2/$I$1</f>
        <v>-6.757914347733239E-2</v>
      </c>
      <c r="J10" s="3"/>
      <c r="K10" s="3"/>
      <c r="L10" s="3"/>
      <c r="M10" s="150">
        <f t="shared" si="0"/>
        <v>0.11394335230683679</v>
      </c>
      <c r="N10" s="156">
        <f t="shared" si="1"/>
        <v>3.6446451096988373</v>
      </c>
      <c r="O10" s="156">
        <f t="shared" si="2"/>
        <v>-0.32605800136591218</v>
      </c>
      <c r="P10" s="208">
        <f t="shared" si="3"/>
        <v>0.31949868775992302</v>
      </c>
      <c r="Q10" s="156">
        <f t="shared" si="4"/>
        <v>6.3121118923874118</v>
      </c>
      <c r="R10" s="156">
        <f t="shared" si="5"/>
        <v>5.9926132046274887</v>
      </c>
      <c r="S10" s="156">
        <f t="shared" si="6"/>
        <v>6.6316105801473348</v>
      </c>
      <c r="T10" s="149">
        <f t="shared" si="7"/>
        <v>2051690.7119082259</v>
      </c>
      <c r="U10" s="157">
        <f t="shared" si="12"/>
        <v>0.47200000000000009</v>
      </c>
      <c r="V10" s="149">
        <f t="shared" si="8"/>
        <v>983135.10683241964</v>
      </c>
      <c r="W10" s="157">
        <f t="shared" si="9"/>
        <v>0.47200000000000009</v>
      </c>
      <c r="X10" s="149">
        <f t="shared" si="10"/>
        <v>4281644.2501915554</v>
      </c>
      <c r="Y10" s="157">
        <f t="shared" si="11"/>
        <v>0.47200000000000009</v>
      </c>
      <c r="Z10" s="3" t="s">
        <v>57</v>
      </c>
      <c r="AA10" s="3"/>
      <c r="AB10" s="3"/>
      <c r="AC10" s="3"/>
      <c r="AD10" s="3"/>
      <c r="AE10" s="3"/>
      <c r="AF10" s="3"/>
      <c r="AG10" s="3"/>
      <c r="AH10" s="3"/>
      <c r="AI10" s="1"/>
      <c r="AJ10" s="1"/>
      <c r="AK10" s="1"/>
    </row>
    <row r="11" spans="1:37" x14ac:dyDescent="0.2">
      <c r="A11" s="50">
        <f>+Results!B32</f>
        <v>1</v>
      </c>
      <c r="B11" s="49">
        <f>+Results!A32</f>
        <v>20412</v>
      </c>
      <c r="C11" s="50">
        <f t="shared" ref="C11:C13" si="23">LOG(A11)</f>
        <v>0</v>
      </c>
      <c r="D11" s="50">
        <f t="shared" ref="D11:D13" si="24">LOG(B11)</f>
        <v>4.3098855596601942</v>
      </c>
      <c r="E11" s="50">
        <f t="shared" ref="E11:E13" si="25">+C11^2</f>
        <v>0</v>
      </c>
      <c r="F11" s="50">
        <f t="shared" ref="F11:F13" si="26">+D11^2</f>
        <v>18.575113537367464</v>
      </c>
      <c r="G11" s="3">
        <f t="shared" ref="G11:G13" si="27">+C11*D11</f>
        <v>0</v>
      </c>
      <c r="H11" s="158" t="s">
        <v>58</v>
      </c>
      <c r="I11" s="56">
        <f>+I3/$I$1</f>
        <v>4.7451081509446729</v>
      </c>
      <c r="J11" s="50"/>
      <c r="K11" s="50"/>
      <c r="L11" s="50"/>
      <c r="M11" s="150">
        <f t="shared" si="0"/>
        <v>0</v>
      </c>
      <c r="N11" s="156">
        <f t="shared" si="1"/>
        <v>4.3354159558556518</v>
      </c>
      <c r="O11" s="156">
        <f t="shared" si="2"/>
        <v>-0.31785492362616818</v>
      </c>
      <c r="P11" s="208">
        <f t="shared" si="3"/>
        <v>0.31089253972881781</v>
      </c>
      <c r="Q11" s="156">
        <f t="shared" si="4"/>
        <v>6.2623815058694339</v>
      </c>
      <c r="R11" s="156">
        <f t="shared" si="5"/>
        <v>5.9514889661406158</v>
      </c>
      <c r="S11" s="156">
        <f t="shared" si="6"/>
        <v>6.5732740455982519</v>
      </c>
      <c r="T11" s="149">
        <f t="shared" si="7"/>
        <v>1829706.8158353129</v>
      </c>
      <c r="U11" s="157">
        <f t="shared" si="12"/>
        <v>0.48099999999999998</v>
      </c>
      <c r="V11" s="149">
        <f t="shared" si="8"/>
        <v>894311.81040022336</v>
      </c>
      <c r="W11" s="157">
        <f t="shared" si="9"/>
        <v>0.48099999999999998</v>
      </c>
      <c r="X11" s="149">
        <f t="shared" si="10"/>
        <v>3743467.3152935067</v>
      </c>
      <c r="Y11" s="157">
        <f t="shared" si="11"/>
        <v>0.48099999999999998</v>
      </c>
      <c r="Z11" s="167"/>
      <c r="AA11" s="167" t="s">
        <v>59</v>
      </c>
      <c r="AB11" s="167" t="s">
        <v>60</v>
      </c>
      <c r="AC11" s="167" t="s">
        <v>61</v>
      </c>
      <c r="AD11" s="167" t="s">
        <v>62</v>
      </c>
      <c r="AE11" s="167" t="s">
        <v>63</v>
      </c>
      <c r="AF11" s="3"/>
      <c r="AG11" s="3"/>
      <c r="AH11" s="3"/>
      <c r="AI11" s="1"/>
      <c r="AJ11" s="1"/>
      <c r="AK11" s="1"/>
    </row>
    <row r="12" spans="1:37" x14ac:dyDescent="0.2">
      <c r="A12" s="50">
        <f>+Results!B33</f>
        <v>0.9</v>
      </c>
      <c r="B12" s="49">
        <f>+Results!A33</f>
        <v>32980</v>
      </c>
      <c r="C12" s="50">
        <f t="shared" si="23"/>
        <v>-4.5757490560675115E-2</v>
      </c>
      <c r="D12" s="50">
        <f t="shared" si="24"/>
        <v>4.5182506513084997</v>
      </c>
      <c r="E12" s="50">
        <f t="shared" si="25"/>
        <v>2.0937479424102722E-3</v>
      </c>
      <c r="F12" s="50">
        <f t="shared" si="26"/>
        <v>20.41458894804968</v>
      </c>
      <c r="G12" s="3">
        <f t="shared" si="27"/>
        <v>-0.20674381152801286</v>
      </c>
      <c r="H12" s="158" t="s">
        <v>64</v>
      </c>
      <c r="I12" s="161">
        <f>+I9/I7</f>
        <v>-6.0624058549431261</v>
      </c>
      <c r="J12" s="168">
        <f>+I12</f>
        <v>-6.0624058549431261</v>
      </c>
      <c r="K12" s="168">
        <f>1/J12</f>
        <v>-0.16495101514601276</v>
      </c>
      <c r="L12" s="3"/>
      <c r="M12" s="150">
        <f t="shared" si="0"/>
        <v>-4.5757490560675115E-2</v>
      </c>
      <c r="N12" s="156">
        <f t="shared" si="1"/>
        <v>4.6128164345381935</v>
      </c>
      <c r="O12" s="156">
        <f t="shared" si="2"/>
        <v>-0.30980391997148632</v>
      </c>
      <c r="P12" s="208">
        <f t="shared" si="3"/>
        <v>0.30248904797633008</v>
      </c>
      <c r="Q12" s="156">
        <f t="shared" si="4"/>
        <v>6.2135730541751224</v>
      </c>
      <c r="R12" s="156">
        <f t="shared" si="5"/>
        <v>5.9110840061987924</v>
      </c>
      <c r="S12" s="156">
        <f t="shared" si="6"/>
        <v>6.5160621021514524</v>
      </c>
      <c r="T12" s="149">
        <f t="shared" si="7"/>
        <v>1635208.1920153927</v>
      </c>
      <c r="U12" s="157">
        <f t="shared" si="12"/>
        <v>0.49</v>
      </c>
      <c r="V12" s="149">
        <f t="shared" si="8"/>
        <v>814861.88867059525</v>
      </c>
      <c r="W12" s="157">
        <f t="shared" si="9"/>
        <v>0.49</v>
      </c>
      <c r="X12" s="149">
        <f t="shared" si="10"/>
        <v>3281422.1261428525</v>
      </c>
      <c r="Y12" s="157">
        <f t="shared" si="11"/>
        <v>0.49</v>
      </c>
      <c r="Z12" s="160" t="s">
        <v>65</v>
      </c>
      <c r="AA12" s="160">
        <v>1</v>
      </c>
      <c r="AB12" s="160">
        <v>669.20217667916086</v>
      </c>
      <c r="AC12" s="160">
        <v>669.20217667916086</v>
      </c>
      <c r="AD12" s="160">
        <v>28.150215299826005</v>
      </c>
      <c r="AE12" s="160">
        <v>7.2341618680963758E-4</v>
      </c>
      <c r="AF12" s="3"/>
      <c r="AG12" s="3"/>
      <c r="AH12" s="3"/>
      <c r="AI12" s="1"/>
      <c r="AJ12" s="1"/>
      <c r="AK12" s="1"/>
    </row>
    <row r="13" spans="1:37" x14ac:dyDescent="0.2">
      <c r="A13" s="50">
        <f>+Results!B34</f>
        <v>0.8</v>
      </c>
      <c r="B13" s="49">
        <f>+Results!A34</f>
        <v>95620</v>
      </c>
      <c r="C13" s="50">
        <f t="shared" si="23"/>
        <v>-9.6910013008056392E-2</v>
      </c>
      <c r="D13" s="50">
        <f t="shared" si="24"/>
        <v>4.9805487393597705</v>
      </c>
      <c r="E13" s="50">
        <f t="shared" si="25"/>
        <v>9.3915506212216594E-3</v>
      </c>
      <c r="F13" s="50">
        <f t="shared" si="26"/>
        <v>24.805865745138199</v>
      </c>
      <c r="G13" s="3">
        <f t="shared" si="27"/>
        <v>-0.48266504311861425</v>
      </c>
      <c r="H13" s="158" t="s">
        <v>66</v>
      </c>
      <c r="I13" s="56">
        <f>+I11-I12*I10</f>
        <v>4.3354159558556518</v>
      </c>
      <c r="J13" s="169">
        <f>10^I13</f>
        <v>21647.909110439068</v>
      </c>
      <c r="K13" s="187">
        <f>+J13^J12</f>
        <v>5.2113342057647432E-27</v>
      </c>
      <c r="L13" s="50"/>
      <c r="M13" s="150">
        <f t="shared" si="0"/>
        <v>-9.6910013008056392E-2</v>
      </c>
      <c r="N13" s="156">
        <f t="shared" si="1"/>
        <v>4.9229237861183073</v>
      </c>
      <c r="O13" s="156">
        <f t="shared" si="2"/>
        <v>-0.30189945437661009</v>
      </c>
      <c r="P13" s="208">
        <f t="shared" si="3"/>
        <v>0.29428361785023061</v>
      </c>
      <c r="Q13" s="156">
        <f t="shared" si="4"/>
        <v>6.1656529756725478</v>
      </c>
      <c r="R13" s="156">
        <f t="shared" si="5"/>
        <v>5.8713693578223172</v>
      </c>
      <c r="S13" s="156">
        <f t="shared" si="6"/>
        <v>6.4599365935227784</v>
      </c>
      <c r="T13" s="149">
        <f t="shared" si="7"/>
        <v>1464377.2582346259</v>
      </c>
      <c r="U13" s="157">
        <f t="shared" si="12"/>
        <v>0.49899999999999994</v>
      </c>
      <c r="V13" s="149">
        <f t="shared" si="8"/>
        <v>743651.32798380195</v>
      </c>
      <c r="W13" s="157">
        <f t="shared" si="9"/>
        <v>0.49899999999999994</v>
      </c>
      <c r="X13" s="149">
        <f t="shared" si="10"/>
        <v>2883610.4686973263</v>
      </c>
      <c r="Y13" s="157">
        <f t="shared" si="11"/>
        <v>0.49899999999999994</v>
      </c>
      <c r="Z13" s="160" t="s">
        <v>67</v>
      </c>
      <c r="AA13" s="160">
        <v>8</v>
      </c>
      <c r="AB13" s="160">
        <v>190.18033632824034</v>
      </c>
      <c r="AC13" s="160">
        <v>23.772542041030043</v>
      </c>
      <c r="AD13" s="160"/>
      <c r="AE13" s="160"/>
      <c r="AF13" s="3"/>
      <c r="AG13" s="3"/>
      <c r="AH13" s="3"/>
      <c r="AI13" s="1"/>
      <c r="AJ13" s="1"/>
      <c r="AK13" s="1"/>
    </row>
    <row r="14" spans="1:37" ht="13.5" thickBot="1" x14ac:dyDescent="0.25">
      <c r="A14" s="50"/>
      <c r="B14" s="49"/>
      <c r="C14" s="50"/>
      <c r="D14" s="50"/>
      <c r="E14" s="50"/>
      <c r="F14" s="50"/>
      <c r="G14" s="3"/>
      <c r="H14" s="170" t="s">
        <v>68</v>
      </c>
      <c r="I14" s="57">
        <f>+I9^2/(I7*I8)</f>
        <v>0.98990956716159995</v>
      </c>
      <c r="J14" s="3" t="str">
        <f>"(X="&amp;TEXT(J13,"0.0")&amp;"Y^"&amp;TEXT(J12,"0.00")&amp;")"</f>
        <v>(X=21647.9Y^-6.06)</v>
      </c>
      <c r="K14" s="50"/>
      <c r="L14" s="50"/>
      <c r="M14" s="150">
        <f t="shared" si="0"/>
        <v>0</v>
      </c>
      <c r="N14" s="156">
        <f t="shared" si="1"/>
        <v>4.3354159558556518</v>
      </c>
      <c r="O14" s="156">
        <f t="shared" si="2"/>
        <v>-0.29413628771608075</v>
      </c>
      <c r="P14" s="208">
        <f t="shared" si="3"/>
        <v>0.28627211072743763</v>
      </c>
      <c r="Q14" s="156">
        <f t="shared" si="4"/>
        <v>6.1185895086568554</v>
      </c>
      <c r="R14" s="156">
        <f t="shared" si="5"/>
        <v>5.8323173979294181</v>
      </c>
      <c r="S14" s="156">
        <f t="shared" si="6"/>
        <v>6.4048616193842927</v>
      </c>
      <c r="T14" s="149">
        <f t="shared" si="7"/>
        <v>1313982.280509315</v>
      </c>
      <c r="U14" s="157">
        <f t="shared" si="12"/>
        <v>0.5079999999999999</v>
      </c>
      <c r="V14" s="149">
        <f t="shared" si="8"/>
        <v>679700.20033981721</v>
      </c>
      <c r="W14" s="157">
        <f t="shared" si="9"/>
        <v>0.5079999999999999</v>
      </c>
      <c r="X14" s="149">
        <f t="shared" si="10"/>
        <v>2540163.1964052175</v>
      </c>
      <c r="Y14" s="157">
        <f t="shared" si="11"/>
        <v>0.5079999999999999</v>
      </c>
      <c r="Z14" s="163" t="s">
        <v>69</v>
      </c>
      <c r="AA14" s="163">
        <v>9</v>
      </c>
      <c r="AB14" s="163">
        <v>859.38251300740126</v>
      </c>
      <c r="AC14" s="163"/>
      <c r="AD14" s="163"/>
      <c r="AE14" s="163"/>
      <c r="AF14" s="3"/>
      <c r="AG14" s="3"/>
      <c r="AH14" s="3"/>
      <c r="AI14" s="1"/>
      <c r="AJ14" s="1"/>
      <c r="AK14" s="1"/>
    </row>
    <row r="15" spans="1:37" ht="13.5" thickBot="1" x14ac:dyDescent="0.25">
      <c r="A15" s="50"/>
      <c r="B15" s="49"/>
      <c r="C15" s="50"/>
      <c r="D15" s="50"/>
      <c r="E15" s="50"/>
      <c r="F15" s="50"/>
      <c r="G15" s="3"/>
      <c r="H15" s="3" t="s">
        <v>70</v>
      </c>
      <c r="I15" s="50">
        <f>VLOOKUP($J$24,$H$33:$J$69,2)</f>
        <v>2.7764000000000002</v>
      </c>
      <c r="J15" s="50"/>
      <c r="K15" s="50"/>
      <c r="L15" s="50"/>
      <c r="M15" s="150">
        <f t="shared" si="0"/>
        <v>0</v>
      </c>
      <c r="N15" s="156">
        <f t="shared" si="1"/>
        <v>4.3354159558556518</v>
      </c>
      <c r="O15" s="156">
        <f t="shared" si="2"/>
        <v>-0.2865094569060575</v>
      </c>
      <c r="P15" s="208">
        <f t="shared" si="3"/>
        <v>0.27845082903119706</v>
      </c>
      <c r="Q15" s="156">
        <f t="shared" si="4"/>
        <v>6.0723525648995098</v>
      </c>
      <c r="R15" s="156">
        <f t="shared" si="5"/>
        <v>5.7939017358683129</v>
      </c>
      <c r="S15" s="156">
        <f t="shared" si="6"/>
        <v>6.3508033939307067</v>
      </c>
      <c r="T15" s="149">
        <f t="shared" si="7"/>
        <v>1181279.2215943581</v>
      </c>
      <c r="U15" s="157">
        <f t="shared" si="12"/>
        <v>0.5169999999999999</v>
      </c>
      <c r="V15" s="149">
        <f t="shared" si="8"/>
        <v>622159.49848566088</v>
      </c>
      <c r="W15" s="157">
        <f t="shared" si="9"/>
        <v>0.5169999999999999</v>
      </c>
      <c r="X15" s="149">
        <f t="shared" si="10"/>
        <v>2242866.3433846668</v>
      </c>
      <c r="Y15" s="157">
        <f t="shared" si="11"/>
        <v>0.5169999999999999</v>
      </c>
      <c r="Z15" s="3"/>
      <c r="AA15" s="3"/>
      <c r="AB15" s="3"/>
      <c r="AC15" s="3"/>
      <c r="AD15" s="3"/>
      <c r="AE15" s="3"/>
      <c r="AF15" s="3"/>
      <c r="AG15" s="3"/>
      <c r="AH15" s="3"/>
      <c r="AI15" s="1"/>
      <c r="AJ15" s="1"/>
      <c r="AK15" s="1"/>
    </row>
    <row r="16" spans="1:37" x14ac:dyDescent="0.2">
      <c r="A16" s="50"/>
      <c r="B16" s="49"/>
      <c r="C16" s="50"/>
      <c r="D16" s="50"/>
      <c r="E16" s="187"/>
      <c r="F16" s="50"/>
      <c r="G16" s="3"/>
      <c r="H16" s="3" t="s">
        <v>71</v>
      </c>
      <c r="I16" s="50">
        <f>VLOOKUP($J$24,$H$33:$J$69,3)</f>
        <v>6.94</v>
      </c>
      <c r="J16" s="50"/>
      <c r="K16" s="50"/>
      <c r="L16" s="50"/>
      <c r="M16" s="150">
        <f t="shared" si="0"/>
        <v>0</v>
      </c>
      <c r="N16" s="156">
        <f t="shared" si="1"/>
        <v>4.3354159558556518</v>
      </c>
      <c r="O16" s="156">
        <f t="shared" si="2"/>
        <v>-0.27901425584626094</v>
      </c>
      <c r="P16" s="208">
        <f t="shared" si="3"/>
        <v>0.27081650384281825</v>
      </c>
      <c r="Q16" s="156">
        <f t="shared" si="4"/>
        <v>6.0269136141106232</v>
      </c>
      <c r="R16" s="156">
        <f t="shared" si="5"/>
        <v>5.7560971102678051</v>
      </c>
      <c r="S16" s="156">
        <f t="shared" si="6"/>
        <v>6.2977301179534413</v>
      </c>
      <c r="T16" s="149">
        <f t="shared" si="7"/>
        <v>1063931.3696705</v>
      </c>
      <c r="U16" s="157">
        <f t="shared" si="12"/>
        <v>0.52600000000000002</v>
      </c>
      <c r="V16" s="149">
        <f t="shared" si="8"/>
        <v>570291.77792105486</v>
      </c>
      <c r="W16" s="157">
        <f t="shared" si="9"/>
        <v>0.52600000000000002</v>
      </c>
      <c r="X16" s="149">
        <f t="shared" si="10"/>
        <v>1984861.0889944118</v>
      </c>
      <c r="Y16" s="157">
        <f t="shared" si="11"/>
        <v>0.52600000000000002</v>
      </c>
      <c r="Z16" s="167"/>
      <c r="AA16" s="167" t="s">
        <v>72</v>
      </c>
      <c r="AB16" s="167" t="s">
        <v>53</v>
      </c>
      <c r="AC16" s="167" t="s">
        <v>73</v>
      </c>
      <c r="AD16" s="167" t="s">
        <v>74</v>
      </c>
      <c r="AE16" s="167" t="s">
        <v>75</v>
      </c>
      <c r="AF16" s="167" t="s">
        <v>76</v>
      </c>
      <c r="AG16" s="167" t="s">
        <v>77</v>
      </c>
      <c r="AH16" s="167" t="s">
        <v>78</v>
      </c>
      <c r="AI16" s="1"/>
      <c r="AJ16" s="1"/>
      <c r="AK16" s="1"/>
    </row>
    <row r="17" spans="1:37" x14ac:dyDescent="0.2">
      <c r="A17" s="50"/>
      <c r="B17" s="49"/>
      <c r="C17" s="50"/>
      <c r="D17" s="50"/>
      <c r="E17" s="50"/>
      <c r="F17" s="50"/>
      <c r="G17" s="3"/>
      <c r="H17" s="3" t="s">
        <v>79</v>
      </c>
      <c r="I17" s="3">
        <f>+I15*SQRT($K$24/$I$7)</f>
        <v>0.84967763044039124</v>
      </c>
      <c r="J17" s="3">
        <f>+I12+I17</f>
        <v>-5.2127282245027349</v>
      </c>
      <c r="K17" s="3">
        <f>+I12-I17</f>
        <v>-6.9120834853835174</v>
      </c>
      <c r="L17" s="3"/>
      <c r="M17" s="150">
        <f t="shared" si="0"/>
        <v>0</v>
      </c>
      <c r="N17" s="156">
        <f t="shared" si="1"/>
        <v>4.3354159558556518</v>
      </c>
      <c r="O17" s="156">
        <f t="shared" si="2"/>
        <v>-0.27164621797877153</v>
      </c>
      <c r="P17" s="208">
        <f t="shared" si="3"/>
        <v>0.26336628489342434</v>
      </c>
      <c r="Q17" s="156">
        <f t="shared" si="4"/>
        <v>5.9822455782033135</v>
      </c>
      <c r="R17" s="156">
        <f t="shared" si="5"/>
        <v>5.7188792933098895</v>
      </c>
      <c r="S17" s="156">
        <f t="shared" si="6"/>
        <v>6.2456118630967374</v>
      </c>
      <c r="T17" s="149">
        <f t="shared" si="7"/>
        <v>959943.29212917096</v>
      </c>
      <c r="U17" s="157">
        <f t="shared" si="12"/>
        <v>0.53500000000000003</v>
      </c>
      <c r="V17" s="149">
        <f t="shared" si="8"/>
        <v>523454.92865052121</v>
      </c>
      <c r="W17" s="157">
        <f t="shared" si="9"/>
        <v>0.53500000000000003</v>
      </c>
      <c r="X17" s="149">
        <f t="shared" si="10"/>
        <v>1760402.0397313214</v>
      </c>
      <c r="Y17" s="157">
        <f t="shared" si="11"/>
        <v>0.53500000000000003</v>
      </c>
      <c r="Z17" s="160" t="s">
        <v>80</v>
      </c>
      <c r="AA17" s="160">
        <v>86.958826444998394</v>
      </c>
      <c r="AB17" s="160">
        <v>2.9348406973796441</v>
      </c>
      <c r="AC17" s="160">
        <v>29.629828468250114</v>
      </c>
      <c r="AD17" s="160">
        <v>1.824742265606886E-9</v>
      </c>
      <c r="AE17" s="160">
        <v>80.1910672841029</v>
      </c>
      <c r="AF17" s="160">
        <v>93.726585605893888</v>
      </c>
      <c r="AG17" s="160">
        <v>80.1910672841029</v>
      </c>
      <c r="AH17" s="160">
        <v>93.726585605893888</v>
      </c>
      <c r="AI17" s="1"/>
      <c r="AJ17" s="1"/>
      <c r="AK17" s="1"/>
    </row>
    <row r="18" spans="1:37" ht="13.5" thickBot="1" x14ac:dyDescent="0.25">
      <c r="A18" s="50"/>
      <c r="B18" s="49"/>
      <c r="C18" s="50"/>
      <c r="D18" s="50"/>
      <c r="E18" s="50"/>
      <c r="F18" s="50"/>
      <c r="G18" s="3"/>
      <c r="H18" s="3" t="s">
        <v>81</v>
      </c>
      <c r="I18" s="3">
        <f>+I15*SQRT(K24/I1)</f>
        <v>9.1957881673512043E-2</v>
      </c>
      <c r="J18" s="50">
        <f>+I13-I18</f>
        <v>4.2434580741821399</v>
      </c>
      <c r="K18" s="50">
        <f>+I13+I18</f>
        <v>4.4273738375291636</v>
      </c>
      <c r="L18" s="3"/>
      <c r="M18" s="150">
        <f t="shared" si="0"/>
        <v>0</v>
      </c>
      <c r="N18" s="156">
        <f t="shared" si="1"/>
        <v>4.3354159558556518</v>
      </c>
      <c r="O18" s="156">
        <f t="shared" si="2"/>
        <v>-0.26440110030182007</v>
      </c>
      <c r="P18" s="208">
        <f t="shared" si="3"/>
        <v>0.2560977327317388</v>
      </c>
      <c r="Q18" s="156">
        <f t="shared" si="4"/>
        <v>5.9383227343788105</v>
      </c>
      <c r="R18" s="156">
        <f t="shared" si="5"/>
        <v>5.6822250016470717</v>
      </c>
      <c r="S18" s="156">
        <f t="shared" si="6"/>
        <v>6.1944204671105494</v>
      </c>
      <c r="T18" s="149">
        <f t="shared" si="7"/>
        <v>867606.37483018753</v>
      </c>
      <c r="U18" s="157">
        <f t="shared" si="12"/>
        <v>0.54399999999999993</v>
      </c>
      <c r="V18" s="149">
        <f t="shared" si="8"/>
        <v>481088.52885718964</v>
      </c>
      <c r="W18" s="157">
        <f t="shared" si="9"/>
        <v>0.54399999999999993</v>
      </c>
      <c r="X18" s="149">
        <f t="shared" si="10"/>
        <v>1564661.7545300685</v>
      </c>
      <c r="Y18" s="157">
        <f t="shared" si="11"/>
        <v>0.54399999999999993</v>
      </c>
      <c r="Z18" s="163" t="s">
        <v>82</v>
      </c>
      <c r="AA18" s="163">
        <v>-3.9353116272950031E-4</v>
      </c>
      <c r="AB18" s="163">
        <v>7.4171706023342889E-5</v>
      </c>
      <c r="AC18" s="163">
        <v>-5.3056776475607892</v>
      </c>
      <c r="AD18" s="163">
        <v>7.2341618680962284E-4</v>
      </c>
      <c r="AE18" s="163">
        <v>-5.645715341428152E-4</v>
      </c>
      <c r="AF18" s="163">
        <v>-2.2249079131618545E-4</v>
      </c>
      <c r="AG18" s="163">
        <v>-5.645715341428152E-4</v>
      </c>
      <c r="AH18" s="163">
        <v>-2.2249079131618545E-4</v>
      </c>
      <c r="AI18" s="1"/>
      <c r="AJ18" s="1"/>
      <c r="AK18" s="1"/>
    </row>
    <row r="19" spans="1:37" x14ac:dyDescent="0.2">
      <c r="A19" s="50"/>
      <c r="B19" s="49"/>
      <c r="C19" s="50"/>
      <c r="D19" s="50"/>
      <c r="E19" s="50"/>
      <c r="F19" s="50"/>
      <c r="G19" s="3"/>
      <c r="H19" s="3" t="s">
        <v>83</v>
      </c>
      <c r="I19" s="3">
        <v>0.4</v>
      </c>
      <c r="J19" s="148"/>
      <c r="K19" s="148"/>
      <c r="L19" s="148"/>
      <c r="M19" s="150">
        <f t="shared" si="0"/>
        <v>0</v>
      </c>
      <c r="N19" s="156">
        <f t="shared" si="1"/>
        <v>4.3354159558556518</v>
      </c>
      <c r="O19" s="156">
        <f t="shared" si="2"/>
        <v>-0.25727486869530169</v>
      </c>
      <c r="P19" s="208">
        <f t="shared" si="3"/>
        <v>0.24900881286714097</v>
      </c>
      <c r="Q19" s="156">
        <f t="shared" si="4"/>
        <v>5.8951206261637727</v>
      </c>
      <c r="R19" s="156">
        <f t="shared" si="5"/>
        <v>5.6461118132966321</v>
      </c>
      <c r="S19" s="156">
        <f t="shared" si="6"/>
        <v>6.1441294390309134</v>
      </c>
      <c r="T19" s="149">
        <f t="shared" si="7"/>
        <v>785453.76567495114</v>
      </c>
      <c r="U19" s="157">
        <f t="shared" si="12"/>
        <v>0.55300000000000005</v>
      </c>
      <c r="V19" s="149">
        <f t="shared" si="8"/>
        <v>442702.33567107416</v>
      </c>
      <c r="W19" s="157">
        <f t="shared" si="9"/>
        <v>0.55300000000000005</v>
      </c>
      <c r="X19" s="149">
        <f t="shared" si="10"/>
        <v>1393572.0873886305</v>
      </c>
      <c r="Y19" s="157">
        <f t="shared" si="11"/>
        <v>0.55300000000000005</v>
      </c>
      <c r="Z19" s="3"/>
      <c r="AA19" s="3"/>
      <c r="AB19" s="3"/>
      <c r="AC19" s="3"/>
      <c r="AD19" s="3"/>
      <c r="AE19" s="3"/>
      <c r="AF19" s="3"/>
      <c r="AG19" s="3"/>
      <c r="AH19" s="3"/>
      <c r="AI19" s="1"/>
      <c r="AJ19" s="1"/>
      <c r="AK19" s="1"/>
    </row>
    <row r="20" spans="1:37" ht="13.5" thickBot="1" x14ac:dyDescent="0.25">
      <c r="A20" s="50"/>
      <c r="B20" s="49"/>
      <c r="C20" s="50"/>
      <c r="D20" s="50"/>
      <c r="E20" s="50"/>
      <c r="F20" s="50"/>
      <c r="G20" s="3"/>
      <c r="H20" s="3" t="s">
        <v>84</v>
      </c>
      <c r="I20" s="3">
        <v>1.3</v>
      </c>
      <c r="J20" s="3"/>
      <c r="K20" s="3"/>
      <c r="L20" s="3"/>
      <c r="M20" s="60"/>
      <c r="N20" s="60"/>
      <c r="O20" s="156">
        <f t="shared" si="2"/>
        <v>-0.25026368443093888</v>
      </c>
      <c r="P20" s="208">
        <f t="shared" si="3"/>
        <v>0.24209789168266702</v>
      </c>
      <c r="Q20" s="156">
        <f t="shared" si="4"/>
        <v>5.8526159816294143</v>
      </c>
      <c r="R20" s="156">
        <f t="shared" si="5"/>
        <v>5.6105180899467477</v>
      </c>
      <c r="S20" s="156">
        <f t="shared" si="6"/>
        <v>6.0947138733120809</v>
      </c>
      <c r="T20" s="149">
        <f t="shared" si="7"/>
        <v>712222.97914246854</v>
      </c>
      <c r="U20" s="157">
        <f t="shared" si="12"/>
        <v>0.56199999999999994</v>
      </c>
      <c r="V20" s="149">
        <f t="shared" si="8"/>
        <v>407866.55054460984</v>
      </c>
      <c r="W20" s="157">
        <f t="shared" si="9"/>
        <v>0.56199999999999994</v>
      </c>
      <c r="X20" s="149">
        <f t="shared" si="10"/>
        <v>1243694.9569442377</v>
      </c>
      <c r="Y20" s="157">
        <f t="shared" si="11"/>
        <v>0.56199999999999994</v>
      </c>
      <c r="Z20" s="3"/>
      <c r="AA20" s="3"/>
      <c r="AB20" s="3"/>
      <c r="AC20" s="3"/>
      <c r="AD20" s="3"/>
      <c r="AE20" s="3"/>
      <c r="AF20" s="3"/>
      <c r="AG20" s="3"/>
      <c r="AH20" s="3"/>
      <c r="AI20" s="1"/>
      <c r="AJ20" s="1"/>
      <c r="AK20" s="1"/>
    </row>
    <row r="21" spans="1:37" ht="13.5" thickBot="1" x14ac:dyDescent="0.25">
      <c r="A21" s="50"/>
      <c r="B21" s="49"/>
      <c r="C21" s="50"/>
      <c r="D21" s="50"/>
      <c r="E21" s="50"/>
      <c r="F21" s="50"/>
      <c r="G21" s="3"/>
      <c r="H21" s="171" t="s">
        <v>85</v>
      </c>
      <c r="I21" s="172"/>
      <c r="J21" s="3"/>
      <c r="K21" s="3"/>
      <c r="L21" s="3"/>
      <c r="M21" s="60"/>
      <c r="N21" s="60"/>
      <c r="O21" s="156">
        <f t="shared" si="2"/>
        <v>-0.24336389175415191</v>
      </c>
      <c r="P21" s="208">
        <f t="shared" si="3"/>
        <v>0.23536373389966178</v>
      </c>
      <c r="Q21" s="156">
        <f t="shared" si="4"/>
        <v>5.8107866381077677</v>
      </c>
      <c r="R21" s="156">
        <f t="shared" si="5"/>
        <v>5.5754229042081063</v>
      </c>
      <c r="S21" s="156">
        <f t="shared" si="6"/>
        <v>6.0461503720074292</v>
      </c>
      <c r="T21" s="149">
        <f t="shared" si="7"/>
        <v>646824.76307674055</v>
      </c>
      <c r="U21" s="157">
        <f t="shared" si="12"/>
        <v>0.57100000000000006</v>
      </c>
      <c r="V21" s="149">
        <f t="shared" si="8"/>
        <v>376203.56282577565</v>
      </c>
      <c r="W21" s="157">
        <f t="shared" si="9"/>
        <v>0.57100000000000006</v>
      </c>
      <c r="X21" s="149">
        <f t="shared" si="10"/>
        <v>1112116.7247505269</v>
      </c>
      <c r="Y21" s="157">
        <f t="shared" si="11"/>
        <v>0.57100000000000006</v>
      </c>
      <c r="Z21" s="3"/>
      <c r="AA21" s="3"/>
      <c r="AB21" s="3"/>
      <c r="AC21" s="3"/>
      <c r="AD21" s="3"/>
      <c r="AE21" s="3"/>
      <c r="AF21" s="3"/>
      <c r="AG21" s="3"/>
      <c r="AH21" s="3"/>
      <c r="AI21" s="1"/>
      <c r="AJ21" s="1"/>
      <c r="AK21" s="1"/>
    </row>
    <row r="22" spans="1:37" ht="15" x14ac:dyDescent="0.2">
      <c r="A22" s="50"/>
      <c r="B22" s="49"/>
      <c r="C22" s="50"/>
      <c r="D22" s="50"/>
      <c r="E22" s="50"/>
      <c r="F22" s="50"/>
      <c r="G22" s="3"/>
      <c r="H22" s="153"/>
      <c r="I22" s="173" t="s">
        <v>86</v>
      </c>
      <c r="J22" s="174" t="s">
        <v>87</v>
      </c>
      <c r="K22" s="175" t="s">
        <v>119</v>
      </c>
      <c r="L22" s="176" t="s">
        <v>62</v>
      </c>
      <c r="M22" s="60"/>
      <c r="N22" s="60"/>
      <c r="O22" s="156">
        <f t="shared" si="2"/>
        <v>-0.23657200643706267</v>
      </c>
      <c r="P22" s="208">
        <f t="shared" si="3"/>
        <v>0.22880550135362515</v>
      </c>
      <c r="Q22" s="156">
        <f t="shared" si="4"/>
        <v>5.7696114727953436</v>
      </c>
      <c r="R22" s="156">
        <f t="shared" si="5"/>
        <v>5.5408059714417188</v>
      </c>
      <c r="S22" s="156">
        <f t="shared" si="6"/>
        <v>5.9984169741489684</v>
      </c>
      <c r="T22" s="149">
        <f t="shared" si="7"/>
        <v>588317.10140796774</v>
      </c>
      <c r="U22" s="157">
        <f t="shared" si="12"/>
        <v>0.58000000000000007</v>
      </c>
      <c r="V22" s="149">
        <f t="shared" si="8"/>
        <v>347380.92834166845</v>
      </c>
      <c r="W22" s="157">
        <f t="shared" si="9"/>
        <v>0.58000000000000007</v>
      </c>
      <c r="X22" s="149">
        <f t="shared" si="10"/>
        <v>996361.58341038122</v>
      </c>
      <c r="Y22" s="157">
        <f t="shared" si="11"/>
        <v>0.58000000000000007</v>
      </c>
      <c r="Z22" s="3" t="s">
        <v>88</v>
      </c>
      <c r="AA22" s="3"/>
      <c r="AB22" s="3"/>
      <c r="AC22" s="3"/>
      <c r="AD22" s="3"/>
      <c r="AE22" s="3"/>
      <c r="AF22" s="3"/>
      <c r="AG22" s="3"/>
      <c r="AH22" s="3"/>
      <c r="AI22" s="1"/>
      <c r="AJ22" s="1"/>
      <c r="AK22" s="1"/>
    </row>
    <row r="23" spans="1:37" ht="13.5" thickBot="1" x14ac:dyDescent="0.25">
      <c r="A23" s="50"/>
      <c r="B23" s="49"/>
      <c r="C23" s="50"/>
      <c r="D23" s="50"/>
      <c r="E23" s="50"/>
      <c r="F23" s="50"/>
      <c r="G23" s="3"/>
      <c r="H23" s="155" t="s">
        <v>89</v>
      </c>
      <c r="I23" s="177">
        <f>+I9^2/I7</f>
        <v>2.582919151829639</v>
      </c>
      <c r="J23" s="60">
        <v>1</v>
      </c>
      <c r="K23" s="150">
        <f>+I23/1</f>
        <v>2.582919151829639</v>
      </c>
      <c r="L23" s="178">
        <f>+K23/K24</f>
        <v>392.41510568085749</v>
      </c>
      <c r="M23" s="60"/>
      <c r="N23" s="60"/>
      <c r="O23" s="156">
        <f t="shared" si="2"/>
        <v>-0.2298847052128983</v>
      </c>
      <c r="P23" s="208">
        <f t="shared" si="3"/>
        <v>0.22242275280847973</v>
      </c>
      <c r="Q23" s="156">
        <f t="shared" si="4"/>
        <v>5.7290703387002013</v>
      </c>
      <c r="R23" s="156">
        <f t="shared" si="5"/>
        <v>5.5066475858917219</v>
      </c>
      <c r="S23" s="156">
        <f t="shared" si="6"/>
        <v>5.9514930915086808</v>
      </c>
      <c r="T23" s="149">
        <f t="shared" si="7"/>
        <v>535883.44261913002</v>
      </c>
      <c r="U23" s="157">
        <f t="shared" si="12"/>
        <v>0.58900000000000008</v>
      </c>
      <c r="V23" s="149">
        <f t="shared" si="8"/>
        <v>321105.38282690611</v>
      </c>
      <c r="W23" s="157">
        <f t="shared" si="9"/>
        <v>0.58900000000000008</v>
      </c>
      <c r="X23" s="149">
        <f t="shared" si="10"/>
        <v>894320.30551830318</v>
      </c>
      <c r="Y23" s="157">
        <f t="shared" si="11"/>
        <v>0.58900000000000008</v>
      </c>
      <c r="Z23" s="3"/>
      <c r="AA23" s="3"/>
      <c r="AB23" s="3"/>
      <c r="AC23" s="3"/>
      <c r="AD23" s="3"/>
      <c r="AE23" s="3"/>
      <c r="AF23" s="3"/>
      <c r="AG23" s="3"/>
      <c r="AH23" s="3"/>
      <c r="AI23" s="1"/>
      <c r="AJ23" s="1"/>
      <c r="AK23" s="1"/>
    </row>
    <row r="24" spans="1:37" x14ac:dyDescent="0.2">
      <c r="A24" s="50"/>
      <c r="B24" s="49"/>
      <c r="C24" s="50"/>
      <c r="D24" s="50"/>
      <c r="E24" s="50"/>
      <c r="F24" s="50"/>
      <c r="G24" s="3"/>
      <c r="H24" s="155" t="s">
        <v>67</v>
      </c>
      <c r="I24" s="179">
        <f>+I8-I23</f>
        <v>2.6328437559488549E-2</v>
      </c>
      <c r="J24" s="180">
        <f>+I1-2</f>
        <v>4</v>
      </c>
      <c r="K24" s="181">
        <f>+I24/($I$1-2)</f>
        <v>6.5821093898721372E-3</v>
      </c>
      <c r="L24" s="182"/>
      <c r="M24" s="3"/>
      <c r="N24" s="3"/>
      <c r="O24" s="156">
        <f t="shared" si="2"/>
        <v>-0.2232988160115891</v>
      </c>
      <c r="P24" s="208">
        <f t="shared" si="3"/>
        <v>0.21621544449300972</v>
      </c>
      <c r="Q24" s="156">
        <f t="shared" si="4"/>
        <v>5.6891440054461775</v>
      </c>
      <c r="R24" s="156">
        <f t="shared" si="5"/>
        <v>5.4729285609531679</v>
      </c>
      <c r="S24" s="156">
        <f t="shared" si="6"/>
        <v>5.905359449939187</v>
      </c>
      <c r="T24" s="149">
        <f t="shared" si="7"/>
        <v>488814.41590084758</v>
      </c>
      <c r="U24" s="157">
        <f t="shared" si="12"/>
        <v>0.59800000000000009</v>
      </c>
      <c r="V24" s="149">
        <f t="shared" si="8"/>
        <v>297117.72492687596</v>
      </c>
      <c r="W24" s="157">
        <f t="shared" si="9"/>
        <v>0.59800000000000009</v>
      </c>
      <c r="X24" s="149">
        <f t="shared" si="10"/>
        <v>804191.4471824005</v>
      </c>
      <c r="Y24" s="157">
        <f t="shared" si="11"/>
        <v>0.59800000000000009</v>
      </c>
      <c r="Z24" s="167" t="s">
        <v>90</v>
      </c>
      <c r="AA24" s="167" t="s">
        <v>91</v>
      </c>
      <c r="AB24" s="167" t="s">
        <v>92</v>
      </c>
      <c r="AC24" s="167" t="s">
        <v>93</v>
      </c>
      <c r="AD24" s="3"/>
      <c r="AE24" s="3"/>
      <c r="AF24" s="3"/>
      <c r="AG24" s="3"/>
      <c r="AH24" s="3"/>
      <c r="AI24" s="1"/>
      <c r="AJ24" s="1"/>
      <c r="AK24" s="1"/>
    </row>
    <row r="25" spans="1:37" ht="13.5" thickBot="1" x14ac:dyDescent="0.25">
      <c r="A25" s="50"/>
      <c r="B25" s="49"/>
      <c r="C25" s="50"/>
      <c r="D25" s="50"/>
      <c r="E25" s="50"/>
      <c r="F25" s="50"/>
      <c r="G25" s="3"/>
      <c r="H25" s="170" t="s">
        <v>69</v>
      </c>
      <c r="I25" s="183">
        <f>SUM(I23:I24)</f>
        <v>2.6092475893891276</v>
      </c>
      <c r="J25" s="184">
        <f>SUM(J23:J24)</f>
        <v>5</v>
      </c>
      <c r="K25" s="185"/>
      <c r="L25" s="186"/>
      <c r="M25" s="3"/>
      <c r="N25" s="3"/>
      <c r="O25" s="156">
        <f t="shared" si="2"/>
        <v>-0.21681130892474243</v>
      </c>
      <c r="P25" s="208">
        <f t="shared" si="3"/>
        <v>0.21018393098756505</v>
      </c>
      <c r="Q25" s="156">
        <f t="shared" si="4"/>
        <v>5.6498141044988932</v>
      </c>
      <c r="R25" s="156">
        <f t="shared" si="5"/>
        <v>5.4396301735113282</v>
      </c>
      <c r="S25" s="156">
        <f t="shared" si="6"/>
        <v>5.8599980354864583</v>
      </c>
      <c r="T25" s="149">
        <f t="shared" si="7"/>
        <v>446492.43452700158</v>
      </c>
      <c r="U25" s="157">
        <f t="shared" si="12"/>
        <v>0.60699999999999998</v>
      </c>
      <c r="V25" s="149">
        <f t="shared" si="8"/>
        <v>275188.43190469808</v>
      </c>
      <c r="W25" s="157">
        <f t="shared" si="9"/>
        <v>0.60699999999999998</v>
      </c>
      <c r="X25" s="149">
        <f t="shared" si="10"/>
        <v>724432.68312560685</v>
      </c>
      <c r="Y25" s="157">
        <f t="shared" si="11"/>
        <v>0.60699999999999998</v>
      </c>
      <c r="Z25" s="160">
        <v>1</v>
      </c>
      <c r="AA25" s="160">
        <v>64.96200857307025</v>
      </c>
      <c r="AB25" s="160">
        <v>0.47441169590722154</v>
      </c>
      <c r="AC25" s="160">
        <v>0.1032033599178334</v>
      </c>
      <c r="AD25" s="3"/>
      <c r="AE25" s="3"/>
      <c r="AF25" s="3"/>
      <c r="AG25" s="3"/>
      <c r="AH25" s="3"/>
      <c r="AI25" s="1"/>
      <c r="AJ25" s="1"/>
      <c r="AK25" s="1"/>
    </row>
    <row r="26" spans="1:37" x14ac:dyDescent="0.2">
      <c r="A26" s="50"/>
      <c r="B26" s="49"/>
      <c r="C26" s="50"/>
      <c r="D26" s="50"/>
      <c r="E26" s="50"/>
      <c r="F26" s="50"/>
      <c r="G26" s="3"/>
      <c r="H26" s="3"/>
      <c r="I26" s="3"/>
      <c r="J26" s="3"/>
      <c r="K26" s="3"/>
      <c r="L26" s="3"/>
      <c r="M26" s="3"/>
      <c r="N26" s="3"/>
      <c r="O26" s="156">
        <f t="shared" si="2"/>
        <v>-0.21041928783557448</v>
      </c>
      <c r="P26" s="208">
        <f t="shared" si="3"/>
        <v>0.20432896602042155</v>
      </c>
      <c r="Q26" s="156">
        <f t="shared" si="4"/>
        <v>5.6110630784230011</v>
      </c>
      <c r="R26" s="156">
        <f t="shared" si="5"/>
        <v>5.4067341124025798</v>
      </c>
      <c r="S26" s="156">
        <f t="shared" si="6"/>
        <v>5.8153920444434224</v>
      </c>
      <c r="T26" s="149">
        <f t="shared" si="7"/>
        <v>408378.69635064073</v>
      </c>
      <c r="U26" s="157">
        <f t="shared" si="12"/>
        <v>0.6160000000000001</v>
      </c>
      <c r="V26" s="149">
        <f t="shared" si="8"/>
        <v>255113.89436688228</v>
      </c>
      <c r="W26" s="157">
        <f t="shared" si="9"/>
        <v>0.6160000000000001</v>
      </c>
      <c r="X26" s="149">
        <f t="shared" si="10"/>
        <v>653720.41004246683</v>
      </c>
      <c r="Y26" s="157">
        <f t="shared" si="11"/>
        <v>0.6160000000000001</v>
      </c>
      <c r="Z26" s="160">
        <v>2</v>
      </c>
      <c r="AA26" s="160">
        <v>84.735375375576723</v>
      </c>
      <c r="AB26" s="160">
        <v>8.1224337994435558</v>
      </c>
      <c r="AC26" s="160">
        <v>1.7669515023438278</v>
      </c>
      <c r="AD26" s="3"/>
      <c r="AE26" s="3"/>
      <c r="AF26" s="3"/>
      <c r="AG26" s="3"/>
      <c r="AH26" s="3"/>
      <c r="AI26" s="1"/>
      <c r="AJ26" s="1"/>
      <c r="AK26" s="1"/>
    </row>
    <row r="27" spans="1:37" x14ac:dyDescent="0.2">
      <c r="A27" s="50"/>
      <c r="B27" s="49"/>
      <c r="C27" s="50"/>
      <c r="D27" s="50"/>
      <c r="E27" s="50"/>
      <c r="F27" s="50"/>
      <c r="G27" s="3"/>
      <c r="H27" s="3"/>
      <c r="I27" s="3"/>
      <c r="J27" s="3"/>
      <c r="K27" s="3"/>
      <c r="L27" s="3"/>
      <c r="M27" s="3"/>
      <c r="N27" s="3"/>
      <c r="O27" s="156">
        <f t="shared" si="2"/>
        <v>-0.20411998265592479</v>
      </c>
      <c r="P27" s="208">
        <f t="shared" si="3"/>
        <v>0.19865170265092597</v>
      </c>
      <c r="Q27" s="156">
        <f t="shared" si="4"/>
        <v>5.5728741338198198</v>
      </c>
      <c r="R27" s="156">
        <f t="shared" si="5"/>
        <v>5.374222431168894</v>
      </c>
      <c r="S27" s="156">
        <f t="shared" si="6"/>
        <v>5.7715258364707456</v>
      </c>
      <c r="T27" s="149">
        <f t="shared" si="7"/>
        <v>374002.18015294272</v>
      </c>
      <c r="U27" s="157">
        <f t="shared" si="12"/>
        <v>0.625</v>
      </c>
      <c r="V27" s="149">
        <f t="shared" si="8"/>
        <v>236713.17531155772</v>
      </c>
      <c r="W27" s="157">
        <f t="shared" si="9"/>
        <v>0.625</v>
      </c>
      <c r="X27" s="149">
        <f t="shared" si="10"/>
        <v>590916.11852635583</v>
      </c>
      <c r="Y27" s="157">
        <f t="shared" si="11"/>
        <v>0.625</v>
      </c>
      <c r="Z27" s="160">
        <v>3</v>
      </c>
      <c r="AA27" s="160">
        <v>72.398960486332342</v>
      </c>
      <c r="AB27" s="160">
        <v>-3.7728515527469852</v>
      </c>
      <c r="AC27" s="160">
        <v>-0.82074485109416684</v>
      </c>
      <c r="AD27" s="3"/>
      <c r="AE27" s="3"/>
      <c r="AF27" s="3"/>
      <c r="AG27" s="3"/>
      <c r="AH27" s="3"/>
      <c r="AI27" s="1"/>
      <c r="AJ27" s="1"/>
      <c r="AK27" s="1"/>
    </row>
    <row r="28" spans="1:37" x14ac:dyDescent="0.2">
      <c r="A28" s="50"/>
      <c r="B28" s="49"/>
      <c r="C28" s="50"/>
      <c r="D28" s="50"/>
      <c r="E28" s="50"/>
      <c r="F28" s="50"/>
      <c r="G28" s="3"/>
      <c r="H28" s="3"/>
      <c r="I28" s="50"/>
      <c r="J28" s="3"/>
      <c r="K28" s="3"/>
      <c r="L28" s="3"/>
      <c r="M28" s="160"/>
      <c r="N28" s="160"/>
      <c r="O28" s="156">
        <f t="shared" si="2"/>
        <v>-0.19791074211826731</v>
      </c>
      <c r="P28" s="208">
        <f t="shared" si="3"/>
        <v>0.19315369222080203</v>
      </c>
      <c r="Q28" s="156">
        <f t="shared" si="4"/>
        <v>5.5352311976295745</v>
      </c>
      <c r="R28" s="156">
        <f t="shared" si="5"/>
        <v>5.3420775054087724</v>
      </c>
      <c r="S28" s="156">
        <f t="shared" si="6"/>
        <v>5.7283848898503766</v>
      </c>
      <c r="T28" s="149">
        <f t="shared" si="7"/>
        <v>342950.30831560789</v>
      </c>
      <c r="U28" s="157">
        <f t="shared" si="12"/>
        <v>0.63400000000000001</v>
      </c>
      <c r="V28" s="149">
        <f t="shared" si="8"/>
        <v>219825.21440111069</v>
      </c>
      <c r="W28" s="157">
        <f t="shared" si="9"/>
        <v>0.63400000000000001</v>
      </c>
      <c r="X28" s="149">
        <f t="shared" si="10"/>
        <v>535038.32257914194</v>
      </c>
      <c r="Y28" s="157">
        <f t="shared" si="11"/>
        <v>0.63400000000000001</v>
      </c>
      <c r="Z28" s="160">
        <v>4</v>
      </c>
      <c r="AA28" s="160">
        <v>83.967989608254186</v>
      </c>
      <c r="AB28" s="160">
        <v>3.5389412932821216</v>
      </c>
      <c r="AC28" s="160">
        <v>0.76986009234077568</v>
      </c>
      <c r="AD28" s="3"/>
      <c r="AE28" s="3"/>
      <c r="AF28" s="3"/>
      <c r="AG28" s="3"/>
      <c r="AH28" s="3"/>
      <c r="AI28" s="1"/>
      <c r="AJ28" s="1"/>
      <c r="AK28" s="1"/>
    </row>
    <row r="29" spans="1:37" x14ac:dyDescent="0.2">
      <c r="A29" s="50"/>
      <c r="B29" s="49"/>
      <c r="C29" s="50"/>
      <c r="D29" s="50"/>
      <c r="E29" s="50"/>
      <c r="F29" s="50"/>
      <c r="G29" s="3"/>
      <c r="H29" s="3" t="s">
        <v>94</v>
      </c>
      <c r="I29" s="187">
        <f>10^$I$13</f>
        <v>21647.909110439068</v>
      </c>
      <c r="J29" s="3" t="s">
        <v>95</v>
      </c>
      <c r="K29" s="3" t="s">
        <v>96</v>
      </c>
      <c r="L29" s="148">
        <f>+I12</f>
        <v>-6.0624058549431261</v>
      </c>
      <c r="M29" s="160"/>
      <c r="N29" s="160"/>
      <c r="O29" s="156">
        <f t="shared" si="2"/>
        <v>-0.19178902707577791</v>
      </c>
      <c r="P29" s="208">
        <f t="shared" si="3"/>
        <v>0.18783688134683246</v>
      </c>
      <c r="Q29" s="156">
        <f t="shared" si="4"/>
        <v>5.4981188765136935</v>
      </c>
      <c r="R29" s="156">
        <f t="shared" si="5"/>
        <v>5.3102819951668607</v>
      </c>
      <c r="S29" s="156">
        <f t="shared" si="6"/>
        <v>5.6859557578605262</v>
      </c>
      <c r="T29" s="149">
        <f t="shared" si="7"/>
        <v>314861.00440531119</v>
      </c>
      <c r="U29" s="157">
        <f t="shared" si="12"/>
        <v>0.64300000000000002</v>
      </c>
      <c r="V29" s="149">
        <f t="shared" si="8"/>
        <v>204306.4112103291</v>
      </c>
      <c r="W29" s="157">
        <f t="shared" si="9"/>
        <v>0.64300000000000002</v>
      </c>
      <c r="X29" s="149">
        <f t="shared" si="10"/>
        <v>485239.0657142016</v>
      </c>
      <c r="Y29" s="157">
        <f t="shared" si="11"/>
        <v>0.64300000000000002</v>
      </c>
      <c r="Z29" s="160">
        <v>5</v>
      </c>
      <c r="AA29" s="160">
        <v>80.249513651623147</v>
      </c>
      <c r="AB29" s="160">
        <v>-3.074627132090697</v>
      </c>
      <c r="AC29" s="160">
        <v>-0.66885334671080132</v>
      </c>
      <c r="AD29" s="3"/>
      <c r="AE29" s="3"/>
      <c r="AF29" s="3"/>
      <c r="AG29" s="3"/>
      <c r="AH29" s="3"/>
      <c r="AI29" s="1"/>
      <c r="AJ29" s="1"/>
      <c r="AK29" s="1"/>
    </row>
    <row r="30" spans="1:37" ht="15.75" x14ac:dyDescent="0.2">
      <c r="A30" s="151"/>
      <c r="B30" s="151"/>
      <c r="C30" s="157"/>
      <c r="D30" s="3"/>
      <c r="E30" s="3"/>
      <c r="F30" s="3"/>
      <c r="G30" s="3"/>
      <c r="H30" s="3"/>
      <c r="I30" s="3"/>
      <c r="J30" s="3"/>
      <c r="K30" s="3"/>
      <c r="L30" s="3"/>
      <c r="M30" s="160"/>
      <c r="N30" s="160"/>
      <c r="O30" s="156">
        <f t="shared" si="2"/>
        <v>-0.18575240426807979</v>
      </c>
      <c r="P30" s="208">
        <f t="shared" si="3"/>
        <v>0.18270360611002606</v>
      </c>
      <c r="Q30" s="156">
        <f t="shared" si="4"/>
        <v>5.4615224190602216</v>
      </c>
      <c r="R30" s="156">
        <f t="shared" si="5"/>
        <v>5.2788188129501954</v>
      </c>
      <c r="S30" s="156">
        <f t="shared" si="6"/>
        <v>5.6442260251702479</v>
      </c>
      <c r="T30" s="149">
        <f t="shared" si="7"/>
        <v>289415.92148993205</v>
      </c>
      <c r="U30" s="157">
        <f t="shared" si="12"/>
        <v>0.65200000000000002</v>
      </c>
      <c r="V30" s="149">
        <f t="shared" si="8"/>
        <v>190028.53181493454</v>
      </c>
      <c r="W30" s="157">
        <f t="shared" si="9"/>
        <v>0.65200000000000002</v>
      </c>
      <c r="X30" s="149">
        <f t="shared" si="10"/>
        <v>440784.20651821169</v>
      </c>
      <c r="Y30" s="157">
        <f t="shared" si="11"/>
        <v>0.65200000000000002</v>
      </c>
      <c r="Z30" s="160">
        <v>6</v>
      </c>
      <c r="AA30" s="160">
        <v>78.183475047293271</v>
      </c>
      <c r="AB30" s="160">
        <v>-4.5407034997025164</v>
      </c>
      <c r="AC30" s="160">
        <v>-0.98778310400595504</v>
      </c>
      <c r="AD30" s="3"/>
      <c r="AE30" s="3"/>
      <c r="AF30" s="3"/>
      <c r="AG30" s="3"/>
      <c r="AH30" s="3"/>
      <c r="AI30" s="1"/>
      <c r="AJ30" s="1"/>
      <c r="AK30" s="1"/>
    </row>
    <row r="31" spans="1:37" ht="16.5" thickBot="1" x14ac:dyDescent="0.25">
      <c r="A31" s="151"/>
      <c r="B31" s="151"/>
      <c r="C31" s="157"/>
      <c r="D31" s="3"/>
      <c r="E31" s="3"/>
      <c r="F31" s="3"/>
      <c r="G31" s="3"/>
      <c r="H31" s="3"/>
      <c r="I31" s="3"/>
      <c r="J31" s="3"/>
      <c r="K31" s="3"/>
      <c r="L31" s="3"/>
      <c r="M31" s="160"/>
      <c r="N31" s="160"/>
      <c r="O31" s="156">
        <f t="shared" si="2"/>
        <v>-0.17979854051435976</v>
      </c>
      <c r="P31" s="208">
        <f t="shared" si="3"/>
        <v>0.17775658247281984</v>
      </c>
      <c r="Q31" s="156">
        <f t="shared" si="4"/>
        <v>5.4254276805801354</v>
      </c>
      <c r="R31" s="156">
        <f t="shared" si="5"/>
        <v>5.2476710981073156</v>
      </c>
      <c r="S31" s="156">
        <f t="shared" si="6"/>
        <v>5.6031842630529551</v>
      </c>
      <c r="T31" s="149">
        <f t="shared" si="7"/>
        <v>266334.65550604305</v>
      </c>
      <c r="U31" s="157">
        <f t="shared" si="12"/>
        <v>0.66099999999999992</v>
      </c>
      <c r="V31" s="149">
        <f t="shared" si="8"/>
        <v>176876.89187536977</v>
      </c>
      <c r="W31" s="157">
        <f t="shared" si="9"/>
        <v>0.66099999999999992</v>
      </c>
      <c r="X31" s="149">
        <f t="shared" si="10"/>
        <v>401036.83398905396</v>
      </c>
      <c r="Y31" s="157">
        <f t="shared" si="11"/>
        <v>0.66099999999999992</v>
      </c>
      <c r="Z31" s="160">
        <v>7</v>
      </c>
      <c r="AA31" s="160">
        <v>58.292048895967945</v>
      </c>
      <c r="AB31" s="160">
        <v>5.5384635753090379</v>
      </c>
      <c r="AC31" s="160">
        <v>1.2048354934870995</v>
      </c>
      <c r="AD31" s="3"/>
      <c r="AE31" s="3"/>
      <c r="AF31" s="3"/>
      <c r="AG31" s="3"/>
      <c r="AH31" s="3"/>
      <c r="AI31" s="1"/>
      <c r="AJ31" s="1"/>
      <c r="AK31" s="1"/>
    </row>
    <row r="32" spans="1:37" ht="16.5" thickBot="1" x14ac:dyDescent="0.25">
      <c r="A32" s="151"/>
      <c r="B32" s="151"/>
      <c r="C32" s="157"/>
      <c r="D32" s="3"/>
      <c r="E32" s="3"/>
      <c r="F32" s="3"/>
      <c r="G32" s="3"/>
      <c r="H32" s="171" t="s">
        <v>33</v>
      </c>
      <c r="I32" s="188" t="s">
        <v>97</v>
      </c>
      <c r="J32" s="188" t="s">
        <v>98</v>
      </c>
      <c r="K32" s="188"/>
      <c r="L32" s="189">
        <v>0.95</v>
      </c>
      <c r="M32" s="160"/>
      <c r="N32" s="160"/>
      <c r="O32" s="156">
        <f t="shared" si="2"/>
        <v>-0.17392519729917355</v>
      </c>
      <c r="P32" s="208">
        <f t="shared" si="3"/>
        <v>0.17299889183392794</v>
      </c>
      <c r="Q32" s="156">
        <f t="shared" si="4"/>
        <v>5.3898210902842996</v>
      </c>
      <c r="R32" s="156">
        <f t="shared" si="5"/>
        <v>5.2168221984503713</v>
      </c>
      <c r="S32" s="156">
        <f t="shared" si="6"/>
        <v>5.5628199821182278</v>
      </c>
      <c r="T32" s="149">
        <f t="shared" si="7"/>
        <v>245369.78947175029</v>
      </c>
      <c r="U32" s="157">
        <f t="shared" si="12"/>
        <v>0.66999999999999993</v>
      </c>
      <c r="V32" s="149">
        <f t="shared" si="8"/>
        <v>164748.77666783213</v>
      </c>
      <c r="W32" s="157">
        <f t="shared" si="9"/>
        <v>0.66999999999999993</v>
      </c>
      <c r="X32" s="149">
        <f t="shared" si="10"/>
        <v>365443.28160202177</v>
      </c>
      <c r="Y32" s="157">
        <f t="shared" si="11"/>
        <v>0.66999999999999993</v>
      </c>
      <c r="Z32" s="160">
        <v>8</v>
      </c>
      <c r="AA32" s="160">
        <v>76.17685964853554</v>
      </c>
      <c r="AB32" s="160">
        <v>-1.6616650429208448</v>
      </c>
      <c r="AC32" s="160">
        <v>-0.36147805158871843</v>
      </c>
      <c r="AD32" s="3"/>
      <c r="AE32" s="3"/>
      <c r="AF32" s="3"/>
      <c r="AG32" s="3"/>
      <c r="AH32" s="3"/>
      <c r="AI32" s="1"/>
      <c r="AJ32" s="1"/>
      <c r="AK32" s="1"/>
    </row>
    <row r="33" spans="1:37" ht="15.75" x14ac:dyDescent="0.2">
      <c r="A33" s="151"/>
      <c r="B33" s="151"/>
      <c r="C33" s="157"/>
      <c r="D33" s="3"/>
      <c r="E33" s="3"/>
      <c r="F33" s="3"/>
      <c r="G33" s="3"/>
      <c r="H33" s="155">
        <v>1</v>
      </c>
      <c r="I33" s="60">
        <v>12.706</v>
      </c>
      <c r="J33" s="60">
        <v>199.5</v>
      </c>
      <c r="K33" s="60"/>
      <c r="L33" s="161"/>
      <c r="M33" s="60"/>
      <c r="N33" s="60"/>
      <c r="O33" s="156">
        <f t="shared" si="2"/>
        <v>-0.16813022571949829</v>
      </c>
      <c r="P33" s="208">
        <f t="shared" si="3"/>
        <v>0.16843396052049064</v>
      </c>
      <c r="Q33" s="156">
        <f t="shared" si="4"/>
        <v>5.3546896206504471</v>
      </c>
      <c r="R33" s="156">
        <f t="shared" si="5"/>
        <v>5.1862556601299561</v>
      </c>
      <c r="S33" s="156">
        <f t="shared" si="6"/>
        <v>5.523123581170938</v>
      </c>
      <c r="T33" s="149">
        <f t="shared" si="7"/>
        <v>226302.64014390562</v>
      </c>
      <c r="U33" s="157">
        <f t="shared" si="12"/>
        <v>0.67900000000000005</v>
      </c>
      <c r="V33" s="149">
        <f t="shared" si="8"/>
        <v>153552.06458610736</v>
      </c>
      <c r="W33" s="157">
        <f t="shared" si="9"/>
        <v>0.67900000000000005</v>
      </c>
      <c r="X33" s="149">
        <f t="shared" si="10"/>
        <v>333521.30480397027</v>
      </c>
      <c r="Y33" s="157">
        <f t="shared" si="11"/>
        <v>0.67900000000000005</v>
      </c>
      <c r="Z33" s="160">
        <v>9</v>
      </c>
      <c r="AA33" s="160">
        <v>66.37832722773372</v>
      </c>
      <c r="AB33" s="160">
        <v>1.0806764711593644</v>
      </c>
      <c r="AC33" s="160">
        <v>0.23508999413371393</v>
      </c>
      <c r="AD33" s="3"/>
      <c r="AE33" s="3"/>
      <c r="AF33" s="3"/>
      <c r="AG33" s="3"/>
      <c r="AH33" s="3"/>
      <c r="AI33" s="1"/>
      <c r="AJ33" s="1"/>
      <c r="AK33" s="1"/>
    </row>
    <row r="34" spans="1:37" ht="16.5" thickBot="1" x14ac:dyDescent="0.25">
      <c r="A34" s="151"/>
      <c r="B34" s="151"/>
      <c r="C34" s="157"/>
      <c r="D34" s="3"/>
      <c r="E34" s="3"/>
      <c r="F34" s="3"/>
      <c r="G34" s="3"/>
      <c r="H34" s="155">
        <v>2</v>
      </c>
      <c r="I34" s="60">
        <v>4.3029999999999999</v>
      </c>
      <c r="J34" s="60">
        <v>19</v>
      </c>
      <c r="K34" s="60"/>
      <c r="L34" s="161"/>
      <c r="M34" s="60"/>
      <c r="N34" s="60"/>
      <c r="O34" s="156">
        <f t="shared" ref="O34:O65" si="28">LOG($I$19+($I$20-$I$19)*(ROW()-2)/100)</f>
        <v>-0.16241156176448865</v>
      </c>
      <c r="P34" s="208">
        <f t="shared" ref="P34:P65" si="29">SQRT(2*$I$16*$K$24)*SQRT((1/$I$1)+((O34-$I$10)^2/$I$7))</f>
        <v>0.16406553193339887</v>
      </c>
      <c r="Q34" s="156">
        <f t="shared" ref="Q34:Q65" si="30">+$I$13+$I$12*O34</f>
        <v>5.3200207588071446</v>
      </c>
      <c r="R34" s="156">
        <f t="shared" ref="R34:R65" si="31">+$I$13+$I$12*O34-P34</f>
        <v>5.1559552268737461</v>
      </c>
      <c r="S34" s="156">
        <f t="shared" ref="S34:S65" si="32">+$I$13+$I$12*O34+P34</f>
        <v>5.4840862907405432</v>
      </c>
      <c r="T34" s="149">
        <f t="shared" ref="T34:T65" si="33">10^Q34</f>
        <v>208939.59993391889</v>
      </c>
      <c r="U34" s="157">
        <f t="shared" si="12"/>
        <v>0.68800000000000006</v>
      </c>
      <c r="V34" s="149">
        <f t="shared" ref="V34:V65" si="34">10^R34</f>
        <v>143204.02570007424</v>
      </c>
      <c r="W34" s="157">
        <f t="shared" ref="W34:W65" si="35">10^$O34</f>
        <v>0.68800000000000006</v>
      </c>
      <c r="X34" s="149">
        <f t="shared" ref="X34:X65" si="36">10^S34</f>
        <v>304850.06414539256</v>
      </c>
      <c r="Y34" s="157">
        <f t="shared" ref="Y34:Y65" si="37">10^$O34</f>
        <v>0.68800000000000006</v>
      </c>
      <c r="Z34" s="163">
        <v>10</v>
      </c>
      <c r="AA34" s="163">
        <v>71.750027598991394</v>
      </c>
      <c r="AB34" s="163">
        <v>-5.705079607640414</v>
      </c>
      <c r="AC34" s="163">
        <v>-1.2410810888236428</v>
      </c>
      <c r="AD34" s="3"/>
      <c r="AE34" s="3"/>
      <c r="AF34" s="3"/>
      <c r="AG34" s="3"/>
      <c r="AH34" s="3"/>
      <c r="AI34" s="1"/>
      <c r="AJ34" s="1"/>
      <c r="AK34" s="1"/>
    </row>
    <row r="35" spans="1:37" ht="15.75" x14ac:dyDescent="0.2">
      <c r="A35" s="151"/>
      <c r="B35" s="151"/>
      <c r="C35" s="157"/>
      <c r="D35" s="3"/>
      <c r="E35" s="3"/>
      <c r="F35" s="3"/>
      <c r="G35" s="3"/>
      <c r="H35" s="155">
        <v>3</v>
      </c>
      <c r="I35" s="60">
        <v>3.1819999999999999</v>
      </c>
      <c r="J35" s="60">
        <v>9.5500000000000007</v>
      </c>
      <c r="K35" s="60"/>
      <c r="L35" s="161"/>
      <c r="M35" s="60"/>
      <c r="N35" s="60"/>
      <c r="O35" s="156">
        <f t="shared" si="28"/>
        <v>-0.15676722190199055</v>
      </c>
      <c r="P35" s="208">
        <f t="shared" si="29"/>
        <v>0.15989763002246896</v>
      </c>
      <c r="Q35" s="156">
        <f t="shared" si="30"/>
        <v>5.2858024797774474</v>
      </c>
      <c r="R35" s="156">
        <f t="shared" si="31"/>
        <v>5.1259048497549786</v>
      </c>
      <c r="S35" s="156">
        <f t="shared" si="32"/>
        <v>5.4457001097999163</v>
      </c>
      <c r="T35" s="149">
        <f t="shared" si="33"/>
        <v>193108.98438537723</v>
      </c>
      <c r="U35" s="157">
        <f t="shared" ref="U35:U66" si="38">10^O35</f>
        <v>0.69700000000000006</v>
      </c>
      <c r="V35" s="149">
        <f t="shared" si="34"/>
        <v>133630.27118586915</v>
      </c>
      <c r="W35" s="157">
        <f t="shared" si="35"/>
        <v>0.69700000000000006</v>
      </c>
      <c r="X35" s="149">
        <f t="shared" si="36"/>
        <v>279061.6191931761</v>
      </c>
      <c r="Y35" s="157">
        <f t="shared" si="37"/>
        <v>0.69700000000000006</v>
      </c>
      <c r="Z35" s="160">
        <v>11</v>
      </c>
      <c r="AA35" s="160">
        <v>1.8219740757524479</v>
      </c>
      <c r="AB35" s="160">
        <v>-2.3572384393459211E-2</v>
      </c>
      <c r="AC35" s="160">
        <v>-2.1105589333618084</v>
      </c>
      <c r="AD35" s="3"/>
      <c r="AE35" s="3"/>
      <c r="AF35" s="3"/>
      <c r="AG35" s="3"/>
      <c r="AH35" s="3"/>
      <c r="AI35" s="1"/>
      <c r="AJ35" s="1"/>
      <c r="AK35" s="1"/>
    </row>
    <row r="36" spans="1:37" ht="16.5" thickBot="1" x14ac:dyDescent="0.25">
      <c r="A36" s="151"/>
      <c r="B36" s="151"/>
      <c r="C36" s="157"/>
      <c r="D36" s="3"/>
      <c r="E36" s="3"/>
      <c r="F36" s="3"/>
      <c r="G36" s="3"/>
      <c r="H36" s="155">
        <v>4</v>
      </c>
      <c r="I36" s="60">
        <v>2.7764000000000002</v>
      </c>
      <c r="J36" s="60">
        <v>6.94</v>
      </c>
      <c r="K36" s="60"/>
      <c r="L36" s="161"/>
      <c r="M36" s="60"/>
      <c r="N36" s="60"/>
      <c r="O36" s="156">
        <f t="shared" si="28"/>
        <v>-0.15119529894819625</v>
      </c>
      <c r="P36" s="208">
        <f t="shared" si="29"/>
        <v>0.15593451279599979</v>
      </c>
      <c r="Q36" s="156">
        <f t="shared" si="30"/>
        <v>5.2520232214390727</v>
      </c>
      <c r="R36" s="156">
        <f t="shared" si="31"/>
        <v>5.0960887086430731</v>
      </c>
      <c r="S36" s="156">
        <f t="shared" si="32"/>
        <v>5.4079577342350724</v>
      </c>
      <c r="T36" s="149">
        <f t="shared" si="33"/>
        <v>178658.30997164125</v>
      </c>
      <c r="U36" s="157">
        <f t="shared" si="38"/>
        <v>0.70599999999999996</v>
      </c>
      <c r="V36" s="149">
        <f t="shared" si="34"/>
        <v>124763.83298239349</v>
      </c>
      <c r="W36" s="157">
        <f t="shared" si="35"/>
        <v>0.70599999999999996</v>
      </c>
      <c r="X36" s="149">
        <f t="shared" si="36"/>
        <v>255833.68961121439</v>
      </c>
      <c r="Y36" s="157">
        <f t="shared" si="37"/>
        <v>0.70599999999999996</v>
      </c>
      <c r="Z36" s="163">
        <v>12</v>
      </c>
      <c r="AA36" s="163">
        <v>1.7418458667896419</v>
      </c>
      <c r="AB36" s="163">
        <v>5.198026089093144E-3</v>
      </c>
      <c r="AC36" s="163">
        <v>0.46540647798138757</v>
      </c>
      <c r="AD36" s="3"/>
      <c r="AE36" s="3"/>
      <c r="AF36" s="3"/>
      <c r="AG36" s="3"/>
      <c r="AH36" s="3"/>
      <c r="AI36" s="1"/>
      <c r="AJ36" s="1"/>
      <c r="AK36" s="1"/>
    </row>
    <row r="37" spans="1:37" ht="15.75" x14ac:dyDescent="0.2">
      <c r="A37" s="151"/>
      <c r="B37" s="151"/>
      <c r="C37" s="157"/>
      <c r="D37" s="3"/>
      <c r="E37" s="3"/>
      <c r="F37" s="3"/>
      <c r="G37" s="3"/>
      <c r="H37" s="155">
        <v>5</v>
      </c>
      <c r="I37" s="60">
        <v>2.5706000000000002</v>
      </c>
      <c r="J37" s="60">
        <v>5.79</v>
      </c>
      <c r="K37" s="60"/>
      <c r="L37" s="161"/>
      <c r="M37" s="60"/>
      <c r="N37" s="60"/>
      <c r="O37" s="156">
        <f t="shared" si="28"/>
        <v>-0.14569395819891934</v>
      </c>
      <c r="P37" s="208">
        <f t="shared" si="29"/>
        <v>0.15218061468989399</v>
      </c>
      <c r="Q37" s="156">
        <f t="shared" si="30"/>
        <v>5.2186718610706198</v>
      </c>
      <c r="R37" s="156">
        <f t="shared" si="31"/>
        <v>5.0664912463807257</v>
      </c>
      <c r="S37" s="156">
        <f t="shared" si="32"/>
        <v>5.3708524757605138</v>
      </c>
      <c r="T37" s="149">
        <f t="shared" si="33"/>
        <v>165451.93894951799</v>
      </c>
      <c r="U37" s="157">
        <f t="shared" si="38"/>
        <v>0.71500000000000008</v>
      </c>
      <c r="V37" s="149">
        <f t="shared" si="34"/>
        <v>116544.35599745486</v>
      </c>
      <c r="W37" s="157">
        <f t="shared" si="35"/>
        <v>0.71500000000000008</v>
      </c>
      <c r="X37" s="149">
        <f t="shared" si="36"/>
        <v>234883.48163983881</v>
      </c>
      <c r="Y37" s="157">
        <f t="shared" si="37"/>
        <v>0.71500000000000008</v>
      </c>
      <c r="Z37" s="3"/>
      <c r="AA37" s="60"/>
      <c r="AB37" s="60"/>
      <c r="AC37" s="60"/>
      <c r="AD37" s="60"/>
      <c r="AE37" s="60"/>
      <c r="AF37" s="60"/>
      <c r="AG37" s="60"/>
      <c r="AH37" s="60"/>
      <c r="AI37" s="1"/>
      <c r="AJ37" s="1"/>
      <c r="AK37" s="1"/>
    </row>
    <row r="38" spans="1:37" x14ac:dyDescent="0.2">
      <c r="A38" s="157"/>
      <c r="B38" s="60"/>
      <c r="C38" s="157"/>
      <c r="D38" s="3"/>
      <c r="E38" s="3"/>
      <c r="F38" s="3"/>
      <c r="G38" s="3"/>
      <c r="H38" s="155">
        <v>6</v>
      </c>
      <c r="I38" s="60">
        <v>2.4468999999999999</v>
      </c>
      <c r="J38" s="60">
        <v>5.14</v>
      </c>
      <c r="K38" s="60"/>
      <c r="L38" s="161"/>
      <c r="M38" s="3"/>
      <c r="N38" s="3"/>
      <c r="O38" s="156">
        <f t="shared" si="28"/>
        <v>-0.14026143380285311</v>
      </c>
      <c r="P38" s="208">
        <f t="shared" si="29"/>
        <v>0.1486404768620265</v>
      </c>
      <c r="Q38" s="156">
        <f t="shared" si="30"/>
        <v>5.1857376933647865</v>
      </c>
      <c r="R38" s="156">
        <f t="shared" si="31"/>
        <v>5.0370972165027599</v>
      </c>
      <c r="S38" s="156">
        <f t="shared" si="32"/>
        <v>5.3343781702268132</v>
      </c>
      <c r="T38" s="149">
        <f t="shared" si="33"/>
        <v>153369.03795507067</v>
      </c>
      <c r="U38" s="157">
        <f t="shared" si="38"/>
        <v>0.72399999999999998</v>
      </c>
      <c r="V38" s="149">
        <f t="shared" si="34"/>
        <v>108917.38768243212</v>
      </c>
      <c r="W38" s="157">
        <f t="shared" si="35"/>
        <v>0.72399999999999998</v>
      </c>
      <c r="X38" s="149">
        <f t="shared" si="36"/>
        <v>215962.4124648181</v>
      </c>
      <c r="Y38" s="157">
        <f t="shared" si="37"/>
        <v>0.72399999999999998</v>
      </c>
      <c r="Z38" s="3"/>
      <c r="AA38" s="60"/>
      <c r="AB38" s="60"/>
      <c r="AC38" s="60"/>
      <c r="AD38" s="60"/>
      <c r="AE38" s="60"/>
      <c r="AF38" s="60"/>
      <c r="AG38" s="60"/>
      <c r="AH38" s="60"/>
      <c r="AI38" s="1"/>
      <c r="AJ38" s="1"/>
      <c r="AK38" s="1"/>
    </row>
    <row r="39" spans="1:37" x14ac:dyDescent="0.2">
      <c r="A39" s="157"/>
      <c r="B39" s="60"/>
      <c r="C39" s="157"/>
      <c r="D39" s="3"/>
      <c r="E39" s="3"/>
      <c r="F39" s="3"/>
      <c r="G39" s="3"/>
      <c r="H39" s="155">
        <v>7</v>
      </c>
      <c r="I39" s="60">
        <v>2.3645999999999998</v>
      </c>
      <c r="J39" s="60">
        <v>4.74</v>
      </c>
      <c r="K39" s="60"/>
      <c r="L39" s="161"/>
      <c r="M39" s="3"/>
      <c r="N39" s="3"/>
      <c r="O39" s="156">
        <f t="shared" si="28"/>
        <v>-0.13489602535887199</v>
      </c>
      <c r="P39" s="208">
        <f t="shared" si="29"/>
        <v>0.14531866486306458</v>
      </c>
      <c r="Q39" s="156">
        <f t="shared" si="30"/>
        <v>5.1532104097998337</v>
      </c>
      <c r="R39" s="156">
        <f t="shared" si="31"/>
        <v>5.007891744936769</v>
      </c>
      <c r="S39" s="156">
        <f t="shared" si="32"/>
        <v>5.2985290746628984</v>
      </c>
      <c r="T39" s="149">
        <f t="shared" si="33"/>
        <v>142301.80531305089</v>
      </c>
      <c r="U39" s="157">
        <f t="shared" si="38"/>
        <v>0.7330000000000001</v>
      </c>
      <c r="V39" s="149">
        <f t="shared" si="34"/>
        <v>101833.75189909863</v>
      </c>
      <c r="W39" s="157">
        <f t="shared" si="35"/>
        <v>0.7330000000000001</v>
      </c>
      <c r="X39" s="149">
        <f t="shared" si="36"/>
        <v>198851.59308887887</v>
      </c>
      <c r="Y39" s="157">
        <f t="shared" si="37"/>
        <v>0.7330000000000001</v>
      </c>
      <c r="Z39" s="3"/>
      <c r="AA39" s="60"/>
      <c r="AB39" s="60"/>
      <c r="AC39" s="60"/>
      <c r="AD39" s="60"/>
      <c r="AE39" s="60"/>
      <c r="AF39" s="60"/>
      <c r="AG39" s="60"/>
      <c r="AH39" s="60"/>
      <c r="AI39" s="1"/>
      <c r="AJ39" s="1"/>
      <c r="AK39" s="1"/>
    </row>
    <row r="40" spans="1:37" x14ac:dyDescent="0.2">
      <c r="A40" s="60"/>
      <c r="B40" s="60"/>
      <c r="C40" s="60"/>
      <c r="D40" s="3"/>
      <c r="E40" s="3"/>
      <c r="F40" s="3"/>
      <c r="G40" s="3"/>
      <c r="H40" s="155">
        <v>8</v>
      </c>
      <c r="I40" s="60">
        <v>2.306</v>
      </c>
      <c r="J40" s="60">
        <v>4.46</v>
      </c>
      <c r="K40" s="60"/>
      <c r="L40" s="161"/>
      <c r="M40" s="3"/>
      <c r="N40" s="3"/>
      <c r="O40" s="156">
        <f t="shared" si="28"/>
        <v>-0.12959609472097294</v>
      </c>
      <c r="P40" s="208">
        <f t="shared" si="29"/>
        <v>0.14221967368400504</v>
      </c>
      <c r="Q40" s="156">
        <f t="shared" si="30"/>
        <v>5.1210800792698423</v>
      </c>
      <c r="R40" s="156">
        <f t="shared" si="31"/>
        <v>4.978860405585837</v>
      </c>
      <c r="S40" s="156">
        <f t="shared" si="32"/>
        <v>5.2632997529538477</v>
      </c>
      <c r="T40" s="149">
        <f t="shared" si="33"/>
        <v>132153.92894702838</v>
      </c>
      <c r="U40" s="157">
        <f t="shared" si="38"/>
        <v>0.74199999999999988</v>
      </c>
      <c r="V40" s="149">
        <f t="shared" si="34"/>
        <v>95248.99578561903</v>
      </c>
      <c r="W40" s="157">
        <f t="shared" si="35"/>
        <v>0.74199999999999988</v>
      </c>
      <c r="X40" s="149">
        <f t="shared" si="36"/>
        <v>183357.95345753201</v>
      </c>
      <c r="Y40" s="157">
        <f t="shared" si="37"/>
        <v>0.74199999999999988</v>
      </c>
      <c r="Z40" s="3"/>
      <c r="AA40" s="3"/>
      <c r="AB40" s="60"/>
      <c r="AC40" s="60"/>
      <c r="AD40" s="60"/>
      <c r="AE40" s="60"/>
      <c r="AF40" s="60"/>
      <c r="AG40" s="60"/>
      <c r="AH40" s="60"/>
      <c r="AI40" s="1"/>
      <c r="AJ40" s="1"/>
      <c r="AK40" s="1"/>
    </row>
    <row r="41" spans="1:37" x14ac:dyDescent="0.2">
      <c r="A41" s="3"/>
      <c r="B41" s="3"/>
      <c r="C41" s="3"/>
      <c r="D41" s="3"/>
      <c r="E41" s="3"/>
      <c r="F41" s="3"/>
      <c r="G41" s="3"/>
      <c r="H41" s="155">
        <v>9</v>
      </c>
      <c r="I41" s="60">
        <v>2.2622</v>
      </c>
      <c r="J41" s="60">
        <v>4.26</v>
      </c>
      <c r="K41" s="60"/>
      <c r="L41" s="161"/>
      <c r="M41" s="3"/>
      <c r="N41" s="3"/>
      <c r="O41" s="156">
        <f t="shared" si="28"/>
        <v>-0.12436006299583155</v>
      </c>
      <c r="P41" s="208">
        <f t="shared" si="29"/>
        <v>0.13934782089908282</v>
      </c>
      <c r="Q41" s="156">
        <f t="shared" si="30"/>
        <v>5.0893371298826766</v>
      </c>
      <c r="R41" s="156">
        <f t="shared" si="31"/>
        <v>4.9499893089835938</v>
      </c>
      <c r="S41" s="156">
        <f t="shared" si="32"/>
        <v>5.2286849507817594</v>
      </c>
      <c r="T41" s="149">
        <f t="shared" si="33"/>
        <v>122839.24256281179</v>
      </c>
      <c r="U41" s="157">
        <f t="shared" si="38"/>
        <v>0.75100000000000011</v>
      </c>
      <c r="V41" s="149">
        <f t="shared" si="34"/>
        <v>89122.899850172282</v>
      </c>
      <c r="W41" s="157">
        <f t="shared" si="35"/>
        <v>0.75100000000000011</v>
      </c>
      <c r="X41" s="149">
        <f t="shared" si="36"/>
        <v>169310.91266972633</v>
      </c>
      <c r="Y41" s="157">
        <f t="shared" si="37"/>
        <v>0.75100000000000011</v>
      </c>
      <c r="Z41" s="3"/>
      <c r="AA41" s="50"/>
      <c r="AB41" s="60"/>
      <c r="AC41" s="60"/>
      <c r="AD41" s="60"/>
      <c r="AE41" s="60"/>
      <c r="AF41" s="60"/>
      <c r="AG41" s="60"/>
      <c r="AH41" s="60"/>
      <c r="AI41" s="1"/>
      <c r="AJ41" s="1"/>
      <c r="AK41" s="1"/>
    </row>
    <row r="42" spans="1:37" x14ac:dyDescent="0.2">
      <c r="A42" s="3"/>
      <c r="B42" s="3"/>
      <c r="C42" s="3"/>
      <c r="D42" s="3"/>
      <c r="E42" s="3"/>
      <c r="F42" s="3"/>
      <c r="G42" s="3"/>
      <c r="H42" s="155">
        <v>10</v>
      </c>
      <c r="I42" s="60">
        <v>2.2281</v>
      </c>
      <c r="J42" s="60">
        <v>4.0999999999999996</v>
      </c>
      <c r="K42" s="60"/>
      <c r="L42" s="161"/>
      <c r="M42" s="3"/>
      <c r="N42" s="3"/>
      <c r="O42" s="156">
        <f t="shared" si="28"/>
        <v>-0.11918640771920865</v>
      </c>
      <c r="P42" s="208">
        <f t="shared" si="29"/>
        <v>0.13670712949669042</v>
      </c>
      <c r="Q42" s="156">
        <f t="shared" si="30"/>
        <v>5.0579723318422207</v>
      </c>
      <c r="R42" s="156">
        <f t="shared" si="31"/>
        <v>4.9212652023455306</v>
      </c>
      <c r="S42" s="156">
        <f t="shared" si="32"/>
        <v>5.1946794613389109</v>
      </c>
      <c r="T42" s="149">
        <f t="shared" si="33"/>
        <v>114280.55262873453</v>
      </c>
      <c r="U42" s="157">
        <f t="shared" si="38"/>
        <v>0.7599999999999999</v>
      </c>
      <c r="V42" s="149">
        <f t="shared" si="34"/>
        <v>83419.04283108165</v>
      </c>
      <c r="W42" s="157">
        <f t="shared" si="35"/>
        <v>0.7599999999999999</v>
      </c>
      <c r="X42" s="149">
        <f t="shared" si="36"/>
        <v>156559.51286296509</v>
      </c>
      <c r="Y42" s="157">
        <f t="shared" si="37"/>
        <v>0.7599999999999999</v>
      </c>
      <c r="Z42" s="50"/>
      <c r="AA42" s="50"/>
      <c r="AB42" s="60"/>
      <c r="AC42" s="60"/>
      <c r="AD42" s="60"/>
      <c r="AE42" s="60"/>
      <c r="AF42" s="60"/>
      <c r="AG42" s="60"/>
      <c r="AH42" s="60"/>
      <c r="AI42" s="1"/>
      <c r="AJ42" s="1"/>
      <c r="AK42" s="1"/>
    </row>
    <row r="43" spans="1:37" x14ac:dyDescent="0.2">
      <c r="A43" s="3"/>
      <c r="B43" s="3"/>
      <c r="C43" s="3"/>
      <c r="D43" s="3"/>
      <c r="E43" s="3"/>
      <c r="F43" s="3"/>
      <c r="G43" s="3"/>
      <c r="H43" s="155">
        <v>11</v>
      </c>
      <c r="I43" s="60">
        <v>2.2010000000000001</v>
      </c>
      <c r="J43" s="60">
        <v>3.98</v>
      </c>
      <c r="K43" s="60"/>
      <c r="L43" s="161"/>
      <c r="M43" s="3"/>
      <c r="N43" s="3"/>
      <c r="O43" s="156">
        <f t="shared" si="28"/>
        <v>-0.11407366019856895</v>
      </c>
      <c r="P43" s="208">
        <f t="shared" si="29"/>
        <v>0.13430120298084774</v>
      </c>
      <c r="Q43" s="156">
        <f t="shared" si="30"/>
        <v>5.0269767813382487</v>
      </c>
      <c r="R43" s="156">
        <f t="shared" si="31"/>
        <v>4.8926755783574007</v>
      </c>
      <c r="S43" s="156">
        <f t="shared" si="32"/>
        <v>5.1612779843190966</v>
      </c>
      <c r="T43" s="149">
        <f t="shared" si="33"/>
        <v>106408.61275260555</v>
      </c>
      <c r="U43" s="157">
        <f t="shared" si="38"/>
        <v>0.76900000000000002</v>
      </c>
      <c r="V43" s="149">
        <f t="shared" si="34"/>
        <v>78104.414005116356</v>
      </c>
      <c r="W43" s="157">
        <f t="shared" si="35"/>
        <v>0.76900000000000002</v>
      </c>
      <c r="X43" s="149">
        <f t="shared" si="36"/>
        <v>144969.94839743973</v>
      </c>
      <c r="Y43" s="157">
        <f t="shared" si="37"/>
        <v>0.76900000000000002</v>
      </c>
      <c r="Z43" s="50"/>
      <c r="AA43" s="50"/>
      <c r="AB43" s="60"/>
      <c r="AC43" s="60"/>
      <c r="AD43" s="60"/>
      <c r="AE43" s="60"/>
      <c r="AF43" s="60"/>
      <c r="AG43" s="60"/>
      <c r="AH43" s="60"/>
      <c r="AI43" s="1"/>
      <c r="AJ43" s="1"/>
      <c r="AK43" s="1"/>
    </row>
    <row r="44" spans="1:37" x14ac:dyDescent="0.2">
      <c r="A44" s="3"/>
      <c r="B44" s="3"/>
      <c r="C44" s="3"/>
      <c r="D44" s="3"/>
      <c r="E44" s="3"/>
      <c r="F44" s="3"/>
      <c r="G44" s="3"/>
      <c r="H44" s="155">
        <v>12</v>
      </c>
      <c r="I44" s="60">
        <v>2.1787999999999998</v>
      </c>
      <c r="J44" s="60">
        <v>2.89</v>
      </c>
      <c r="K44" s="60"/>
      <c r="L44" s="161"/>
      <c r="M44" s="3"/>
      <c r="N44" s="3"/>
      <c r="O44" s="156">
        <f t="shared" si="28"/>
        <v>-0.10902040301031106</v>
      </c>
      <c r="P44" s="208">
        <f t="shared" si="29"/>
        <v>0.13213309636189124</v>
      </c>
      <c r="Q44" s="156">
        <f t="shared" si="30"/>
        <v>4.9963418853736208</v>
      </c>
      <c r="R44" s="156">
        <f t="shared" si="31"/>
        <v>4.8642087890117294</v>
      </c>
      <c r="S44" s="156">
        <f t="shared" si="32"/>
        <v>5.1284749817355122</v>
      </c>
      <c r="T44" s="149">
        <f t="shared" si="33"/>
        <v>99161.225487730742</v>
      </c>
      <c r="U44" s="157">
        <f t="shared" si="38"/>
        <v>0.77800000000000002</v>
      </c>
      <c r="V44" s="149">
        <f t="shared" si="34"/>
        <v>73149.06663688118</v>
      </c>
      <c r="W44" s="157">
        <f t="shared" si="35"/>
        <v>0.77800000000000002</v>
      </c>
      <c r="X44" s="149">
        <f t="shared" si="36"/>
        <v>134423.43275602238</v>
      </c>
      <c r="Y44" s="157">
        <f t="shared" si="37"/>
        <v>0.77800000000000002</v>
      </c>
      <c r="Z44" s="50"/>
      <c r="AA44" s="50"/>
      <c r="AB44" s="60"/>
      <c r="AC44" s="60"/>
      <c r="AD44" s="60"/>
      <c r="AE44" s="60"/>
      <c r="AF44" s="60"/>
      <c r="AG44" s="60"/>
      <c r="AH44" s="60"/>
      <c r="AI44" s="1"/>
      <c r="AJ44" s="1"/>
      <c r="AK44" s="1"/>
    </row>
    <row r="45" spans="1:37" x14ac:dyDescent="0.2">
      <c r="A45" s="3"/>
      <c r="B45" s="3"/>
      <c r="C45" s="3"/>
      <c r="D45" s="3"/>
      <c r="E45" s="3"/>
      <c r="F45" s="3"/>
      <c r="G45" s="3"/>
      <c r="H45" s="155">
        <v>13</v>
      </c>
      <c r="I45" s="60">
        <v>2.1604000000000001</v>
      </c>
      <c r="J45" s="60">
        <v>3.81</v>
      </c>
      <c r="K45" s="60"/>
      <c r="L45" s="161"/>
      <c r="M45" s="3"/>
      <c r="N45" s="3"/>
      <c r="O45" s="156">
        <f t="shared" si="28"/>
        <v>-0.10402526764093542</v>
      </c>
      <c r="P45" s="208">
        <f t="shared" si="29"/>
        <v>0.13020518763787386</v>
      </c>
      <c r="Q45" s="156">
        <f t="shared" si="30"/>
        <v>4.9660593474640846</v>
      </c>
      <c r="R45" s="156">
        <f t="shared" si="31"/>
        <v>4.8358541598262104</v>
      </c>
      <c r="S45" s="156">
        <f t="shared" si="32"/>
        <v>5.0962645351019589</v>
      </c>
      <c r="T45" s="149">
        <f t="shared" si="33"/>
        <v>92482.454496932856</v>
      </c>
      <c r="U45" s="157">
        <f t="shared" si="38"/>
        <v>0.78700000000000003</v>
      </c>
      <c r="V45" s="149">
        <f t="shared" si="34"/>
        <v>68525.807170191561</v>
      </c>
      <c r="W45" s="157">
        <f t="shared" si="35"/>
        <v>0.78700000000000003</v>
      </c>
      <c r="X45" s="149">
        <f t="shared" si="36"/>
        <v>124814.35451807112</v>
      </c>
      <c r="Y45" s="157">
        <f t="shared" si="37"/>
        <v>0.78700000000000003</v>
      </c>
      <c r="Z45" s="50"/>
      <c r="AA45" s="50"/>
      <c r="AB45" s="60"/>
      <c r="AC45" s="60"/>
      <c r="AD45" s="60"/>
      <c r="AE45" s="60"/>
      <c r="AF45" s="60"/>
      <c r="AG45" s="60"/>
      <c r="AH45" s="60"/>
      <c r="AI45" s="1"/>
      <c r="AJ45" s="1"/>
      <c r="AK45" s="1"/>
    </row>
    <row r="46" spans="1:37" x14ac:dyDescent="0.2">
      <c r="A46" s="3"/>
      <c r="B46" s="3"/>
      <c r="C46" s="3"/>
      <c r="D46" s="3"/>
      <c r="E46" s="3"/>
      <c r="F46" s="3"/>
      <c r="G46" s="3"/>
      <c r="H46" s="155">
        <v>14</v>
      </c>
      <c r="I46" s="60">
        <v>2.1448</v>
      </c>
      <c r="J46" s="60">
        <v>3.74</v>
      </c>
      <c r="K46" s="60"/>
      <c r="L46" s="161"/>
      <c r="M46" s="3"/>
      <c r="N46" s="3"/>
      <c r="O46" s="156">
        <f t="shared" si="28"/>
        <v>-9.9086932262330937E-2</v>
      </c>
      <c r="P46" s="208">
        <f t="shared" si="29"/>
        <v>0.12851905517498788</v>
      </c>
      <c r="Q46" s="156">
        <f t="shared" si="30"/>
        <v>4.9361211541511594</v>
      </c>
      <c r="R46" s="156">
        <f t="shared" si="31"/>
        <v>4.8076020989761714</v>
      </c>
      <c r="S46" s="156">
        <f t="shared" si="32"/>
        <v>5.0646402093261473</v>
      </c>
      <c r="T46" s="149">
        <f t="shared" si="33"/>
        <v>86321.932452710695</v>
      </c>
      <c r="U46" s="157">
        <f t="shared" si="38"/>
        <v>0.79600000000000004</v>
      </c>
      <c r="V46" s="149">
        <f t="shared" si="34"/>
        <v>64209.915587106043</v>
      </c>
      <c r="W46" s="157">
        <f t="shared" si="35"/>
        <v>0.79600000000000004</v>
      </c>
      <c r="X46" s="149">
        <f t="shared" si="36"/>
        <v>116048.68117700286</v>
      </c>
      <c r="Y46" s="157">
        <f t="shared" si="37"/>
        <v>0.79600000000000004</v>
      </c>
      <c r="Z46" s="3"/>
      <c r="AA46" s="3"/>
      <c r="AB46" s="60"/>
      <c r="AC46" s="60"/>
      <c r="AD46" s="60"/>
      <c r="AE46" s="60"/>
      <c r="AF46" s="60"/>
      <c r="AG46" s="60"/>
      <c r="AH46" s="60"/>
      <c r="AI46" s="1"/>
      <c r="AJ46" s="1"/>
      <c r="AK46" s="1"/>
    </row>
    <row r="47" spans="1:37" x14ac:dyDescent="0.2">
      <c r="A47" s="3"/>
      <c r="B47" s="3"/>
      <c r="C47" s="3"/>
      <c r="D47" s="3"/>
      <c r="E47" s="3"/>
      <c r="F47" s="3"/>
      <c r="G47" s="3"/>
      <c r="H47" s="155">
        <v>15</v>
      </c>
      <c r="I47" s="60">
        <v>2.1315</v>
      </c>
      <c r="J47" s="60">
        <v>3.68</v>
      </c>
      <c r="K47" s="60"/>
      <c r="L47" s="161"/>
      <c r="M47" s="3"/>
      <c r="N47" s="3"/>
      <c r="O47" s="156">
        <f t="shared" si="28"/>
        <v>-9.4204119632131461E-2</v>
      </c>
      <c r="P47" s="208">
        <f t="shared" si="29"/>
        <v>0.12707536689427229</v>
      </c>
      <c r="Q47" s="156">
        <f t="shared" si="30"/>
        <v>4.9065195622732478</v>
      </c>
      <c r="R47" s="156">
        <f t="shared" si="31"/>
        <v>4.7794441953789759</v>
      </c>
      <c r="S47" s="156">
        <f t="shared" si="32"/>
        <v>5.0335949291675197</v>
      </c>
      <c r="T47" s="149">
        <f t="shared" si="33"/>
        <v>80634.252126699255</v>
      </c>
      <c r="U47" s="157">
        <f t="shared" si="38"/>
        <v>0.80500000000000005</v>
      </c>
      <c r="V47" s="149">
        <f t="shared" si="34"/>
        <v>60178.893112971185</v>
      </c>
      <c r="W47" s="157">
        <f t="shared" si="35"/>
        <v>0.80500000000000005</v>
      </c>
      <c r="X47" s="149">
        <f t="shared" si="36"/>
        <v>108042.5757221293</v>
      </c>
      <c r="Y47" s="157">
        <f t="shared" si="37"/>
        <v>0.80500000000000005</v>
      </c>
      <c r="Z47" s="50"/>
      <c r="AA47" s="3"/>
      <c r="AB47" s="60"/>
      <c r="AC47" s="60"/>
      <c r="AD47" s="60"/>
      <c r="AE47" s="60"/>
      <c r="AF47" s="60"/>
      <c r="AG47" s="60"/>
      <c r="AH47" s="60"/>
      <c r="AI47" s="1"/>
      <c r="AJ47" s="1"/>
      <c r="AK47" s="1"/>
    </row>
    <row r="48" spans="1:37" x14ac:dyDescent="0.2">
      <c r="A48" s="3"/>
      <c r="B48" s="3"/>
      <c r="C48" s="3"/>
      <c r="D48" s="3"/>
      <c r="E48" s="3"/>
      <c r="F48" s="3"/>
      <c r="G48" s="3"/>
      <c r="H48" s="155">
        <v>16</v>
      </c>
      <c r="I48" s="60">
        <v>2.1198999999999999</v>
      </c>
      <c r="J48" s="60">
        <v>3.63</v>
      </c>
      <c r="K48" s="60"/>
      <c r="L48" s="161"/>
      <c r="M48" s="3"/>
      <c r="N48" s="3"/>
      <c r="O48" s="156">
        <f t="shared" si="28"/>
        <v>-8.9375595110798733E-2</v>
      </c>
      <c r="P48" s="208">
        <f t="shared" si="29"/>
        <v>0.12587378724273632</v>
      </c>
      <c r="Q48" s="156">
        <f t="shared" si="30"/>
        <v>4.8772470869443847</v>
      </c>
      <c r="R48" s="156">
        <f t="shared" si="31"/>
        <v>4.7513732997016485</v>
      </c>
      <c r="S48" s="156">
        <f t="shared" si="32"/>
        <v>5.0031208741871209</v>
      </c>
      <c r="T48" s="149">
        <f t="shared" si="33"/>
        <v>75378.429883037927</v>
      </c>
      <c r="U48" s="157">
        <f t="shared" si="38"/>
        <v>0.81400000000000006</v>
      </c>
      <c r="V48" s="149">
        <f t="shared" si="34"/>
        <v>56412.234128947894</v>
      </c>
      <c r="W48" s="157">
        <f t="shared" si="35"/>
        <v>0.81400000000000006</v>
      </c>
      <c r="X48" s="149">
        <f t="shared" si="36"/>
        <v>100721.19602007393</v>
      </c>
      <c r="Y48" s="157">
        <f t="shared" si="37"/>
        <v>0.81400000000000006</v>
      </c>
      <c r="Z48" s="50"/>
      <c r="AA48" s="3"/>
      <c r="AB48" s="60"/>
      <c r="AC48" s="60"/>
      <c r="AD48" s="60"/>
      <c r="AE48" s="60"/>
      <c r="AF48" s="60"/>
      <c r="AG48" s="60"/>
      <c r="AH48" s="60"/>
      <c r="AI48" s="1"/>
      <c r="AJ48" s="1"/>
      <c r="AK48" s="1"/>
    </row>
    <row r="49" spans="1:37" x14ac:dyDescent="0.2">
      <c r="A49" s="3"/>
      <c r="B49" s="3"/>
      <c r="C49" s="3"/>
      <c r="D49" s="3"/>
      <c r="E49" s="3"/>
      <c r="F49" s="3"/>
      <c r="G49" s="3"/>
      <c r="H49" s="155">
        <v>17</v>
      </c>
      <c r="I49" s="60">
        <v>2.1097999999999999</v>
      </c>
      <c r="J49" s="60">
        <v>3.59</v>
      </c>
      <c r="K49" s="60"/>
      <c r="L49" s="161"/>
      <c r="M49" s="3"/>
      <c r="N49" s="3"/>
      <c r="O49" s="156">
        <f t="shared" si="28"/>
        <v>-8.4600164787730123E-2</v>
      </c>
      <c r="P49" s="208">
        <f t="shared" si="29"/>
        <v>0.12491290748575305</v>
      </c>
      <c r="Q49" s="156">
        <f t="shared" si="30"/>
        <v>4.84829649019394</v>
      </c>
      <c r="R49" s="156">
        <f t="shared" si="31"/>
        <v>4.7233835827081867</v>
      </c>
      <c r="S49" s="156">
        <f t="shared" si="32"/>
        <v>4.9732093976796934</v>
      </c>
      <c r="T49" s="149">
        <f t="shared" si="33"/>
        <v>70517.43228831228</v>
      </c>
      <c r="U49" s="157">
        <f t="shared" si="38"/>
        <v>0.82300000000000006</v>
      </c>
      <c r="V49" s="149">
        <f t="shared" si="34"/>
        <v>52891.219762010282</v>
      </c>
      <c r="W49" s="157">
        <f t="shared" si="35"/>
        <v>0.82300000000000006</v>
      </c>
      <c r="X49" s="149">
        <f t="shared" si="36"/>
        <v>94017.651302275364</v>
      </c>
      <c r="Y49" s="157">
        <f t="shared" si="37"/>
        <v>0.82300000000000006</v>
      </c>
      <c r="Z49" s="50"/>
      <c r="AA49" s="3"/>
      <c r="AB49" s="60"/>
      <c r="AC49" s="60"/>
      <c r="AD49" s="60"/>
      <c r="AE49" s="60"/>
      <c r="AF49" s="60"/>
      <c r="AG49" s="60"/>
      <c r="AH49" s="60"/>
      <c r="AI49" s="1"/>
      <c r="AJ49" s="1"/>
      <c r="AK49" s="1"/>
    </row>
    <row r="50" spans="1:37" x14ac:dyDescent="0.2">
      <c r="A50" s="3"/>
      <c r="B50" s="3"/>
      <c r="C50" s="3"/>
      <c r="D50" s="3"/>
      <c r="E50" s="3"/>
      <c r="F50" s="3"/>
      <c r="G50" s="3"/>
      <c r="H50" s="155">
        <v>18</v>
      </c>
      <c r="I50" s="60">
        <v>2.1009000000000002</v>
      </c>
      <c r="J50" s="60">
        <v>3.55</v>
      </c>
      <c r="K50" s="60"/>
      <c r="L50" s="161"/>
      <c r="M50" s="3"/>
      <c r="N50" s="3"/>
      <c r="O50" s="156">
        <f t="shared" si="28"/>
        <v>-7.9876673709276022E-2</v>
      </c>
      <c r="P50" s="208">
        <f t="shared" si="29"/>
        <v>0.12419020387926712</v>
      </c>
      <c r="Q50" s="156">
        <f t="shared" si="30"/>
        <v>4.8196607702241483</v>
      </c>
      <c r="R50" s="156">
        <f t="shared" si="31"/>
        <v>4.6954705663448815</v>
      </c>
      <c r="S50" s="156">
        <f t="shared" si="32"/>
        <v>4.9438509741034151</v>
      </c>
      <c r="T50" s="149">
        <f t="shared" si="33"/>
        <v>66017.757827166512</v>
      </c>
      <c r="U50" s="157">
        <f t="shared" si="38"/>
        <v>0.83200000000000007</v>
      </c>
      <c r="V50" s="149">
        <f t="shared" si="34"/>
        <v>49598.731146302773</v>
      </c>
      <c r="W50" s="157">
        <f t="shared" si="35"/>
        <v>0.83200000000000007</v>
      </c>
      <c r="X50" s="149">
        <f t="shared" si="36"/>
        <v>87872.093656397672</v>
      </c>
      <c r="Y50" s="157">
        <f t="shared" si="37"/>
        <v>0.83200000000000007</v>
      </c>
      <c r="Z50" s="50"/>
      <c r="AA50" s="3"/>
      <c r="AB50" s="60"/>
      <c r="AC50" s="60"/>
      <c r="AD50" s="60"/>
      <c r="AE50" s="60"/>
      <c r="AF50" s="60"/>
      <c r="AG50" s="60"/>
      <c r="AH50" s="60"/>
      <c r="AI50" s="1"/>
      <c r="AJ50" s="1"/>
      <c r="AK50" s="1"/>
    </row>
    <row r="51" spans="1:37" x14ac:dyDescent="0.2">
      <c r="A51" s="3"/>
      <c r="B51" s="3"/>
      <c r="C51" s="3"/>
      <c r="D51" s="3"/>
      <c r="E51" s="3"/>
      <c r="F51" s="3"/>
      <c r="G51" s="3"/>
      <c r="H51" s="155">
        <v>19</v>
      </c>
      <c r="I51" s="60">
        <v>2.093</v>
      </c>
      <c r="J51" s="60">
        <v>3.52</v>
      </c>
      <c r="K51" s="60"/>
      <c r="L51" s="161"/>
      <c r="M51" s="3"/>
      <c r="N51" s="3"/>
      <c r="O51" s="156">
        <f t="shared" si="28"/>
        <v>-7.5204004202087837E-2</v>
      </c>
      <c r="P51" s="208">
        <f t="shared" si="29"/>
        <v>0.12370202681446069</v>
      </c>
      <c r="Q51" s="156">
        <f t="shared" si="30"/>
        <v>4.7913331512455564</v>
      </c>
      <c r="R51" s="156">
        <f t="shared" si="31"/>
        <v>4.6676311244310957</v>
      </c>
      <c r="S51" s="156">
        <f t="shared" si="32"/>
        <v>4.915035178060017</v>
      </c>
      <c r="T51" s="149">
        <f t="shared" si="33"/>
        <v>61849.066802214715</v>
      </c>
      <c r="U51" s="157">
        <f t="shared" si="38"/>
        <v>0.84099999999999997</v>
      </c>
      <c r="V51" s="149">
        <f t="shared" si="34"/>
        <v>46519.080777486153</v>
      </c>
      <c r="W51" s="157">
        <f t="shared" si="35"/>
        <v>0.84099999999999997</v>
      </c>
      <c r="X51" s="149">
        <f t="shared" si="36"/>
        <v>82230.925469106704</v>
      </c>
      <c r="Y51" s="157">
        <f t="shared" si="37"/>
        <v>0.84099999999999997</v>
      </c>
      <c r="Z51" s="50"/>
      <c r="AA51" s="3"/>
      <c r="AB51" s="60"/>
      <c r="AC51" s="60"/>
      <c r="AD51" s="60"/>
      <c r="AE51" s="60"/>
      <c r="AF51" s="60"/>
      <c r="AG51" s="60"/>
      <c r="AH51" s="60"/>
      <c r="AI51" s="1"/>
      <c r="AJ51" s="1"/>
      <c r="AK51" s="1"/>
    </row>
    <row r="52" spans="1:37" x14ac:dyDescent="0.2">
      <c r="A52" s="3"/>
      <c r="B52" s="3"/>
      <c r="C52" s="3"/>
      <c r="D52" s="3"/>
      <c r="E52" s="3"/>
      <c r="F52" s="3"/>
      <c r="G52" s="3"/>
      <c r="H52" s="155">
        <v>20</v>
      </c>
      <c r="I52" s="60">
        <v>2.0859999999999999</v>
      </c>
      <c r="J52" s="60">
        <v>3.49</v>
      </c>
      <c r="K52" s="60"/>
      <c r="L52" s="161"/>
      <c r="M52" s="3"/>
      <c r="N52" s="3"/>
      <c r="O52" s="156">
        <f t="shared" si="28"/>
        <v>-7.0581074285707215E-2</v>
      </c>
      <c r="P52" s="208">
        <f t="shared" si="29"/>
        <v>0.12344362219956476</v>
      </c>
      <c r="Q52" s="156">
        <f t="shared" si="30"/>
        <v>4.7633070738534986</v>
      </c>
      <c r="R52" s="156">
        <f t="shared" si="31"/>
        <v>4.6398634516539339</v>
      </c>
      <c r="S52" s="156">
        <f t="shared" si="32"/>
        <v>4.8867506960530633</v>
      </c>
      <c r="T52" s="149">
        <f t="shared" si="33"/>
        <v>57983.853428549119</v>
      </c>
      <c r="U52" s="157">
        <f t="shared" si="38"/>
        <v>0.85000000000000009</v>
      </c>
      <c r="V52" s="149">
        <f t="shared" si="34"/>
        <v>43637.860704394705</v>
      </c>
      <c r="W52" s="157">
        <f t="shared" si="35"/>
        <v>0.85000000000000009</v>
      </c>
      <c r="X52" s="149">
        <f t="shared" si="36"/>
        <v>77046.106389098932</v>
      </c>
      <c r="Y52" s="157">
        <f t="shared" si="37"/>
        <v>0.85000000000000009</v>
      </c>
      <c r="Z52" s="50"/>
      <c r="AA52" s="3"/>
      <c r="AB52" s="60"/>
      <c r="AC52" s="60"/>
      <c r="AD52" s="60"/>
      <c r="AE52" s="60"/>
      <c r="AF52" s="60"/>
      <c r="AG52" s="60"/>
      <c r="AH52" s="60"/>
      <c r="AI52" s="1"/>
      <c r="AJ52" s="1"/>
      <c r="AK52" s="1"/>
    </row>
    <row r="53" spans="1:37" x14ac:dyDescent="0.2">
      <c r="A53" s="3"/>
      <c r="B53" s="3"/>
      <c r="C53" s="3"/>
      <c r="D53" s="3"/>
      <c r="E53" s="3"/>
      <c r="F53" s="3"/>
      <c r="G53" s="3"/>
      <c r="H53" s="155">
        <v>21</v>
      </c>
      <c r="I53" s="60">
        <v>2.0796000000000001</v>
      </c>
      <c r="J53" s="60">
        <v>3.47</v>
      </c>
      <c r="K53" s="60"/>
      <c r="L53" s="161"/>
      <c r="M53" s="3"/>
      <c r="N53" s="3"/>
      <c r="O53" s="156">
        <f t="shared" si="28"/>
        <v>-6.6006836168757702E-2</v>
      </c>
      <c r="P53" s="208">
        <f t="shared" si="29"/>
        <v>0.12340918434070887</v>
      </c>
      <c r="Q53" s="156">
        <f t="shared" si="30"/>
        <v>4.7355761859114001</v>
      </c>
      <c r="R53" s="156">
        <f t="shared" si="31"/>
        <v>4.6121670015706915</v>
      </c>
      <c r="S53" s="156">
        <f t="shared" si="32"/>
        <v>4.8589853702521086</v>
      </c>
      <c r="T53" s="149">
        <f t="shared" si="33"/>
        <v>54397.154931179473</v>
      </c>
      <c r="U53" s="157">
        <f t="shared" si="38"/>
        <v>0.85899999999999987</v>
      </c>
      <c r="V53" s="149">
        <f t="shared" si="34"/>
        <v>40941.806517374018</v>
      </c>
      <c r="W53" s="157">
        <f t="shared" si="35"/>
        <v>0.85899999999999987</v>
      </c>
      <c r="X53" s="149">
        <f t="shared" si="36"/>
        <v>72274.545661561089</v>
      </c>
      <c r="Y53" s="157">
        <f t="shared" si="37"/>
        <v>0.85899999999999987</v>
      </c>
      <c r="Z53" s="50"/>
      <c r="AA53" s="3"/>
      <c r="AB53" s="60"/>
      <c r="AC53" s="60"/>
      <c r="AD53" s="60"/>
      <c r="AE53" s="60"/>
      <c r="AF53" s="60"/>
      <c r="AG53" s="60"/>
      <c r="AH53" s="60"/>
      <c r="AI53" s="1"/>
      <c r="AJ53" s="1"/>
      <c r="AK53" s="1"/>
    </row>
    <row r="54" spans="1:37" x14ac:dyDescent="0.2">
      <c r="A54" s="3"/>
      <c r="B54" s="3"/>
      <c r="C54" s="3"/>
      <c r="D54" s="3"/>
      <c r="E54" s="3"/>
      <c r="F54" s="3"/>
      <c r="G54" s="3"/>
      <c r="H54" s="155">
        <v>22</v>
      </c>
      <c r="I54" s="60">
        <v>2.0739000000000001</v>
      </c>
      <c r="J54" s="60">
        <v>3.44</v>
      </c>
      <c r="K54" s="60"/>
      <c r="L54" s="161"/>
      <c r="M54" s="3"/>
      <c r="N54" s="3"/>
      <c r="O54" s="156">
        <f t="shared" si="28"/>
        <v>-6.1480274823508048E-2</v>
      </c>
      <c r="P54" s="208">
        <f t="shared" si="29"/>
        <v>0.1235919376261571</v>
      </c>
      <c r="Q54" s="156">
        <f t="shared" si="30"/>
        <v>4.7081343339091992</v>
      </c>
      <c r="R54" s="156">
        <f t="shared" si="31"/>
        <v>4.5845423962830418</v>
      </c>
      <c r="S54" s="156">
        <f t="shared" si="32"/>
        <v>4.8317262715353566</v>
      </c>
      <c r="T54" s="149">
        <f t="shared" si="33"/>
        <v>51066.293138461282</v>
      </c>
      <c r="U54" s="157">
        <f t="shared" si="38"/>
        <v>0.8680000000000001</v>
      </c>
      <c r="V54" s="149">
        <f t="shared" si="34"/>
        <v>38418.676206304575</v>
      </c>
      <c r="W54" s="157">
        <f t="shared" si="35"/>
        <v>0.8680000000000001</v>
      </c>
      <c r="X54" s="149">
        <f t="shared" si="36"/>
        <v>67877.567693894627</v>
      </c>
      <c r="Y54" s="157">
        <f t="shared" si="37"/>
        <v>0.8680000000000001</v>
      </c>
      <c r="Z54" s="50"/>
      <c r="AA54" s="190"/>
      <c r="AB54" s="60"/>
      <c r="AC54" s="60"/>
      <c r="AD54" s="60"/>
      <c r="AE54" s="60"/>
      <c r="AF54" s="60"/>
      <c r="AG54" s="60"/>
      <c r="AH54" s="60"/>
      <c r="AI54" s="1"/>
      <c r="AJ54" s="1"/>
      <c r="AK54" s="1"/>
    </row>
    <row r="55" spans="1:37" x14ac:dyDescent="0.2">
      <c r="A55" s="3"/>
      <c r="B55" s="3"/>
      <c r="C55" s="3"/>
      <c r="D55" s="3"/>
      <c r="E55" s="3"/>
      <c r="F55" s="3"/>
      <c r="G55" s="3"/>
      <c r="H55" s="155">
        <v>23</v>
      </c>
      <c r="I55" s="60">
        <v>2.069</v>
      </c>
      <c r="J55" s="60">
        <v>3.42</v>
      </c>
      <c r="K55" s="60"/>
      <c r="L55" s="161"/>
      <c r="M55" s="3"/>
      <c r="N55" s="3"/>
      <c r="O55" s="156">
        <f t="shared" si="28"/>
        <v>-5.7000406633959479E-2</v>
      </c>
      <c r="P55" s="208">
        <f t="shared" si="29"/>
        <v>0.12398424262177205</v>
      </c>
      <c r="Q55" s="156">
        <f t="shared" si="30"/>
        <v>4.6809755547675067</v>
      </c>
      <c r="R55" s="156">
        <f t="shared" si="31"/>
        <v>4.5569913121457351</v>
      </c>
      <c r="S55" s="156">
        <f t="shared" si="32"/>
        <v>4.8049597973892784</v>
      </c>
      <c r="T55" s="149">
        <f t="shared" si="33"/>
        <v>47970.644653066287</v>
      </c>
      <c r="U55" s="157">
        <f t="shared" si="38"/>
        <v>0.877</v>
      </c>
      <c r="V55" s="149">
        <f t="shared" si="34"/>
        <v>36057.14298897735</v>
      </c>
      <c r="W55" s="157">
        <f t="shared" si="35"/>
        <v>0.877</v>
      </c>
      <c r="X55" s="149">
        <f t="shared" si="36"/>
        <v>63820.440491755762</v>
      </c>
      <c r="Y55" s="157">
        <f t="shared" si="37"/>
        <v>0.877</v>
      </c>
      <c r="Z55" s="3"/>
      <c r="AA55" s="3"/>
      <c r="AB55" s="60"/>
      <c r="AC55" s="60"/>
      <c r="AD55" s="60"/>
      <c r="AE55" s="60"/>
      <c r="AF55" s="60"/>
      <c r="AG55" s="60"/>
      <c r="AH55" s="60"/>
      <c r="AI55" s="1"/>
      <c r="AJ55" s="1"/>
      <c r="AK55" s="1"/>
    </row>
    <row r="56" spans="1:37" x14ac:dyDescent="0.2">
      <c r="A56" s="3"/>
      <c r="B56" s="3"/>
      <c r="C56" s="3"/>
      <c r="D56" s="3"/>
      <c r="E56" s="3"/>
      <c r="F56" s="3"/>
      <c r="G56" s="3"/>
      <c r="H56" s="155">
        <v>24</v>
      </c>
      <c r="I56" s="60">
        <v>2.0640000000000001</v>
      </c>
      <c r="J56" s="60">
        <v>3.4</v>
      </c>
      <c r="K56" s="60"/>
      <c r="L56" s="161"/>
      <c r="M56" s="3"/>
      <c r="N56" s="3"/>
      <c r="O56" s="156">
        <f t="shared" si="28"/>
        <v>-5.2566278112949241E-2</v>
      </c>
      <c r="P56" s="208">
        <f t="shared" si="29"/>
        <v>0.1245777209249059</v>
      </c>
      <c r="Q56" s="156">
        <f t="shared" si="30"/>
        <v>4.6540940680601643</v>
      </c>
      <c r="R56" s="156">
        <f t="shared" si="31"/>
        <v>4.5295163471352584</v>
      </c>
      <c r="S56" s="156">
        <f t="shared" si="32"/>
        <v>4.7786717889850703</v>
      </c>
      <c r="T56" s="149">
        <f t="shared" si="33"/>
        <v>45091.436188620217</v>
      </c>
      <c r="U56" s="157">
        <f t="shared" si="38"/>
        <v>0.8859999999999999</v>
      </c>
      <c r="V56" s="149">
        <f t="shared" si="34"/>
        <v>33846.701175162038</v>
      </c>
      <c r="W56" s="157">
        <f t="shared" si="35"/>
        <v>0.8859999999999999</v>
      </c>
      <c r="X56" s="149">
        <f t="shared" si="36"/>
        <v>60071.958180801113</v>
      </c>
      <c r="Y56" s="157">
        <f t="shared" si="37"/>
        <v>0.8859999999999999</v>
      </c>
      <c r="Z56" s="3"/>
      <c r="AA56" s="3"/>
      <c r="AB56" s="60"/>
      <c r="AC56" s="60"/>
      <c r="AD56" s="60"/>
      <c r="AE56" s="60"/>
      <c r="AF56" s="60"/>
      <c r="AG56" s="60"/>
      <c r="AH56" s="60"/>
      <c r="AI56" s="1"/>
      <c r="AJ56" s="1"/>
      <c r="AK56" s="1"/>
    </row>
    <row r="57" spans="1:37" x14ac:dyDescent="0.2">
      <c r="A57" s="3"/>
      <c r="B57" s="3"/>
      <c r="C57" s="3"/>
      <c r="D57" s="3"/>
      <c r="E57" s="3"/>
      <c r="F57" s="3"/>
      <c r="G57" s="3"/>
      <c r="H57" s="155">
        <v>25</v>
      </c>
      <c r="I57" s="60">
        <v>2.06</v>
      </c>
      <c r="J57" s="60">
        <v>3.39</v>
      </c>
      <c r="K57" s="60"/>
      <c r="L57" s="161"/>
      <c r="M57" s="3"/>
      <c r="N57" s="3"/>
      <c r="O57" s="156">
        <f t="shared" si="28"/>
        <v>-4.8176964684088018E-2</v>
      </c>
      <c r="P57" s="208">
        <f t="shared" si="29"/>
        <v>0.12536339240565678</v>
      </c>
      <c r="Q57" s="156">
        <f t="shared" si="30"/>
        <v>4.6274842686298552</v>
      </c>
      <c r="R57" s="156">
        <f t="shared" si="31"/>
        <v>4.5021208762241987</v>
      </c>
      <c r="S57" s="156">
        <f t="shared" si="32"/>
        <v>4.7528476610355117</v>
      </c>
      <c r="T57" s="149">
        <f t="shared" si="33"/>
        <v>42411.562096913178</v>
      </c>
      <c r="U57" s="157">
        <f t="shared" si="38"/>
        <v>0.89500000000000002</v>
      </c>
      <c r="V57" s="149">
        <f t="shared" si="34"/>
        <v>31777.584060569727</v>
      </c>
      <c r="W57" s="157">
        <f t="shared" si="35"/>
        <v>0.89500000000000002</v>
      </c>
      <c r="X57" s="149">
        <f t="shared" si="36"/>
        <v>56604.070217290042</v>
      </c>
      <c r="Y57" s="157">
        <f t="shared" si="37"/>
        <v>0.89500000000000002</v>
      </c>
      <c r="Z57" s="3"/>
      <c r="AA57" s="3"/>
      <c r="AB57" s="60"/>
      <c r="AC57" s="60"/>
      <c r="AD57" s="60"/>
      <c r="AE57" s="60"/>
      <c r="AF57" s="60"/>
      <c r="AG57" s="60"/>
      <c r="AH57" s="60"/>
      <c r="AI57" s="1"/>
      <c r="AJ57" s="1"/>
      <c r="AK57" s="1"/>
    </row>
    <row r="58" spans="1:37" x14ac:dyDescent="0.2">
      <c r="A58" s="3"/>
      <c r="B58" s="3"/>
      <c r="C58" s="3"/>
      <c r="D58" s="3"/>
      <c r="E58" s="3"/>
      <c r="F58" s="3"/>
      <c r="G58" s="3"/>
      <c r="H58" s="155">
        <v>26</v>
      </c>
      <c r="I58" s="60">
        <v>2.056</v>
      </c>
      <c r="J58" s="60">
        <v>3.37</v>
      </c>
      <c r="K58" s="60"/>
      <c r="L58" s="161"/>
      <c r="M58" s="3"/>
      <c r="N58" s="3"/>
      <c r="O58" s="156">
        <f t="shared" si="28"/>
        <v>-4.3831569524636682E-2</v>
      </c>
      <c r="P58" s="208">
        <f t="shared" si="29"/>
        <v>0.12633181831467238</v>
      </c>
      <c r="Q58" s="156">
        <f t="shared" si="30"/>
        <v>4.6011407195731557</v>
      </c>
      <c r="R58" s="156">
        <f t="shared" si="31"/>
        <v>4.4748089012584833</v>
      </c>
      <c r="S58" s="156">
        <f t="shared" si="32"/>
        <v>4.7274725378878282</v>
      </c>
      <c r="T58" s="149">
        <f t="shared" si="33"/>
        <v>39915.421487747168</v>
      </c>
      <c r="U58" s="157">
        <f t="shared" si="38"/>
        <v>0.90400000000000003</v>
      </c>
      <c r="V58" s="149">
        <f t="shared" si="34"/>
        <v>29840.692765041309</v>
      </c>
      <c r="W58" s="157">
        <f t="shared" si="35"/>
        <v>0.90400000000000003</v>
      </c>
      <c r="X58" s="149">
        <f t="shared" si="36"/>
        <v>53391.551097332755</v>
      </c>
      <c r="Y58" s="157">
        <f t="shared" si="37"/>
        <v>0.90400000000000003</v>
      </c>
      <c r="Z58" s="3"/>
      <c r="AA58" s="191"/>
      <c r="AB58" s="60"/>
      <c r="AC58" s="60"/>
      <c r="AD58" s="60"/>
      <c r="AE58" s="60"/>
      <c r="AF58" s="60"/>
      <c r="AG58" s="60"/>
      <c r="AH58" s="60"/>
      <c r="AI58" s="1"/>
      <c r="AJ58" s="1"/>
      <c r="AK58" s="1"/>
    </row>
    <row r="59" spans="1:37" x14ac:dyDescent="0.2">
      <c r="A59" s="3"/>
      <c r="B59" s="3"/>
      <c r="C59" s="3"/>
      <c r="D59" s="3"/>
      <c r="E59" s="3"/>
      <c r="F59" s="3"/>
      <c r="G59" s="3"/>
      <c r="H59" s="155">
        <v>27</v>
      </c>
      <c r="I59" s="60">
        <v>2.052</v>
      </c>
      <c r="J59" s="60">
        <v>3.35</v>
      </c>
      <c r="K59" s="60"/>
      <c r="L59" s="161"/>
      <c r="M59" s="3"/>
      <c r="N59" s="3"/>
      <c r="O59" s="156">
        <f t="shared" si="28"/>
        <v>-3.9529222465701036E-2</v>
      </c>
      <c r="P59" s="208">
        <f t="shared" si="29"/>
        <v>0.12747324410571748</v>
      </c>
      <c r="Q59" s="156">
        <f t="shared" si="30"/>
        <v>4.5750581455730668</v>
      </c>
      <c r="R59" s="156">
        <f t="shared" si="31"/>
        <v>4.4475849014673496</v>
      </c>
      <c r="S59" s="156">
        <f t="shared" si="32"/>
        <v>4.7025313896787839</v>
      </c>
      <c r="T59" s="149">
        <f t="shared" si="33"/>
        <v>37588.772669672471</v>
      </c>
      <c r="U59" s="157">
        <f t="shared" si="38"/>
        <v>0.91299999999999992</v>
      </c>
      <c r="V59" s="149">
        <f t="shared" si="34"/>
        <v>28027.534863887544</v>
      </c>
      <c r="W59" s="157">
        <f t="shared" si="35"/>
        <v>0.91299999999999992</v>
      </c>
      <c r="X59" s="149">
        <f t="shared" si="36"/>
        <v>50411.70540591528</v>
      </c>
      <c r="Y59" s="157">
        <f t="shared" si="37"/>
        <v>0.91299999999999992</v>
      </c>
      <c r="Z59" s="3"/>
      <c r="AA59" s="191"/>
      <c r="AB59" s="60"/>
      <c r="AC59" s="60"/>
      <c r="AD59" s="60"/>
      <c r="AE59" s="60"/>
      <c r="AF59" s="60"/>
      <c r="AG59" s="60"/>
      <c r="AH59" s="60"/>
      <c r="AI59" s="1"/>
      <c r="AJ59" s="1"/>
      <c r="AK59" s="1"/>
    </row>
    <row r="60" spans="1:37" x14ac:dyDescent="0.2">
      <c r="A60" s="3"/>
      <c r="B60" s="3"/>
      <c r="C60" s="3"/>
      <c r="D60" s="3"/>
      <c r="E60" s="3"/>
      <c r="F60" s="3"/>
      <c r="G60" s="3"/>
      <c r="H60" s="155">
        <v>28</v>
      </c>
      <c r="I60" s="60">
        <v>2.048</v>
      </c>
      <c r="J60" s="60">
        <v>3.34</v>
      </c>
      <c r="K60" s="60"/>
      <c r="L60" s="161"/>
      <c r="M60" s="3"/>
      <c r="N60" s="3"/>
      <c r="O60" s="156">
        <f t="shared" si="28"/>
        <v>-3.5269078946370637E-2</v>
      </c>
      <c r="P60" s="208">
        <f t="shared" si="29"/>
        <v>0.12877773660162797</v>
      </c>
      <c r="Q60" s="156">
        <f t="shared" si="30"/>
        <v>4.5492314265585803</v>
      </c>
      <c r="R60" s="156">
        <f t="shared" si="31"/>
        <v>4.4204536899569522</v>
      </c>
      <c r="S60" s="156">
        <f t="shared" si="32"/>
        <v>4.6780091631602083</v>
      </c>
      <c r="T60" s="149">
        <f t="shared" si="33"/>
        <v>35418.602922383885</v>
      </c>
      <c r="U60" s="157">
        <f t="shared" si="38"/>
        <v>0.92199999999999993</v>
      </c>
      <c r="V60" s="149">
        <f t="shared" si="34"/>
        <v>26330.171626741354</v>
      </c>
      <c r="W60" s="157">
        <f t="shared" si="35"/>
        <v>0.92199999999999993</v>
      </c>
      <c r="X60" s="149">
        <f t="shared" si="36"/>
        <v>47644.103910793739</v>
      </c>
      <c r="Y60" s="157">
        <f t="shared" si="37"/>
        <v>0.92199999999999993</v>
      </c>
      <c r="Z60" s="3"/>
      <c r="AA60" s="3"/>
      <c r="AB60" s="60"/>
      <c r="AC60" s="60"/>
      <c r="AD60" s="60"/>
      <c r="AE60" s="60"/>
      <c r="AF60" s="60"/>
      <c r="AG60" s="60"/>
      <c r="AH60" s="60"/>
      <c r="AI60" s="1"/>
      <c r="AJ60" s="1"/>
      <c r="AK60" s="1"/>
    </row>
    <row r="61" spans="1:37" x14ac:dyDescent="0.2">
      <c r="A61" s="3"/>
      <c r="B61" s="3"/>
      <c r="C61" s="3"/>
      <c r="D61" s="3"/>
      <c r="E61" s="3"/>
      <c r="F61" s="3"/>
      <c r="G61" s="3"/>
      <c r="H61" s="155">
        <v>29</v>
      </c>
      <c r="I61" s="60">
        <v>2.0449999999999999</v>
      </c>
      <c r="J61" s="60">
        <v>3.33</v>
      </c>
      <c r="K61" s="60"/>
      <c r="L61" s="161"/>
      <c r="M61" s="3"/>
      <c r="N61" s="3"/>
      <c r="O61" s="156">
        <f t="shared" si="28"/>
        <v>-3.1050319018657353E-2</v>
      </c>
      <c r="P61" s="208">
        <f t="shared" si="29"/>
        <v>0.13023531118449358</v>
      </c>
      <c r="Q61" s="156">
        <f t="shared" si="30"/>
        <v>4.5236555916722123</v>
      </c>
      <c r="R61" s="156">
        <f t="shared" si="31"/>
        <v>4.3934202804877192</v>
      </c>
      <c r="S61" s="156">
        <f t="shared" si="32"/>
        <v>4.6538909028567055</v>
      </c>
      <c r="T61" s="149">
        <f t="shared" si="33"/>
        <v>33393.011856596211</v>
      </c>
      <c r="U61" s="157">
        <f t="shared" si="38"/>
        <v>0.93099999999999994</v>
      </c>
      <c r="V61" s="149">
        <f t="shared" si="34"/>
        <v>24741.172683066277</v>
      </c>
      <c r="W61" s="157">
        <f t="shared" si="35"/>
        <v>0.93099999999999994</v>
      </c>
      <c r="X61" s="149">
        <f t="shared" si="36"/>
        <v>45070.347114871547</v>
      </c>
      <c r="Y61" s="157">
        <f t="shared" si="37"/>
        <v>0.93099999999999994</v>
      </c>
      <c r="Z61" s="3"/>
      <c r="AA61" s="3"/>
      <c r="AB61" s="60"/>
      <c r="AC61" s="60"/>
      <c r="AD61" s="60"/>
      <c r="AE61" s="60"/>
      <c r="AF61" s="60"/>
      <c r="AG61" s="60"/>
      <c r="AH61" s="60"/>
      <c r="AI61" s="1"/>
      <c r="AJ61" s="1"/>
      <c r="AK61" s="1"/>
    </row>
    <row r="62" spans="1:37" x14ac:dyDescent="0.2">
      <c r="A62" s="3"/>
      <c r="B62" s="3"/>
      <c r="C62" s="3"/>
      <c r="D62" s="3"/>
      <c r="E62" s="3"/>
      <c r="F62" s="3"/>
      <c r="G62" s="3"/>
      <c r="H62" s="155">
        <v>30</v>
      </c>
      <c r="I62" s="60">
        <v>2.0419999999999998</v>
      </c>
      <c r="J62" s="60">
        <v>3.32</v>
      </c>
      <c r="K62" s="60"/>
      <c r="L62" s="161"/>
      <c r="M62" s="3"/>
      <c r="N62" s="3"/>
      <c r="O62" s="156">
        <f t="shared" si="28"/>
        <v>-2.6872146400301312E-2</v>
      </c>
      <c r="P62" s="208">
        <f t="shared" si="29"/>
        <v>0.13183604586957773</v>
      </c>
      <c r="Q62" s="156">
        <f t="shared" si="30"/>
        <v>4.4983258135277273</v>
      </c>
      <c r="R62" s="156">
        <f t="shared" si="31"/>
        <v>4.36648976765815</v>
      </c>
      <c r="S62" s="156">
        <f t="shared" si="32"/>
        <v>4.6301618593973046</v>
      </c>
      <c r="T62" s="149">
        <f t="shared" si="33"/>
        <v>31501.106830079494</v>
      </c>
      <c r="U62" s="157">
        <f t="shared" si="38"/>
        <v>0.94000000000000006</v>
      </c>
      <c r="V62" s="149">
        <f t="shared" si="34"/>
        <v>23253.576978523899</v>
      </c>
      <c r="W62" s="157">
        <f t="shared" si="35"/>
        <v>0.94000000000000006</v>
      </c>
      <c r="X62" s="149">
        <f t="shared" si="36"/>
        <v>42673.853250041873</v>
      </c>
      <c r="Y62" s="157">
        <f t="shared" si="37"/>
        <v>0.94000000000000006</v>
      </c>
      <c r="Z62" s="3"/>
      <c r="AA62" s="148"/>
      <c r="AB62" s="60"/>
      <c r="AC62" s="60"/>
      <c r="AD62" s="60"/>
      <c r="AE62" s="60"/>
      <c r="AF62" s="60"/>
      <c r="AG62" s="60"/>
      <c r="AH62" s="60"/>
      <c r="AI62" s="1"/>
      <c r="AJ62" s="1"/>
      <c r="AK62" s="1"/>
    </row>
    <row r="63" spans="1:37" x14ac:dyDescent="0.2">
      <c r="A63" s="3"/>
      <c r="B63" s="3"/>
      <c r="C63" s="3"/>
      <c r="D63" s="3"/>
      <c r="E63" s="3"/>
      <c r="F63" s="3"/>
      <c r="G63" s="3"/>
      <c r="H63" s="155">
        <v>31</v>
      </c>
      <c r="I63" s="60">
        <v>2.0209999999999999</v>
      </c>
      <c r="J63" s="60">
        <v>3.23</v>
      </c>
      <c r="K63" s="60"/>
      <c r="L63" s="161"/>
      <c r="M63" s="3"/>
      <c r="N63" s="3"/>
      <c r="O63" s="156">
        <f t="shared" si="28"/>
        <v>-2.2733787572707352E-2</v>
      </c>
      <c r="P63" s="208">
        <f t="shared" si="29"/>
        <v>0.13357018029794673</v>
      </c>
      <c r="Q63" s="156">
        <f t="shared" si="30"/>
        <v>4.4732374027414661</v>
      </c>
      <c r="R63" s="156">
        <f t="shared" si="31"/>
        <v>4.3396672224435191</v>
      </c>
      <c r="S63" s="156">
        <f t="shared" si="32"/>
        <v>4.6068075830394131</v>
      </c>
      <c r="T63" s="149">
        <f t="shared" si="33"/>
        <v>29732.909073684012</v>
      </c>
      <c r="U63" s="157">
        <f t="shared" si="38"/>
        <v>0.94899999999999995</v>
      </c>
      <c r="V63" s="149">
        <f t="shared" si="34"/>
        <v>21860.85896672594</v>
      </c>
      <c r="W63" s="157">
        <f t="shared" si="35"/>
        <v>0.94899999999999995</v>
      </c>
      <c r="X63" s="149">
        <f t="shared" si="36"/>
        <v>40439.668145224823</v>
      </c>
      <c r="Y63" s="157">
        <f t="shared" si="37"/>
        <v>0.94899999999999995</v>
      </c>
      <c r="Z63" s="3"/>
      <c r="AA63" s="3"/>
      <c r="AB63" s="60"/>
      <c r="AC63" s="60"/>
      <c r="AD63" s="60"/>
      <c r="AE63" s="60"/>
      <c r="AF63" s="60"/>
      <c r="AG63" s="60"/>
      <c r="AH63" s="60"/>
      <c r="AI63" s="1"/>
      <c r="AJ63" s="1"/>
      <c r="AK63" s="1"/>
    </row>
    <row r="64" spans="1:37" x14ac:dyDescent="0.2">
      <c r="A64" s="3"/>
      <c r="B64" s="3"/>
      <c r="C64" s="3"/>
      <c r="D64" s="3"/>
      <c r="E64" s="3"/>
      <c r="F64" s="3"/>
      <c r="G64" s="3"/>
      <c r="H64" s="155">
        <v>40</v>
      </c>
      <c r="I64" s="60">
        <v>2.0209999999999999</v>
      </c>
      <c r="J64" s="60">
        <v>3.23</v>
      </c>
      <c r="K64" s="60"/>
      <c r="L64" s="161"/>
      <c r="M64" s="3"/>
      <c r="N64" s="3"/>
      <c r="O64" s="156">
        <f t="shared" si="28"/>
        <v>-1.8634490921455551E-2</v>
      </c>
      <c r="P64" s="208">
        <f t="shared" si="29"/>
        <v>0.13542819875490802</v>
      </c>
      <c r="Q64" s="156">
        <f t="shared" si="30"/>
        <v>4.4483858027217682</v>
      </c>
      <c r="R64" s="156">
        <f t="shared" si="31"/>
        <v>4.3129576039668605</v>
      </c>
      <c r="S64" s="156">
        <f t="shared" si="32"/>
        <v>4.5838140014766759</v>
      </c>
      <c r="T64" s="149">
        <f t="shared" si="33"/>
        <v>28079.269342458676</v>
      </c>
      <c r="U64" s="157">
        <f t="shared" si="38"/>
        <v>0.95800000000000007</v>
      </c>
      <c r="V64" s="149">
        <f t="shared" si="34"/>
        <v>20556.899087656071</v>
      </c>
      <c r="W64" s="157">
        <f t="shared" si="35"/>
        <v>0.95800000000000007</v>
      </c>
      <c r="X64" s="149">
        <f t="shared" si="36"/>
        <v>38354.294752547692</v>
      </c>
      <c r="Y64" s="157">
        <f t="shared" si="37"/>
        <v>0.95800000000000007</v>
      </c>
      <c r="Z64" s="3"/>
      <c r="AA64" s="3"/>
      <c r="AB64" s="60"/>
      <c r="AC64" s="60"/>
      <c r="AD64" s="60"/>
      <c r="AE64" s="60"/>
      <c r="AF64" s="60"/>
      <c r="AG64" s="60"/>
      <c r="AH64" s="60"/>
      <c r="AI64" s="1"/>
      <c r="AJ64" s="1"/>
      <c r="AK64" s="1"/>
    </row>
    <row r="65" spans="1:37" x14ac:dyDescent="0.2">
      <c r="A65" s="3"/>
      <c r="B65" s="3"/>
      <c r="C65" s="3"/>
      <c r="D65" s="3"/>
      <c r="E65" s="3"/>
      <c r="F65" s="3"/>
      <c r="G65" s="3"/>
      <c r="H65" s="155">
        <v>41</v>
      </c>
      <c r="I65" s="60">
        <v>2</v>
      </c>
      <c r="J65" s="60">
        <v>3.15</v>
      </c>
      <c r="K65" s="60"/>
      <c r="L65" s="161"/>
      <c r="M65" s="3"/>
      <c r="N65" s="3"/>
      <c r="O65" s="156">
        <f t="shared" si="28"/>
        <v>-1.457352591699829E-2</v>
      </c>
      <c r="P65" s="208">
        <f t="shared" si="29"/>
        <v>0.13740089722503349</v>
      </c>
      <c r="Q65" s="156">
        <f t="shared" si="30"/>
        <v>4.4237665847020278</v>
      </c>
      <c r="R65" s="156">
        <f t="shared" si="31"/>
        <v>4.2863656874769944</v>
      </c>
      <c r="S65" s="156">
        <f t="shared" si="32"/>
        <v>4.5611674819270611</v>
      </c>
      <c r="T65" s="149">
        <f t="shared" si="33"/>
        <v>26531.79204763208</v>
      </c>
      <c r="U65" s="157">
        <f t="shared" si="38"/>
        <v>0.96700000000000019</v>
      </c>
      <c r="V65" s="149">
        <f t="shared" si="34"/>
        <v>19335.957706846268</v>
      </c>
      <c r="W65" s="157">
        <f t="shared" si="35"/>
        <v>0.96700000000000019</v>
      </c>
      <c r="X65" s="149">
        <f t="shared" si="36"/>
        <v>36405.540389114118</v>
      </c>
      <c r="Y65" s="157">
        <f t="shared" si="37"/>
        <v>0.96700000000000019</v>
      </c>
      <c r="Z65" s="3"/>
      <c r="AA65" s="3"/>
      <c r="AB65" s="60"/>
      <c r="AC65" s="60"/>
      <c r="AD65" s="60"/>
      <c r="AE65" s="60"/>
      <c r="AF65" s="60"/>
      <c r="AG65" s="60"/>
      <c r="AH65" s="60"/>
      <c r="AI65" s="1"/>
      <c r="AJ65" s="1"/>
      <c r="AK65" s="1"/>
    </row>
    <row r="66" spans="1:37" x14ac:dyDescent="0.2">
      <c r="A66" s="3"/>
      <c r="B66" s="3"/>
      <c r="C66" s="3"/>
      <c r="D66" s="3"/>
      <c r="E66" s="3"/>
      <c r="F66" s="3"/>
      <c r="G66" s="3"/>
      <c r="H66" s="155">
        <v>60</v>
      </c>
      <c r="I66" s="60">
        <v>2</v>
      </c>
      <c r="J66" s="60">
        <v>3.15</v>
      </c>
      <c r="K66" s="60"/>
      <c r="L66" s="161"/>
      <c r="M66" s="3"/>
      <c r="N66" s="3"/>
      <c r="O66" s="156">
        <f t="shared" ref="O66:O102" si="39">LOG($I$19+($I$20-$I$19)*(ROW()-2)/100)</f>
        <v>-1.0550182333308145E-2</v>
      </c>
      <c r="P66" s="208">
        <f t="shared" ref="P66:P97" si="40">SQRT(2*$I$16*$K$24)*SQRT((1/$I$1)+((O66-$I$10)^2/$I$7))</f>
        <v>0.13947943519834607</v>
      </c>
      <c r="Q66" s="156">
        <f t="shared" ref="Q66:Q102" si="41">+$I$13+$I$12*O66</f>
        <v>4.3993754430038168</v>
      </c>
      <c r="R66" s="156">
        <f t="shared" ref="R66:R102" si="42">+$I$13+$I$12*O66-P66</f>
        <v>4.2598960078054704</v>
      </c>
      <c r="S66" s="156">
        <f t="shared" ref="S66:S102" si="43">+$I$13+$I$12*O66+P66</f>
        <v>4.5388548782021632</v>
      </c>
      <c r="T66" s="149">
        <f t="shared" ref="T66:T102" si="44">10^Q66</f>
        <v>25082.766948069406</v>
      </c>
      <c r="U66" s="157">
        <f t="shared" si="38"/>
        <v>0.97600000000000009</v>
      </c>
      <c r="V66" s="149">
        <f t="shared" ref="V66:V102" si="45">10^R66</f>
        <v>18192.651818073511</v>
      </c>
      <c r="W66" s="157">
        <f t="shared" ref="W66:W102" si="46">10^$O66</f>
        <v>0.97600000000000009</v>
      </c>
      <c r="X66" s="149">
        <f t="shared" ref="X66:X102" si="47">10^S66</f>
        <v>34582.379966516921</v>
      </c>
      <c r="Y66" s="157">
        <f t="shared" ref="Y66:Y102" si="48">10^$O66</f>
        <v>0.97600000000000009</v>
      </c>
      <c r="Z66" s="3"/>
      <c r="AA66" s="60"/>
      <c r="AB66" s="60"/>
      <c r="AC66" s="60"/>
      <c r="AD66" s="60"/>
      <c r="AE66" s="60"/>
      <c r="AF66" s="60"/>
      <c r="AG66" s="60"/>
      <c r="AH66" s="60"/>
      <c r="AI66" s="1"/>
      <c r="AJ66" s="1"/>
      <c r="AK66" s="1"/>
    </row>
    <row r="67" spans="1:37" x14ac:dyDescent="0.2">
      <c r="A67" s="3"/>
      <c r="B67" s="3"/>
      <c r="C67" s="3"/>
      <c r="D67" s="3"/>
      <c r="E67" s="3"/>
      <c r="F67" s="3"/>
      <c r="G67" s="3"/>
      <c r="H67" s="155">
        <v>61</v>
      </c>
      <c r="I67" s="60">
        <v>1.98</v>
      </c>
      <c r="J67" s="60">
        <v>3.07</v>
      </c>
      <c r="K67" s="60"/>
      <c r="L67" s="161"/>
      <c r="M67" s="3"/>
      <c r="N67" s="3"/>
      <c r="O67" s="156">
        <f t="shared" si="39"/>
        <v>-6.5637695023882739E-3</v>
      </c>
      <c r="P67" s="208">
        <f t="shared" si="40"/>
        <v>0.14165537344258811</v>
      </c>
      <c r="Q67" s="156">
        <f t="shared" si="41"/>
        <v>4.3752081905174274</v>
      </c>
      <c r="R67" s="156">
        <f t="shared" si="42"/>
        <v>4.2335528170748393</v>
      </c>
      <c r="S67" s="156">
        <f t="shared" si="43"/>
        <v>4.5168635639600154</v>
      </c>
      <c r="T67" s="149">
        <f t="shared" si="44"/>
        <v>23725.107587252995</v>
      </c>
      <c r="U67" s="157">
        <f t="shared" ref="U67:U102" si="49">10^O67</f>
        <v>0.9850000000000001</v>
      </c>
      <c r="V67" s="149">
        <f t="shared" si="45"/>
        <v>17121.933938264199</v>
      </c>
      <c r="W67" s="157">
        <f t="shared" si="46"/>
        <v>0.9850000000000001</v>
      </c>
      <c r="X67" s="149">
        <f t="shared" si="47"/>
        <v>32874.833652336456</v>
      </c>
      <c r="Y67" s="157">
        <f t="shared" si="48"/>
        <v>0.9850000000000001</v>
      </c>
      <c r="Z67" s="3"/>
      <c r="AA67" s="60"/>
      <c r="AB67" s="60"/>
      <c r="AC67" s="60"/>
      <c r="AD67" s="60"/>
      <c r="AE67" s="60"/>
      <c r="AF67" s="60"/>
      <c r="AG67" s="60"/>
      <c r="AH67" s="60"/>
      <c r="AI67" s="1"/>
      <c r="AJ67" s="1"/>
      <c r="AK67" s="1"/>
    </row>
    <row r="68" spans="1:37" x14ac:dyDescent="0.2">
      <c r="A68" s="3"/>
      <c r="B68" s="3"/>
      <c r="C68" s="3"/>
      <c r="D68" s="3"/>
      <c r="E68" s="3"/>
      <c r="F68" s="3"/>
      <c r="G68" s="3"/>
      <c r="H68" s="155">
        <v>120</v>
      </c>
      <c r="I68" s="60">
        <v>1.98</v>
      </c>
      <c r="J68" s="60">
        <v>3.07</v>
      </c>
      <c r="K68" s="60"/>
      <c r="L68" s="161"/>
      <c r="M68" s="3"/>
      <c r="N68" s="3"/>
      <c r="O68" s="156">
        <f t="shared" si="39"/>
        <v>-2.6136156026866902E-3</v>
      </c>
      <c r="P68" s="208">
        <f t="shared" si="40"/>
        <v>0.14392069926974785</v>
      </c>
      <c r="Q68" s="156">
        <f t="shared" si="41"/>
        <v>4.3512607543879502</v>
      </c>
      <c r="R68" s="156">
        <f t="shared" si="42"/>
        <v>4.2073400551182027</v>
      </c>
      <c r="S68" s="156">
        <f t="shared" si="43"/>
        <v>4.4951814536576977</v>
      </c>
      <c r="T68" s="149">
        <f t="shared" si="44"/>
        <v>22452.295755894007</v>
      </c>
      <c r="U68" s="157">
        <f t="shared" si="49"/>
        <v>0.99400000000000011</v>
      </c>
      <c r="V68" s="149">
        <f t="shared" si="45"/>
        <v>16119.072739972295</v>
      </c>
      <c r="W68" s="157">
        <f t="shared" si="46"/>
        <v>0.99400000000000011</v>
      </c>
      <c r="X68" s="149">
        <f t="shared" si="47"/>
        <v>31273.857550133653</v>
      </c>
      <c r="Y68" s="157">
        <f t="shared" si="48"/>
        <v>0.99400000000000011</v>
      </c>
      <c r="Z68" s="3"/>
      <c r="AA68" s="60"/>
      <c r="AB68" s="60"/>
      <c r="AC68" s="60"/>
      <c r="AD68" s="60"/>
      <c r="AE68" s="60"/>
      <c r="AF68" s="60"/>
      <c r="AG68" s="60"/>
      <c r="AH68" s="60"/>
      <c r="AI68" s="1"/>
      <c r="AJ68" s="1"/>
      <c r="AK68" s="1"/>
    </row>
    <row r="69" spans="1:37" x14ac:dyDescent="0.2">
      <c r="A69" s="3"/>
      <c r="B69" s="3"/>
      <c r="C69" s="3"/>
      <c r="D69" s="3"/>
      <c r="E69" s="3"/>
      <c r="F69" s="3"/>
      <c r="G69" s="3"/>
      <c r="H69" s="155">
        <v>121</v>
      </c>
      <c r="I69" s="60">
        <v>1.96</v>
      </c>
      <c r="J69" s="60">
        <v>3</v>
      </c>
      <c r="K69" s="60"/>
      <c r="L69" s="161"/>
      <c r="M69" s="3"/>
      <c r="N69" s="3"/>
      <c r="O69" s="156">
        <f t="shared" si="39"/>
        <v>1.300933020418168E-3</v>
      </c>
      <c r="P69" s="208">
        <f t="shared" si="40"/>
        <v>0.14626784097951565</v>
      </c>
      <c r="Q69" s="156">
        <f t="shared" si="41"/>
        <v>4.3275291718957796</v>
      </c>
      <c r="R69" s="156">
        <f t="shared" si="42"/>
        <v>4.1812613309162643</v>
      </c>
      <c r="S69" s="156">
        <f t="shared" si="43"/>
        <v>4.4737970128752949</v>
      </c>
      <c r="T69" s="149">
        <f t="shared" si="44"/>
        <v>21258.331342749592</v>
      </c>
      <c r="U69" s="157">
        <f t="shared" si="49"/>
        <v>1.0030000000000001</v>
      </c>
      <c r="V69" s="149">
        <f t="shared" si="45"/>
        <v>15179.635070061267</v>
      </c>
      <c r="W69" s="157">
        <f t="shared" si="46"/>
        <v>1.0030000000000001</v>
      </c>
      <c r="X69" s="149">
        <f t="shared" si="47"/>
        <v>29771.246106531449</v>
      </c>
      <c r="Y69" s="157">
        <f t="shared" si="48"/>
        <v>1.0030000000000001</v>
      </c>
      <c r="Z69" s="3"/>
      <c r="AA69" s="60"/>
      <c r="AB69" s="60"/>
      <c r="AC69" s="60"/>
      <c r="AD69" s="60"/>
      <c r="AE69" s="60"/>
      <c r="AF69" s="60"/>
      <c r="AG69" s="60"/>
      <c r="AH69" s="60"/>
      <c r="AI69" s="1"/>
      <c r="AJ69" s="1"/>
      <c r="AK69" s="1"/>
    </row>
    <row r="70" spans="1:37" ht="13.5" thickBot="1" x14ac:dyDescent="0.25">
      <c r="A70" s="3"/>
      <c r="B70" s="3"/>
      <c r="C70" s="3"/>
      <c r="D70" s="3"/>
      <c r="E70" s="3"/>
      <c r="F70" s="3"/>
      <c r="G70" s="3"/>
      <c r="H70" s="170"/>
      <c r="I70" s="185"/>
      <c r="J70" s="185"/>
      <c r="K70" s="185"/>
      <c r="L70" s="165"/>
      <c r="M70" s="3"/>
      <c r="N70" s="3"/>
      <c r="O70" s="156">
        <f t="shared" si="39"/>
        <v>5.1805125037803143E-3</v>
      </c>
      <c r="P70" s="208">
        <f t="shared" si="40"/>
        <v>0.14868967319153994</v>
      </c>
      <c r="Q70" s="156">
        <f t="shared" si="41"/>
        <v>4.3040095865211283</v>
      </c>
      <c r="R70" s="156">
        <f t="shared" si="42"/>
        <v>4.1553199133295884</v>
      </c>
      <c r="S70" s="156">
        <f t="shared" si="43"/>
        <v>4.4526992597126682</v>
      </c>
      <c r="T70" s="149">
        <f t="shared" si="44"/>
        <v>20137.687008603563</v>
      </c>
      <c r="U70" s="157">
        <f t="shared" si="49"/>
        <v>1.012</v>
      </c>
      <c r="V70" s="149">
        <f t="shared" si="45"/>
        <v>14299.469090981773</v>
      </c>
      <c r="W70" s="157">
        <f t="shared" si="46"/>
        <v>1.012</v>
      </c>
      <c r="X70" s="149">
        <f t="shared" si="47"/>
        <v>28359.545062566995</v>
      </c>
      <c r="Y70" s="157">
        <f t="shared" si="48"/>
        <v>1.012</v>
      </c>
      <c r="Z70" s="3"/>
      <c r="AA70" s="60"/>
      <c r="AB70" s="60"/>
      <c r="AC70" s="60"/>
      <c r="AD70" s="60"/>
      <c r="AE70" s="60"/>
      <c r="AF70" s="60"/>
      <c r="AG70" s="60"/>
      <c r="AH70" s="60"/>
      <c r="AI70" s="1"/>
      <c r="AJ70" s="1"/>
      <c r="AK70" s="1"/>
    </row>
    <row r="71" spans="1:37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156">
        <f t="shared" si="39"/>
        <v>9.025742086910208E-3</v>
      </c>
      <c r="P71" s="208">
        <f t="shared" si="40"/>
        <v>0.15117951471575014</v>
      </c>
      <c r="Q71" s="156">
        <f t="shared" si="41"/>
        <v>4.2806982441827603</v>
      </c>
      <c r="R71" s="156">
        <f t="shared" si="42"/>
        <v>4.1295187294670104</v>
      </c>
      <c r="S71" s="156">
        <f t="shared" si="43"/>
        <v>4.4318777588985103</v>
      </c>
      <c r="T71" s="149">
        <f t="shared" si="44"/>
        <v>19085.267181978081</v>
      </c>
      <c r="U71" s="157">
        <f t="shared" si="49"/>
        <v>1.0209999999999999</v>
      </c>
      <c r="V71" s="149">
        <f t="shared" si="45"/>
        <v>13474.688352904479</v>
      </c>
      <c r="W71" s="157">
        <f t="shared" si="46"/>
        <v>1.0209999999999999</v>
      </c>
      <c r="X71" s="149">
        <f t="shared" si="47"/>
        <v>27031.973865946598</v>
      </c>
      <c r="Y71" s="157">
        <f t="shared" si="48"/>
        <v>1.0209999999999999</v>
      </c>
      <c r="Z71" s="3"/>
      <c r="AA71" s="60"/>
      <c r="AB71" s="60"/>
      <c r="AC71" s="60"/>
      <c r="AD71" s="60"/>
      <c r="AE71" s="60"/>
      <c r="AF71" s="60"/>
      <c r="AG71" s="60"/>
      <c r="AH71" s="60"/>
      <c r="AI71" s="1"/>
      <c r="AJ71" s="1"/>
      <c r="AK71" s="1"/>
    </row>
    <row r="72" spans="1:37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156">
        <f t="shared" si="39"/>
        <v>1.2837224705172217E-2</v>
      </c>
      <c r="P72" s="208">
        <f t="shared" si="40"/>
        <v>0.15373112048588206</v>
      </c>
      <c r="Q72" s="156">
        <f t="shared" si="41"/>
        <v>4.2575914896417952</v>
      </c>
      <c r="R72" s="156">
        <f t="shared" si="42"/>
        <v>4.103860369155913</v>
      </c>
      <c r="S72" s="156">
        <f t="shared" si="43"/>
        <v>4.4113226101276775</v>
      </c>
      <c r="T72" s="149">
        <f t="shared" si="44"/>
        <v>18096.370931114743</v>
      </c>
      <c r="U72" s="157">
        <f t="shared" si="49"/>
        <v>1.03</v>
      </c>
      <c r="V72" s="149">
        <f t="shared" si="45"/>
        <v>12701.656661762614</v>
      </c>
      <c r="W72" s="157">
        <f t="shared" si="46"/>
        <v>1.03</v>
      </c>
      <c r="X72" s="149">
        <f t="shared" si="47"/>
        <v>25782.356553719848</v>
      </c>
      <c r="Y72" s="157">
        <f t="shared" si="48"/>
        <v>1.03</v>
      </c>
      <c r="Z72" s="3"/>
      <c r="AA72" s="60"/>
      <c r="AB72" s="60"/>
      <c r="AC72" s="60"/>
      <c r="AD72" s="60"/>
      <c r="AE72" s="60"/>
      <c r="AF72" s="60"/>
      <c r="AG72" s="60"/>
      <c r="AH72" s="60"/>
      <c r="AI72" s="1"/>
      <c r="AJ72" s="1"/>
      <c r="AK72" s="1"/>
    </row>
    <row r="73" spans="1:37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156">
        <f t="shared" si="39"/>
        <v>1.6615547557177472E-2</v>
      </c>
      <c r="P73" s="208">
        <f t="shared" si="40"/>
        <v>0.1563386689209828</v>
      </c>
      <c r="Q73" s="156">
        <f t="shared" si="41"/>
        <v>4.2346857630619335</v>
      </c>
      <c r="R73" s="156">
        <f t="shared" si="42"/>
        <v>4.078347094140951</v>
      </c>
      <c r="S73" s="156">
        <f t="shared" si="43"/>
        <v>4.3910244319829159</v>
      </c>
      <c r="T73" s="149">
        <f t="shared" si="44"/>
        <v>17166.658316060551</v>
      </c>
      <c r="U73" s="157">
        <f t="shared" si="49"/>
        <v>1.0390000000000001</v>
      </c>
      <c r="V73" s="149">
        <f t="shared" si="45"/>
        <v>11976.973651551581</v>
      </c>
      <c r="W73" s="157">
        <f t="shared" si="46"/>
        <v>1.0390000000000001</v>
      </c>
      <c r="X73" s="149">
        <f t="shared" si="47"/>
        <v>24605.060202515651</v>
      </c>
      <c r="Y73" s="157">
        <f t="shared" si="48"/>
        <v>1.0390000000000001</v>
      </c>
      <c r="Z73" s="3"/>
      <c r="AA73" s="60"/>
      <c r="AB73" s="60"/>
      <c r="AC73" s="60"/>
      <c r="AD73" s="60"/>
      <c r="AE73" s="60"/>
      <c r="AF73" s="60"/>
      <c r="AG73" s="60"/>
      <c r="AH73" s="60"/>
      <c r="AI73" s="1"/>
      <c r="AJ73" s="1"/>
      <c r="AK73" s="1"/>
    </row>
    <row r="74" spans="1:37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156">
        <f t="shared" si="39"/>
        <v>2.0361282647707864E-2</v>
      </c>
      <c r="P74" s="208">
        <f t="shared" si="40"/>
        <v>0.15899674590288509</v>
      </c>
      <c r="Q74" s="156">
        <f t="shared" si="41"/>
        <v>4.211977596718036</v>
      </c>
      <c r="R74" s="156">
        <f t="shared" si="42"/>
        <v>4.0529808508151506</v>
      </c>
      <c r="S74" s="156">
        <f t="shared" si="43"/>
        <v>4.3709743426209213</v>
      </c>
      <c r="T74" s="149">
        <f t="shared" si="44"/>
        <v>16292.119868171692</v>
      </c>
      <c r="U74" s="157">
        <f t="shared" si="49"/>
        <v>1.048</v>
      </c>
      <c r="V74" s="149">
        <f t="shared" si="45"/>
        <v>11297.4610010053</v>
      </c>
      <c r="W74" s="157">
        <f t="shared" si="46"/>
        <v>1.048</v>
      </c>
      <c r="X74" s="149">
        <f t="shared" si="47"/>
        <v>23494.940126392543</v>
      </c>
      <c r="Y74" s="157">
        <f t="shared" si="48"/>
        <v>1.048</v>
      </c>
      <c r="Z74" s="3"/>
      <c r="AA74" s="60"/>
      <c r="AB74" s="60"/>
      <c r="AC74" s="60"/>
      <c r="AD74" s="60"/>
      <c r="AE74" s="60"/>
      <c r="AF74" s="60"/>
      <c r="AG74" s="60"/>
      <c r="AH74" s="60"/>
      <c r="AI74" s="1"/>
      <c r="AJ74" s="1"/>
      <c r="AK74" s="1"/>
    </row>
    <row r="75" spans="1:37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156">
        <f t="shared" si="39"/>
        <v>2.4074987307426243E-2</v>
      </c>
      <c r="P75" s="208">
        <f t="shared" si="40"/>
        <v>0.1617003263789383</v>
      </c>
      <c r="Q75" s="156">
        <f t="shared" si="41"/>
        <v>4.1894636118454294</v>
      </c>
      <c r="R75" s="156">
        <f t="shared" si="42"/>
        <v>4.0277632854664907</v>
      </c>
      <c r="S75" s="156">
        <f t="shared" si="43"/>
        <v>4.3511639382243681</v>
      </c>
      <c r="T75" s="149">
        <f t="shared" si="44"/>
        <v>15469.04888273004</v>
      </c>
      <c r="U75" s="157">
        <f t="shared" si="49"/>
        <v>1.0569999999999999</v>
      </c>
      <c r="V75" s="149">
        <f t="shared" si="45"/>
        <v>10660.149257077841</v>
      </c>
      <c r="W75" s="157">
        <f t="shared" si="46"/>
        <v>1.0569999999999999</v>
      </c>
      <c r="X75" s="149">
        <f t="shared" si="47"/>
        <v>22447.291080602154</v>
      </c>
      <c r="Y75" s="157">
        <f t="shared" si="48"/>
        <v>1.0569999999999999</v>
      </c>
      <c r="Z75" s="3"/>
      <c r="AA75" s="60"/>
      <c r="AB75" s="60"/>
      <c r="AC75" s="60"/>
      <c r="AD75" s="60"/>
      <c r="AE75" s="60"/>
      <c r="AF75" s="60"/>
      <c r="AG75" s="60"/>
      <c r="AH75" s="60"/>
      <c r="AI75" s="1"/>
      <c r="AJ75" s="1"/>
      <c r="AK75" s="1"/>
    </row>
    <row r="76" spans="1:37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156">
        <f t="shared" si="39"/>
        <v>2.7757204690553483E-2</v>
      </c>
      <c r="P76" s="208">
        <f t="shared" si="40"/>
        <v>0.16444475442857107</v>
      </c>
      <c r="Q76" s="156">
        <f t="shared" si="41"/>
        <v>4.1671405156227852</v>
      </c>
      <c r="R76" s="156">
        <f t="shared" si="42"/>
        <v>4.0026957611942144</v>
      </c>
      <c r="S76" s="156">
        <f t="shared" si="43"/>
        <v>4.331585270051356</v>
      </c>
      <c r="T76" s="149">
        <f t="shared" si="44"/>
        <v>14694.016244289516</v>
      </c>
      <c r="U76" s="157">
        <f t="shared" si="49"/>
        <v>1.0660000000000001</v>
      </c>
      <c r="V76" s="149">
        <f t="shared" si="45"/>
        <v>10062.265242494665</v>
      </c>
      <c r="W76" s="157">
        <f t="shared" si="46"/>
        <v>1.0660000000000001</v>
      </c>
      <c r="X76" s="149">
        <f t="shared" si="47"/>
        <v>21457.803803024595</v>
      </c>
      <c r="Y76" s="157">
        <f t="shared" si="48"/>
        <v>1.0660000000000001</v>
      </c>
      <c r="Z76" s="3"/>
      <c r="AA76" s="60"/>
      <c r="AB76" s="60"/>
      <c r="AC76" s="60"/>
      <c r="AD76" s="60"/>
      <c r="AE76" s="60"/>
      <c r="AF76" s="60"/>
      <c r="AG76" s="60"/>
      <c r="AH76" s="60"/>
      <c r="AI76" s="1"/>
      <c r="AJ76" s="1"/>
      <c r="AK76" s="1"/>
    </row>
    <row r="77" spans="1:37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156">
        <f t="shared" si="39"/>
        <v>3.1408464251624205E-2</v>
      </c>
      <c r="P77" s="208">
        <f t="shared" si="40"/>
        <v>0.16722572247568079</v>
      </c>
      <c r="Q77" s="156">
        <f t="shared" si="41"/>
        <v>4.1450050982818336</v>
      </c>
      <c r="R77" s="156">
        <f t="shared" si="42"/>
        <v>3.9777793758061528</v>
      </c>
      <c r="S77" s="156">
        <f t="shared" si="43"/>
        <v>4.3122308207575148</v>
      </c>
      <c r="T77" s="149">
        <f t="shared" si="44"/>
        <v>13963.847534383693</v>
      </c>
      <c r="U77" s="157">
        <f t="shared" si="49"/>
        <v>1.0750000000000002</v>
      </c>
      <c r="V77" s="149">
        <f t="shared" si="45"/>
        <v>9501.2200337713512</v>
      </c>
      <c r="W77" s="157">
        <f t="shared" si="46"/>
        <v>1.0750000000000002</v>
      </c>
      <c r="X77" s="149">
        <f t="shared" si="47"/>
        <v>20522.52629351183</v>
      </c>
      <c r="Y77" s="157">
        <f t="shared" si="48"/>
        <v>1.0750000000000002</v>
      </c>
      <c r="Z77" s="3"/>
      <c r="AA77" s="60"/>
      <c r="AB77" s="60"/>
      <c r="AC77" s="60"/>
      <c r="AD77" s="60"/>
      <c r="AE77" s="60"/>
      <c r="AF77" s="60"/>
      <c r="AG77" s="60"/>
      <c r="AH77" s="60"/>
      <c r="AI77" s="1"/>
      <c r="AJ77" s="1"/>
      <c r="AK77" s="1"/>
    </row>
    <row r="78" spans="1:37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156">
        <f t="shared" si="39"/>
        <v>3.5029282202368152E-2</v>
      </c>
      <c r="P78" s="208">
        <f t="shared" si="40"/>
        <v>0.17003925018966293</v>
      </c>
      <c r="Q78" s="156">
        <f t="shared" si="41"/>
        <v>4.1230542303375604</v>
      </c>
      <c r="R78" s="156">
        <f t="shared" si="42"/>
        <v>3.9530149801478975</v>
      </c>
      <c r="S78" s="156">
        <f t="shared" si="43"/>
        <v>4.2930934805272232</v>
      </c>
      <c r="T78" s="149">
        <f t="shared" si="44"/>
        <v>13275.602197808159</v>
      </c>
      <c r="U78" s="157">
        <f t="shared" si="49"/>
        <v>1.0840000000000001</v>
      </c>
      <c r="V78" s="149">
        <f t="shared" si="45"/>
        <v>8974.5975010458042</v>
      </c>
      <c r="W78" s="157">
        <f t="shared" si="46"/>
        <v>1.0840000000000001</v>
      </c>
      <c r="X78" s="149">
        <f t="shared" si="47"/>
        <v>19637.829294730102</v>
      </c>
      <c r="Y78" s="157">
        <f t="shared" si="48"/>
        <v>1.0840000000000001</v>
      </c>
      <c r="Z78" s="3"/>
      <c r="AA78" s="60"/>
      <c r="AB78" s="60"/>
      <c r="AC78" s="60"/>
      <c r="AD78" s="60"/>
      <c r="AE78" s="60"/>
      <c r="AF78" s="60"/>
      <c r="AG78" s="60"/>
      <c r="AH78" s="60"/>
      <c r="AI78" s="1"/>
      <c r="AJ78" s="1"/>
      <c r="AK78" s="1"/>
    </row>
    <row r="79" spans="1:37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156">
        <f t="shared" si="39"/>
        <v>3.8620161949702782E-2</v>
      </c>
      <c r="P79" s="208">
        <f t="shared" si="40"/>
        <v>0.17288166349727727</v>
      </c>
      <c r="Q79" s="156">
        <f t="shared" si="41"/>
        <v>4.1012848599329219</v>
      </c>
      <c r="R79" s="156">
        <f t="shared" si="42"/>
        <v>3.9284031964356445</v>
      </c>
      <c r="S79" s="156">
        <f t="shared" si="43"/>
        <v>4.2741665234301989</v>
      </c>
      <c r="T79" s="149">
        <f t="shared" si="44"/>
        <v>12626.554567261723</v>
      </c>
      <c r="U79" s="157">
        <f t="shared" si="49"/>
        <v>1.093</v>
      </c>
      <c r="V79" s="149">
        <f t="shared" si="45"/>
        <v>8480.1434030744495</v>
      </c>
      <c r="W79" s="157">
        <f t="shared" si="46"/>
        <v>1.093</v>
      </c>
      <c r="X79" s="149">
        <f t="shared" si="47"/>
        <v>18800.375496272478</v>
      </c>
      <c r="Y79" s="157">
        <f t="shared" si="48"/>
        <v>1.093</v>
      </c>
      <c r="Z79" s="3"/>
      <c r="AA79" s="60"/>
      <c r="AB79" s="60"/>
      <c r="AC79" s="60"/>
      <c r="AD79" s="60"/>
      <c r="AE79" s="60"/>
      <c r="AF79" s="60"/>
      <c r="AG79" s="60"/>
      <c r="AH79" s="60"/>
      <c r="AI79" s="1"/>
      <c r="AJ79" s="1"/>
      <c r="AK79" s="1"/>
    </row>
    <row r="80" spans="1:37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156">
        <f t="shared" si="39"/>
        <v>4.218159451576628E-2</v>
      </c>
      <c r="P80" s="208">
        <f t="shared" si="40"/>
        <v>0.17574957402524591</v>
      </c>
      <c r="Q80" s="156">
        <f t="shared" si="41"/>
        <v>4.0796940102924335</v>
      </c>
      <c r="R80" s="156">
        <f t="shared" si="42"/>
        <v>3.9039444362671878</v>
      </c>
      <c r="S80" s="156">
        <f t="shared" si="43"/>
        <v>4.2554435843176792</v>
      </c>
      <c r="T80" s="149">
        <f t="shared" si="44"/>
        <v>12014.176567046974</v>
      </c>
      <c r="U80" s="157">
        <f t="shared" si="49"/>
        <v>1.1020000000000001</v>
      </c>
      <c r="V80" s="149">
        <f t="shared" si="45"/>
        <v>8015.7550307850215</v>
      </c>
      <c r="W80" s="157">
        <f t="shared" si="46"/>
        <v>1.1020000000000001</v>
      </c>
      <c r="X80" s="149">
        <f t="shared" si="47"/>
        <v>18007.092036848917</v>
      </c>
      <c r="Y80" s="157">
        <f t="shared" si="48"/>
        <v>1.1020000000000001</v>
      </c>
      <c r="Z80" s="3"/>
      <c r="AA80" s="60"/>
      <c r="AB80" s="60"/>
      <c r="AC80" s="60"/>
      <c r="AD80" s="60"/>
      <c r="AE80" s="60"/>
      <c r="AF80" s="60"/>
      <c r="AG80" s="60"/>
      <c r="AH80" s="60"/>
      <c r="AI80" s="1"/>
      <c r="AJ80" s="1"/>
      <c r="AK80" s="1"/>
    </row>
    <row r="81" spans="1:37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156">
        <f t="shared" si="39"/>
        <v>4.5714058940867698E-2</v>
      </c>
      <c r="P81" s="208">
        <f t="shared" si="40"/>
        <v>0.17863985920833245</v>
      </c>
      <c r="Q81" s="156">
        <f t="shared" si="41"/>
        <v>4.0582787772793205</v>
      </c>
      <c r="R81" s="156">
        <f t="shared" si="42"/>
        <v>3.879638918070988</v>
      </c>
      <c r="S81" s="156">
        <f t="shared" si="43"/>
        <v>4.236918636487653</v>
      </c>
      <c r="T81" s="149">
        <f t="shared" si="44"/>
        <v>11436.121935116153</v>
      </c>
      <c r="U81" s="157">
        <f t="shared" si="49"/>
        <v>1.1110000000000002</v>
      </c>
      <c r="V81" s="149">
        <f t="shared" si="45"/>
        <v>7579.4713916081873</v>
      </c>
      <c r="W81" s="157">
        <f t="shared" si="46"/>
        <v>1.1110000000000002</v>
      </c>
      <c r="X81" s="149">
        <f t="shared" si="47"/>
        <v>17255.145927412104</v>
      </c>
      <c r="Y81" s="157">
        <f t="shared" si="48"/>
        <v>1.1110000000000002</v>
      </c>
      <c r="Z81" s="3"/>
      <c r="AA81" s="60"/>
      <c r="AB81" s="60"/>
      <c r="AC81" s="60"/>
      <c r="AD81" s="60"/>
      <c r="AE81" s="60"/>
      <c r="AF81" s="60"/>
      <c r="AG81" s="60"/>
      <c r="AH81" s="60"/>
      <c r="AI81" s="1"/>
      <c r="AJ81" s="1"/>
      <c r="AK81" s="1"/>
    </row>
    <row r="82" spans="1:37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156">
        <f t="shared" si="39"/>
        <v>4.9218022670181653E-2</v>
      </c>
      <c r="P82" s="208">
        <f t="shared" si="40"/>
        <v>0.18154964322800093</v>
      </c>
      <c r="Q82" s="156">
        <f t="shared" si="41"/>
        <v>4.0370363270512186</v>
      </c>
      <c r="R82" s="156">
        <f t="shared" si="42"/>
        <v>3.8554866838232176</v>
      </c>
      <c r="S82" s="156">
        <f t="shared" si="43"/>
        <v>4.2185859702792197</v>
      </c>
      <c r="T82" s="149">
        <f t="shared" si="44"/>
        <v>10890.211819274391</v>
      </c>
      <c r="U82" s="157">
        <f t="shared" si="49"/>
        <v>1.1200000000000001</v>
      </c>
      <c r="V82" s="149">
        <f t="shared" si="45"/>
        <v>7169.4639249827542</v>
      </c>
      <c r="W82" s="157">
        <f t="shared" si="46"/>
        <v>1.1200000000000001</v>
      </c>
      <c r="X82" s="149">
        <f t="shared" si="47"/>
        <v>16541.922061341415</v>
      </c>
      <c r="Y82" s="157">
        <f t="shared" si="48"/>
        <v>1.1200000000000001</v>
      </c>
      <c r="Z82" s="3"/>
      <c r="AA82" s="60"/>
      <c r="AB82" s="60"/>
      <c r="AC82" s="60"/>
      <c r="AD82" s="60"/>
      <c r="AE82" s="60"/>
      <c r="AF82" s="60"/>
      <c r="AG82" s="60"/>
      <c r="AH82" s="60"/>
      <c r="AI82" s="1"/>
      <c r="AJ82" s="1"/>
      <c r="AK82" s="1"/>
    </row>
    <row r="83" spans="1:37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156">
        <f t="shared" si="39"/>
        <v>5.269394192496786E-2</v>
      </c>
      <c r="P83" s="208">
        <f t="shared" si="40"/>
        <v>0.1844762788907123</v>
      </c>
      <c r="Q83" s="156">
        <f t="shared" si="41"/>
        <v>4.015963893809694</v>
      </c>
      <c r="R83" s="156">
        <f t="shared" si="42"/>
        <v>3.8314876149189816</v>
      </c>
      <c r="S83" s="156">
        <f t="shared" si="43"/>
        <v>4.2004401727004064</v>
      </c>
      <c r="T83" s="149">
        <f t="shared" si="44"/>
        <v>10374.421618064693</v>
      </c>
      <c r="U83" s="157">
        <f t="shared" si="49"/>
        <v>1.129</v>
      </c>
      <c r="V83" s="149">
        <f t="shared" si="45"/>
        <v>6784.0277373363206</v>
      </c>
      <c r="W83" s="157">
        <f t="shared" si="46"/>
        <v>1.129</v>
      </c>
      <c r="X83" s="149">
        <f t="shared" si="47"/>
        <v>15865.003516572753</v>
      </c>
      <c r="Y83" s="157">
        <f t="shared" si="48"/>
        <v>1.129</v>
      </c>
      <c r="Z83" s="3"/>
      <c r="AA83" s="60"/>
      <c r="AB83" s="60"/>
      <c r="AC83" s="60"/>
      <c r="AD83" s="60"/>
      <c r="AE83" s="60"/>
      <c r="AF83" s="60"/>
      <c r="AG83" s="60"/>
      <c r="AH83" s="60"/>
      <c r="AI83" s="1"/>
      <c r="AJ83" s="1"/>
      <c r="AK83" s="1"/>
    </row>
    <row r="84" spans="1:37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156">
        <f t="shared" si="39"/>
        <v>5.6142262059052331E-2</v>
      </c>
      <c r="P84" s="208">
        <f t="shared" si="40"/>
        <v>0.18741733051055962</v>
      </c>
      <c r="Q84" s="156">
        <f t="shared" si="41"/>
        <v>3.9950587776391018</v>
      </c>
      <c r="R84" s="156">
        <f t="shared" si="42"/>
        <v>3.807641447128542</v>
      </c>
      <c r="S84" s="156">
        <f t="shared" si="43"/>
        <v>4.1824761081496611</v>
      </c>
      <c r="T84" s="149">
        <f t="shared" si="44"/>
        <v>9886.868949965643</v>
      </c>
      <c r="U84" s="157">
        <f t="shared" si="49"/>
        <v>1.1379999999999999</v>
      </c>
      <c r="V84" s="149">
        <f t="shared" si="45"/>
        <v>6421.5733427549358</v>
      </c>
      <c r="W84" s="157">
        <f t="shared" si="46"/>
        <v>1.1379999999999999</v>
      </c>
      <c r="X84" s="149">
        <f t="shared" si="47"/>
        <v>15222.153889136875</v>
      </c>
      <c r="Y84" s="157">
        <f t="shared" si="48"/>
        <v>1.1379999999999999</v>
      </c>
      <c r="Z84" s="3"/>
      <c r="AA84" s="60"/>
      <c r="AB84" s="60"/>
      <c r="AC84" s="60"/>
      <c r="AD84" s="60"/>
      <c r="AE84" s="60"/>
      <c r="AF84" s="60"/>
      <c r="AG84" s="60"/>
      <c r="AH84" s="60"/>
      <c r="AI84" s="1"/>
      <c r="AJ84" s="1"/>
      <c r="AK84" s="1"/>
    </row>
    <row r="85" spans="1:37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156">
        <f t="shared" si="39"/>
        <v>5.9563417901267686E-2</v>
      </c>
      <c r="P85" s="208">
        <f t="shared" si="40"/>
        <v>0.19037055782644383</v>
      </c>
      <c r="Q85" s="156">
        <f t="shared" si="41"/>
        <v>3.9743183424305824</v>
      </c>
      <c r="R85" s="156">
        <f t="shared" si="42"/>
        <v>3.7839477846041385</v>
      </c>
      <c r="S85" s="156">
        <f t="shared" si="43"/>
        <v>4.1646889002570262</v>
      </c>
      <c r="T85" s="149">
        <f t="shared" si="44"/>
        <v>9425.8026462259113</v>
      </c>
      <c r="U85" s="157">
        <f t="shared" si="49"/>
        <v>1.147</v>
      </c>
      <c r="V85" s="149">
        <f t="shared" si="45"/>
        <v>6080.6188936426879</v>
      </c>
      <c r="W85" s="157">
        <f t="shared" si="46"/>
        <v>1.147</v>
      </c>
      <c r="X85" s="149">
        <f t="shared" si="47"/>
        <v>14611.30142829507</v>
      </c>
      <c r="Y85" s="157">
        <f t="shared" si="48"/>
        <v>1.147</v>
      </c>
      <c r="Z85" s="3"/>
      <c r="AA85" s="60"/>
      <c r="AB85" s="60"/>
      <c r="AC85" s="60"/>
      <c r="AD85" s="60"/>
      <c r="AE85" s="60"/>
      <c r="AF85" s="60"/>
      <c r="AG85" s="60"/>
      <c r="AH85" s="60"/>
      <c r="AI85" s="1"/>
      <c r="AJ85" s="1"/>
      <c r="AK85" s="1"/>
    </row>
    <row r="86" spans="1:37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156">
        <f t="shared" si="39"/>
        <v>6.2957834084510306E-2</v>
      </c>
      <c r="P86" s="208">
        <f t="shared" si="40"/>
        <v>0.1933339009576634</v>
      </c>
      <c r="Q86" s="156">
        <f t="shared" si="41"/>
        <v>3.9537400138871783</v>
      </c>
      <c r="R86" s="156">
        <f t="shared" si="42"/>
        <v>3.7604061129295148</v>
      </c>
      <c r="S86" s="156">
        <f t="shared" si="43"/>
        <v>4.1470739148448414</v>
      </c>
      <c r="T86" s="149">
        <f t="shared" si="44"/>
        <v>8989.5926730924039</v>
      </c>
      <c r="U86" s="157">
        <f t="shared" si="49"/>
        <v>1.1560000000000001</v>
      </c>
      <c r="V86" s="149">
        <f t="shared" si="45"/>
        <v>5759.7828840326902</v>
      </c>
      <c r="W86" s="157">
        <f t="shared" si="46"/>
        <v>1.1560000000000001</v>
      </c>
      <c r="X86" s="149">
        <f t="shared" si="47"/>
        <v>14030.524770672562</v>
      </c>
      <c r="Y86" s="157">
        <f t="shared" si="48"/>
        <v>1.1560000000000001</v>
      </c>
      <c r="Z86" s="3"/>
      <c r="AA86" s="60"/>
      <c r="AB86" s="60"/>
      <c r="AC86" s="60"/>
      <c r="AD86" s="60"/>
      <c r="AE86" s="60"/>
      <c r="AF86" s="60"/>
      <c r="AG86" s="60"/>
      <c r="AH86" s="60"/>
      <c r="AI86" s="1"/>
      <c r="AJ86" s="1"/>
      <c r="AK86" s="1"/>
    </row>
    <row r="87" spans="1:37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156">
        <f t="shared" si="39"/>
        <v>6.6325925362037796E-2</v>
      </c>
      <c r="P87" s="208">
        <f t="shared" si="40"/>
        <v>0.19630546638215116</v>
      </c>
      <c r="Q87" s="156">
        <f t="shared" si="41"/>
        <v>3.9333212776063129</v>
      </c>
      <c r="R87" s="156">
        <f t="shared" si="42"/>
        <v>3.7370158112241616</v>
      </c>
      <c r="S87" s="156">
        <f t="shared" si="43"/>
        <v>4.1296267439884637</v>
      </c>
      <c r="T87" s="149">
        <f t="shared" si="44"/>
        <v>8576.7208985158522</v>
      </c>
      <c r="U87" s="157">
        <f t="shared" si="49"/>
        <v>1.165</v>
      </c>
      <c r="V87" s="149">
        <f t="shared" si="45"/>
        <v>5457.7773068971092</v>
      </c>
      <c r="W87" s="157">
        <f t="shared" si="46"/>
        <v>1.165</v>
      </c>
      <c r="X87" s="149">
        <f t="shared" si="47"/>
        <v>13478.040094834725</v>
      </c>
      <c r="Y87" s="157">
        <f t="shared" si="48"/>
        <v>1.165</v>
      </c>
      <c r="Z87" s="3"/>
      <c r="AA87" s="60"/>
      <c r="AB87" s="60"/>
      <c r="AC87" s="60"/>
      <c r="AD87" s="60"/>
      <c r="AE87" s="60"/>
      <c r="AF87" s="60"/>
      <c r="AG87" s="60"/>
      <c r="AH87" s="60"/>
      <c r="AI87" s="1"/>
      <c r="AJ87" s="1"/>
      <c r="AK87" s="1"/>
    </row>
    <row r="88" spans="1:37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156">
        <f t="shared" si="39"/>
        <v>6.9668096911595645E-2</v>
      </c>
      <c r="P88" s="208">
        <f t="shared" si="40"/>
        <v>0.19928351390734519</v>
      </c>
      <c r="Q88" s="156">
        <f t="shared" si="41"/>
        <v>3.9130596772360491</v>
      </c>
      <c r="R88" s="156">
        <f t="shared" si="42"/>
        <v>3.7137761633287041</v>
      </c>
      <c r="S88" s="156">
        <f t="shared" si="43"/>
        <v>4.1123431911433945</v>
      </c>
      <c r="T88" s="149">
        <f t="shared" si="44"/>
        <v>8185.772626754595</v>
      </c>
      <c r="U88" s="157">
        <f t="shared" si="49"/>
        <v>1.1739999999999999</v>
      </c>
      <c r="V88" s="149">
        <f t="shared" si="45"/>
        <v>5173.4012458236184</v>
      </c>
      <c r="W88" s="157">
        <f t="shared" si="46"/>
        <v>1.1739999999999999</v>
      </c>
      <c r="X88" s="149">
        <f t="shared" si="47"/>
        <v>12952.189538945649</v>
      </c>
      <c r="Y88" s="157">
        <f t="shared" si="48"/>
        <v>1.1739999999999999</v>
      </c>
      <c r="Z88" s="3"/>
      <c r="AA88" s="60"/>
      <c r="AB88" s="60"/>
      <c r="AC88" s="60"/>
      <c r="AD88" s="60"/>
      <c r="AE88" s="60"/>
      <c r="AF88" s="60"/>
      <c r="AG88" s="60"/>
      <c r="AH88" s="60"/>
      <c r="AI88" s="1"/>
      <c r="AJ88" s="1"/>
      <c r="AK88" s="1"/>
    </row>
    <row r="89" spans="1:37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156">
        <f t="shared" si="39"/>
        <v>7.2984744627930309E-2</v>
      </c>
      <c r="P89" s="208">
        <f t="shared" si="40"/>
        <v>0.20226644459373819</v>
      </c>
      <c r="Q89" s="156">
        <f t="shared" si="41"/>
        <v>3.8929528127017581</v>
      </c>
      <c r="R89" s="156">
        <f t="shared" si="42"/>
        <v>3.69068636810802</v>
      </c>
      <c r="S89" s="156">
        <f t="shared" si="43"/>
        <v>4.0952192572954962</v>
      </c>
      <c r="T89" s="149">
        <f t="shared" si="44"/>
        <v>7815.4288317619194</v>
      </c>
      <c r="U89" s="157">
        <f t="shared" si="49"/>
        <v>1.1829999999999998</v>
      </c>
      <c r="V89" s="149">
        <f t="shared" si="45"/>
        <v>4905.5348807721075</v>
      </c>
      <c r="W89" s="157">
        <f t="shared" si="46"/>
        <v>1.1829999999999998</v>
      </c>
      <c r="X89" s="149">
        <f t="shared" si="47"/>
        <v>12451.430742802455</v>
      </c>
      <c r="Y89" s="157">
        <f t="shared" si="48"/>
        <v>1.1829999999999998</v>
      </c>
      <c r="Z89" s="3"/>
      <c r="AA89" s="60"/>
      <c r="AB89" s="60"/>
      <c r="AC89" s="60"/>
      <c r="AD89" s="60"/>
      <c r="AE89" s="60"/>
      <c r="AF89" s="60"/>
      <c r="AG89" s="60"/>
      <c r="AH89" s="60"/>
      <c r="AI89" s="1"/>
      <c r="AJ89" s="1"/>
      <c r="AK89" s="1"/>
    </row>
    <row r="90" spans="1:37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156">
        <f t="shared" si="39"/>
        <v>7.6276255404217688E-2</v>
      </c>
      <c r="P90" s="208">
        <f t="shared" si="40"/>
        <v>0.2052527895845884</v>
      </c>
      <c r="Q90" s="156">
        <f t="shared" si="41"/>
        <v>3.8729983384999853</v>
      </c>
      <c r="R90" s="156">
        <f t="shared" si="42"/>
        <v>3.6677455489153967</v>
      </c>
      <c r="S90" s="156">
        <f t="shared" si="43"/>
        <v>4.0782511280845739</v>
      </c>
      <c r="T90" s="149">
        <f t="shared" si="44"/>
        <v>7464.4590269280052</v>
      </c>
      <c r="U90" s="157">
        <f t="shared" si="49"/>
        <v>1.1920000000000002</v>
      </c>
      <c r="V90" s="149">
        <f t="shared" si="45"/>
        <v>4653.1338872700935</v>
      </c>
      <c r="W90" s="157">
        <f t="shared" si="46"/>
        <v>1.1920000000000002</v>
      </c>
      <c r="X90" s="149">
        <f t="shared" si="47"/>
        <v>11974.327391936657</v>
      </c>
      <c r="Y90" s="157">
        <f t="shared" si="48"/>
        <v>1.1920000000000002</v>
      </c>
      <c r="Z90" s="3"/>
      <c r="AA90" s="60"/>
      <c r="AB90" s="60"/>
      <c r="AC90" s="60"/>
      <c r="AD90" s="60"/>
      <c r="AE90" s="60"/>
      <c r="AF90" s="60"/>
      <c r="AG90" s="60"/>
      <c r="AH90" s="60"/>
      <c r="AI90" s="1"/>
      <c r="AJ90" s="1"/>
      <c r="AK90" s="1"/>
    </row>
    <row r="91" spans="1:37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156">
        <f t="shared" si="39"/>
        <v>7.9543007402906069E-2</v>
      </c>
      <c r="P91" s="208">
        <f t="shared" si="40"/>
        <v>0.20824119979134006</v>
      </c>
      <c r="Q91" s="156">
        <f t="shared" si="41"/>
        <v>3.8531939620564897</v>
      </c>
      <c r="R91" s="156">
        <f t="shared" si="42"/>
        <v>3.6449527622651496</v>
      </c>
      <c r="S91" s="156">
        <f t="shared" si="43"/>
        <v>4.0614351618478297</v>
      </c>
      <c r="T91" s="149">
        <f t="shared" si="44"/>
        <v>7131.7147147434243</v>
      </c>
      <c r="U91" s="157">
        <f t="shared" si="49"/>
        <v>1.2010000000000001</v>
      </c>
      <c r="V91" s="149">
        <f t="shared" si="45"/>
        <v>4415.2242083161764</v>
      </c>
      <c r="W91" s="157">
        <f t="shared" si="46"/>
        <v>1.2010000000000001</v>
      </c>
      <c r="X91" s="149">
        <f t="shared" si="47"/>
        <v>11519.54065587185</v>
      </c>
      <c r="Y91" s="157">
        <f t="shared" si="48"/>
        <v>1.2010000000000001</v>
      </c>
      <c r="Z91" s="3"/>
      <c r="AA91" s="60"/>
      <c r="AB91" s="60"/>
      <c r="AC91" s="60"/>
      <c r="AD91" s="60"/>
      <c r="AE91" s="60"/>
      <c r="AF91" s="60"/>
      <c r="AG91" s="60"/>
      <c r="AH91" s="60"/>
      <c r="AI91" s="1"/>
      <c r="AJ91" s="1"/>
      <c r="AK91" s="1"/>
    </row>
    <row r="92" spans="1:37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156">
        <f t="shared" si="39"/>
        <v>8.2785370316450071E-2</v>
      </c>
      <c r="P92" s="208">
        <f t="shared" si="40"/>
        <v>0.21123043638238187</v>
      </c>
      <c r="Q92" s="156">
        <f t="shared" si="41"/>
        <v>3.8335374421455701</v>
      </c>
      <c r="R92" s="156">
        <f t="shared" si="42"/>
        <v>3.6223070057631883</v>
      </c>
      <c r="S92" s="156">
        <f t="shared" si="43"/>
        <v>4.0447678785279519</v>
      </c>
      <c r="T92" s="149">
        <f t="shared" si="44"/>
        <v>6816.1233653301415</v>
      </c>
      <c r="U92" s="157">
        <f t="shared" si="49"/>
        <v>1.21</v>
      </c>
      <c r="V92" s="149">
        <f t="shared" si="45"/>
        <v>4190.8971784003916</v>
      </c>
      <c r="W92" s="157">
        <f t="shared" si="46"/>
        <v>1.21</v>
      </c>
      <c r="X92" s="149">
        <f t="shared" si="47"/>
        <v>11085.821425266404</v>
      </c>
      <c r="Y92" s="157">
        <f t="shared" si="48"/>
        <v>1.21</v>
      </c>
      <c r="Z92" s="3"/>
      <c r="AA92" s="60"/>
      <c r="AB92" s="60"/>
      <c r="AC92" s="60"/>
      <c r="AD92" s="60"/>
      <c r="AE92" s="60"/>
      <c r="AF92" s="60"/>
      <c r="AG92" s="60"/>
      <c r="AH92" s="60"/>
      <c r="AI92" s="1"/>
      <c r="AJ92" s="1"/>
      <c r="AK92" s="1"/>
    </row>
    <row r="93" spans="1:37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156">
        <f t="shared" si="39"/>
        <v>8.6003705618381956E-2</v>
      </c>
      <c r="P93" s="208">
        <f t="shared" si="40"/>
        <v>0.21421936202235081</v>
      </c>
      <c r="Q93" s="156">
        <f t="shared" si="41"/>
        <v>3.8140265873679677</v>
      </c>
      <c r="R93" s="156">
        <f t="shared" si="42"/>
        <v>3.599807225345617</v>
      </c>
      <c r="S93" s="156">
        <f t="shared" si="43"/>
        <v>4.0282459493903184</v>
      </c>
      <c r="T93" s="149">
        <f t="shared" si="44"/>
        <v>6516.6828776187267</v>
      </c>
      <c r="U93" s="157">
        <f t="shared" si="49"/>
        <v>1.2190000000000001</v>
      </c>
      <c r="V93" s="149">
        <f t="shared" si="45"/>
        <v>3979.3049793814776</v>
      </c>
      <c r="W93" s="157">
        <f t="shared" si="46"/>
        <v>1.2190000000000001</v>
      </c>
      <c r="X93" s="149">
        <f t="shared" si="47"/>
        <v>10672.003263758397</v>
      </c>
      <c r="Y93" s="157">
        <f t="shared" si="48"/>
        <v>1.2190000000000001</v>
      </c>
      <c r="Z93" s="3"/>
      <c r="AA93" s="60"/>
      <c r="AB93" s="60"/>
      <c r="AC93" s="60"/>
      <c r="AD93" s="60"/>
      <c r="AE93" s="60"/>
      <c r="AF93" s="60"/>
      <c r="AG93" s="60"/>
      <c r="AH93" s="60"/>
      <c r="AI93" s="1"/>
      <c r="AJ93" s="1"/>
      <c r="AK93" s="1"/>
    </row>
    <row r="94" spans="1:37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156">
        <f t="shared" si="39"/>
        <v>8.9198366805148865E-2</v>
      </c>
      <c r="P94" s="208">
        <f t="shared" si="40"/>
        <v>0.21720693280989536</v>
      </c>
      <c r="Q94" s="156">
        <f t="shared" si="41"/>
        <v>3.7946592546847526</v>
      </c>
      <c r="R94" s="156">
        <f t="shared" si="42"/>
        <v>3.5774523218748571</v>
      </c>
      <c r="S94" s="156">
        <f t="shared" si="43"/>
        <v>4.0118661874946477</v>
      </c>
      <c r="T94" s="149">
        <f t="shared" si="44"/>
        <v>6232.4564812924782</v>
      </c>
      <c r="U94" s="157">
        <f t="shared" si="49"/>
        <v>1.228</v>
      </c>
      <c r="V94" s="149">
        <f t="shared" si="45"/>
        <v>3779.6564084469924</v>
      </c>
      <c r="W94" s="157">
        <f t="shared" si="46"/>
        <v>1.228</v>
      </c>
      <c r="X94" s="149">
        <f t="shared" si="47"/>
        <v>10276.99600005836</v>
      </c>
      <c r="Y94" s="157">
        <f t="shared" si="48"/>
        <v>1.228</v>
      </c>
      <c r="Z94" s="3"/>
      <c r="AA94" s="60"/>
      <c r="AB94" s="60"/>
      <c r="AC94" s="60"/>
      <c r="AD94" s="60"/>
      <c r="AE94" s="60"/>
      <c r="AF94" s="60"/>
      <c r="AG94" s="60"/>
      <c r="AH94" s="60"/>
      <c r="AI94" s="1"/>
      <c r="AJ94" s="1"/>
      <c r="AK94" s="1"/>
    </row>
    <row r="95" spans="1:37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156">
        <f t="shared" si="39"/>
        <v>9.2369699629120686E-2</v>
      </c>
      <c r="P95" s="208">
        <f t="shared" si="40"/>
        <v>0.22019219086330569</v>
      </c>
      <c r="Q95" s="156">
        <f t="shared" si="41"/>
        <v>3.7754333480047326</v>
      </c>
      <c r="R95" s="156">
        <f t="shared" si="42"/>
        <v>3.5552411571414271</v>
      </c>
      <c r="S95" s="156">
        <f t="shared" si="43"/>
        <v>3.9956255388680382</v>
      </c>
      <c r="T95" s="149">
        <f t="shared" si="44"/>
        <v>5962.568041526758</v>
      </c>
      <c r="U95" s="157">
        <f t="shared" si="49"/>
        <v>1.2370000000000001</v>
      </c>
      <c r="V95" s="149">
        <f t="shared" si="45"/>
        <v>3591.2129389913271</v>
      </c>
      <c r="W95" s="157">
        <f t="shared" si="46"/>
        <v>1.2370000000000001</v>
      </c>
      <c r="X95" s="149">
        <f t="shared" si="47"/>
        <v>9899.7798943723665</v>
      </c>
      <c r="Y95" s="157">
        <f t="shared" si="48"/>
        <v>1.2370000000000001</v>
      </c>
      <c r="Z95" s="3"/>
      <c r="AA95" s="60"/>
      <c r="AB95" s="60"/>
      <c r="AC95" s="60"/>
      <c r="AD95" s="60"/>
      <c r="AE95" s="60"/>
      <c r="AF95" s="60"/>
      <c r="AG95" s="60"/>
      <c r="AH95" s="60"/>
      <c r="AI95" s="1"/>
      <c r="AJ95" s="1"/>
      <c r="AK95" s="1"/>
    </row>
    <row r="96" spans="1:37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156">
        <f t="shared" si="39"/>
        <v>9.5518042323150809E-2</v>
      </c>
      <c r="P96" s="208">
        <f t="shared" si="40"/>
        <v>0.22317425750546638</v>
      </c>
      <c r="Q96" s="156">
        <f t="shared" si="41"/>
        <v>3.7563468168230769</v>
      </c>
      <c r="R96" s="156">
        <f t="shared" si="42"/>
        <v>3.5331725593176104</v>
      </c>
      <c r="S96" s="156">
        <f t="shared" si="43"/>
        <v>3.9795210743285434</v>
      </c>
      <c r="T96" s="149">
        <f t="shared" si="44"/>
        <v>5706.1977320688584</v>
      </c>
      <c r="U96" s="157">
        <f t="shared" si="49"/>
        <v>1.246</v>
      </c>
      <c r="V96" s="149">
        <f t="shared" si="45"/>
        <v>3413.2850559487511</v>
      </c>
      <c r="W96" s="157">
        <f t="shared" si="46"/>
        <v>1.246</v>
      </c>
      <c r="X96" s="149">
        <f t="shared" si="47"/>
        <v>9539.400320732153</v>
      </c>
      <c r="Y96" s="157">
        <f t="shared" si="48"/>
        <v>1.246</v>
      </c>
      <c r="Z96" s="3"/>
      <c r="AA96" s="60"/>
      <c r="AB96" s="60"/>
      <c r="AC96" s="60"/>
      <c r="AD96" s="60"/>
      <c r="AE96" s="60"/>
      <c r="AF96" s="60"/>
      <c r="AG96" s="60"/>
      <c r="AH96" s="60"/>
      <c r="AI96" s="1"/>
      <c r="AJ96" s="1"/>
      <c r="AK96" s="1"/>
    </row>
    <row r="97" spans="1:37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156">
        <f t="shared" si="39"/>
        <v>9.864372581705691E-2</v>
      </c>
      <c r="P97" s="208">
        <f t="shared" si="40"/>
        <v>0.22615232700199764</v>
      </c>
      <c r="Q97" s="156">
        <f t="shared" si="41"/>
        <v>3.7373976549089214</v>
      </c>
      <c r="R97" s="156">
        <f t="shared" si="42"/>
        <v>3.5112453279069236</v>
      </c>
      <c r="S97" s="156">
        <f t="shared" si="43"/>
        <v>3.9635499819109192</v>
      </c>
      <c r="T97" s="149">
        <f t="shared" si="44"/>
        <v>5462.5780453726484</v>
      </c>
      <c r="U97" s="157">
        <f t="shared" si="49"/>
        <v>1.2549999999999999</v>
      </c>
      <c r="V97" s="149">
        <f t="shared" si="45"/>
        <v>3245.2288478876103</v>
      </c>
      <c r="W97" s="157">
        <f t="shared" si="46"/>
        <v>1.2549999999999999</v>
      </c>
      <c r="X97" s="149">
        <f t="shared" si="47"/>
        <v>9194.9629133891922</v>
      </c>
      <c r="Y97" s="157">
        <f t="shared" si="48"/>
        <v>1.2549999999999999</v>
      </c>
      <c r="Z97" s="3"/>
      <c r="AA97" s="60"/>
      <c r="AB97" s="60"/>
      <c r="AC97" s="60"/>
      <c r="AD97" s="60"/>
      <c r="AE97" s="60"/>
      <c r="AF97" s="60"/>
      <c r="AG97" s="60"/>
      <c r="AH97" s="60"/>
      <c r="AI97" s="1"/>
      <c r="AJ97" s="1"/>
      <c r="AK97" s="1"/>
    </row>
    <row r="98" spans="1:37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156">
        <f t="shared" si="39"/>
        <v>0.10174707394636628</v>
      </c>
      <c r="P98" s="208">
        <f t="shared" ref="P98:P102" si="50">SQRT(2*$I$16*$K$24)*SQRT((1/$I$1)+((O98-$I$10)^2/$I$7))</f>
        <v>0.22912566080907157</v>
      </c>
      <c r="Q98" s="156">
        <f t="shared" si="41"/>
        <v>3.7185838990398699</v>
      </c>
      <c r="R98" s="156">
        <f t="shared" si="42"/>
        <v>3.4894582382307981</v>
      </c>
      <c r="S98" s="156">
        <f t="shared" si="43"/>
        <v>3.9477095598489416</v>
      </c>
      <c r="T98" s="149">
        <f t="shared" si="44"/>
        <v>5230.9901113597416</v>
      </c>
      <c r="U98" s="157">
        <f t="shared" si="49"/>
        <v>1.2640000000000002</v>
      </c>
      <c r="V98" s="149">
        <f t="shared" si="45"/>
        <v>3086.4428389862055</v>
      </c>
      <c r="W98" s="157">
        <f t="shared" si="46"/>
        <v>1.2640000000000002</v>
      </c>
      <c r="X98" s="149">
        <f t="shared" si="47"/>
        <v>8865.6291312141475</v>
      </c>
      <c r="Y98" s="157">
        <f t="shared" si="48"/>
        <v>1.2640000000000002</v>
      </c>
      <c r="Z98" s="3"/>
      <c r="AA98" s="60"/>
      <c r="AB98" s="60"/>
      <c r="AC98" s="60"/>
      <c r="AD98" s="60"/>
      <c r="AE98" s="60"/>
      <c r="AF98" s="60"/>
      <c r="AG98" s="60"/>
      <c r="AH98" s="60"/>
      <c r="AI98" s="1"/>
      <c r="AJ98" s="1"/>
      <c r="AK98" s="1"/>
    </row>
    <row r="99" spans="1:37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156">
        <f t="shared" si="39"/>
        <v>0.10482840365365544</v>
      </c>
      <c r="P99" s="208">
        <f t="shared" si="50"/>
        <v>0.23209358229011326</v>
      </c>
      <c r="Q99" s="156">
        <f t="shared" si="41"/>
        <v>3.6999036277813895</v>
      </c>
      <c r="R99" s="156">
        <f t="shared" si="42"/>
        <v>3.4678100454912761</v>
      </c>
      <c r="S99" s="156">
        <f t="shared" si="43"/>
        <v>3.9319972100715028</v>
      </c>
      <c r="T99" s="149">
        <f t="shared" si="44"/>
        <v>5010.7602989574216</v>
      </c>
      <c r="U99" s="157">
        <f t="shared" si="49"/>
        <v>1.2730000000000001</v>
      </c>
      <c r="V99" s="149">
        <f t="shared" si="45"/>
        <v>2936.3650448519838</v>
      </c>
      <c r="W99" s="157">
        <f t="shared" si="46"/>
        <v>1.2730000000000001</v>
      </c>
      <c r="X99" s="149">
        <f t="shared" si="47"/>
        <v>8550.6121991291911</v>
      </c>
      <c r="Y99" s="157">
        <f t="shared" si="48"/>
        <v>1.2730000000000001</v>
      </c>
      <c r="Z99" s="3"/>
      <c r="AA99" s="60"/>
      <c r="AB99" s="60"/>
      <c r="AC99" s="60"/>
      <c r="AD99" s="60"/>
      <c r="AE99" s="60"/>
      <c r="AF99" s="60"/>
      <c r="AG99" s="60"/>
      <c r="AH99" s="60"/>
      <c r="AI99" s="1"/>
      <c r="AJ99" s="1"/>
      <c r="AK99" s="1"/>
    </row>
    <row r="100" spans="1:37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156">
        <f t="shared" si="39"/>
        <v>0.10788802518279862</v>
      </c>
      <c r="P100" s="208">
        <f t="shared" si="50"/>
        <v>0.23505547186334777</v>
      </c>
      <c r="Q100" s="156">
        <f t="shared" si="41"/>
        <v>3.6813549603092017</v>
      </c>
      <c r="R100" s="156">
        <f t="shared" si="42"/>
        <v>3.4462994884458538</v>
      </c>
      <c r="S100" s="156">
        <f t="shared" si="43"/>
        <v>3.9164104321725497</v>
      </c>
      <c r="T100" s="149">
        <f t="shared" si="44"/>
        <v>4801.2570768918686</v>
      </c>
      <c r="U100" s="157">
        <f t="shared" si="49"/>
        <v>1.282</v>
      </c>
      <c r="V100" s="149">
        <f t="shared" si="45"/>
        <v>2794.4702369972078</v>
      </c>
      <c r="W100" s="157">
        <f t="shared" si="46"/>
        <v>1.282</v>
      </c>
      <c r="X100" s="149">
        <f t="shared" si="47"/>
        <v>8249.173390078693</v>
      </c>
      <c r="Y100" s="157">
        <f t="shared" si="48"/>
        <v>1.282</v>
      </c>
      <c r="Z100" s="3"/>
      <c r="AA100" s="60"/>
      <c r="AB100" s="60"/>
      <c r="AC100" s="60"/>
      <c r="AD100" s="60"/>
      <c r="AE100" s="60"/>
      <c r="AF100" s="60"/>
      <c r="AG100" s="60"/>
      <c r="AH100" s="60"/>
      <c r="AI100" s="1"/>
      <c r="AJ100" s="1"/>
      <c r="AK100" s="1"/>
    </row>
    <row r="101" spans="1:37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156">
        <f t="shared" si="39"/>
        <v>0.11092624226642035</v>
      </c>
      <c r="P101" s="208">
        <f t="shared" si="50"/>
        <v>0.23801076254485234</v>
      </c>
      <c r="Q101" s="156">
        <f t="shared" si="41"/>
        <v>3.6629360552728656</v>
      </c>
      <c r="R101" s="156">
        <f t="shared" si="42"/>
        <v>3.4249252927280134</v>
      </c>
      <c r="S101" s="156">
        <f t="shared" si="43"/>
        <v>3.9009468178177178</v>
      </c>
      <c r="T101" s="149">
        <f t="shared" si="44"/>
        <v>4601.8881123193632</v>
      </c>
      <c r="U101" s="157">
        <f t="shared" si="49"/>
        <v>1.2910000000000001</v>
      </c>
      <c r="V101" s="149">
        <f t="shared" si="45"/>
        <v>2660.2674016352385</v>
      </c>
      <c r="W101" s="157">
        <f t="shared" si="46"/>
        <v>1.2910000000000001</v>
      </c>
      <c r="X101" s="149">
        <f t="shared" si="47"/>
        <v>7960.6186149891391</v>
      </c>
      <c r="Y101" s="157">
        <f t="shared" si="48"/>
        <v>1.2910000000000001</v>
      </c>
      <c r="Z101" s="3"/>
      <c r="AA101" s="60"/>
      <c r="AB101" s="60"/>
      <c r="AC101" s="60"/>
      <c r="AD101" s="60"/>
      <c r="AE101" s="60"/>
      <c r="AF101" s="60"/>
      <c r="AG101" s="60"/>
      <c r="AH101" s="60"/>
      <c r="AI101" s="1"/>
      <c r="AJ101" s="1"/>
      <c r="AK101" s="1"/>
    </row>
    <row r="102" spans="1:37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156">
        <f t="shared" si="39"/>
        <v>0.11394335230683679</v>
      </c>
      <c r="P102" s="208">
        <f t="shared" si="50"/>
        <v>0.24095893585440503</v>
      </c>
      <c r="Q102" s="156">
        <f t="shared" si="41"/>
        <v>3.6446451096988373</v>
      </c>
      <c r="R102" s="156">
        <f t="shared" si="42"/>
        <v>3.4036861738444322</v>
      </c>
      <c r="S102" s="156">
        <f t="shared" si="43"/>
        <v>3.8856040455532423</v>
      </c>
      <c r="T102" s="149">
        <f t="shared" si="44"/>
        <v>4412.0975877812307</v>
      </c>
      <c r="U102" s="157">
        <f t="shared" si="49"/>
        <v>1.3</v>
      </c>
      <c r="V102" s="149">
        <f t="shared" si="45"/>
        <v>2533.2973793002775</v>
      </c>
      <c r="W102" s="157">
        <f t="shared" si="46"/>
        <v>1.3</v>
      </c>
      <c r="X102" s="149">
        <f t="shared" si="47"/>
        <v>7684.2952916494269</v>
      </c>
      <c r="Y102" s="157">
        <f t="shared" si="48"/>
        <v>1.3</v>
      </c>
      <c r="Z102" s="3"/>
      <c r="AA102" s="60"/>
      <c r="AB102" s="60"/>
      <c r="AC102" s="60"/>
      <c r="AD102" s="60"/>
      <c r="AE102" s="60"/>
      <c r="AF102" s="60"/>
      <c r="AG102" s="60"/>
      <c r="AH102" s="60"/>
      <c r="AI102" s="1"/>
      <c r="AJ102" s="1"/>
      <c r="AK102" s="1"/>
    </row>
    <row r="103" spans="1:37" x14ac:dyDescent="0.2"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2"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2"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x14ac:dyDescent="0.2"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2"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x14ac:dyDescent="0.2"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2"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"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x14ac:dyDescent="0.2"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x14ac:dyDescent="0.2"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21:37" x14ac:dyDescent="0.2"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21:37" x14ac:dyDescent="0.2"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21:37" x14ac:dyDescent="0.2"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21:37" x14ac:dyDescent="0.2"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21:37" x14ac:dyDescent="0.2"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21:37" x14ac:dyDescent="0.2"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21:37" x14ac:dyDescent="0.2"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21:37" x14ac:dyDescent="0.2"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21:37" x14ac:dyDescent="0.2"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21:37" x14ac:dyDescent="0.2"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21:37" x14ac:dyDescent="0.2"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</sheetData>
  <mergeCells count="3">
    <mergeCell ref="T1:U1"/>
    <mergeCell ref="V1:W1"/>
    <mergeCell ref="X1:Y1"/>
  </mergeCells>
  <phoneticPr fontId="3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3"/>
  <sheetViews>
    <sheetView zoomScale="75" workbookViewId="0">
      <selection activeCell="J14" sqref="J14"/>
    </sheetView>
  </sheetViews>
  <sheetFormatPr defaultRowHeight="12.75" x14ac:dyDescent="0.2"/>
  <cols>
    <col min="1" max="1" width="12.140625" customWidth="1"/>
    <col min="2" max="2" width="13.7109375" bestFit="1" customWidth="1"/>
    <col min="3" max="7" width="9" bestFit="1" customWidth="1"/>
    <col min="8" max="8" width="15.28515625" customWidth="1"/>
    <col min="9" max="10" width="12.7109375" customWidth="1"/>
    <col min="11" max="11" width="15.42578125" customWidth="1"/>
    <col min="12" max="12" width="12.7109375" customWidth="1"/>
    <col min="13" max="13" width="10.5703125" bestFit="1" customWidth="1"/>
    <col min="14" max="19" width="13.140625" customWidth="1"/>
    <col min="20" max="25" width="9" customWidth="1"/>
    <col min="26" max="26" width="26.85546875" customWidth="1"/>
    <col min="27" max="27" width="14.85546875" customWidth="1"/>
    <col min="28" max="28" width="12.42578125" customWidth="1"/>
    <col min="29" max="29" width="16.7109375" customWidth="1"/>
    <col min="31" max="31" width="16.42578125" customWidth="1"/>
    <col min="32" max="32" width="11.28515625" customWidth="1"/>
    <col min="33" max="33" width="13" customWidth="1"/>
    <col min="34" max="34" width="13.42578125" customWidth="1"/>
  </cols>
  <sheetData>
    <row r="1" spans="1:37" ht="13.5" thickBot="1" x14ac:dyDescent="0.25">
      <c r="A1" s="152" t="s">
        <v>27</v>
      </c>
      <c r="B1" s="152"/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153" t="s">
        <v>33</v>
      </c>
      <c r="I1" s="154">
        <f>COUNT(C:C)</f>
        <v>0</v>
      </c>
      <c r="J1" s="3"/>
      <c r="K1" s="3"/>
      <c r="L1" s="3"/>
      <c r="M1" s="60" t="s">
        <v>28</v>
      </c>
      <c r="N1" s="60" t="s">
        <v>34</v>
      </c>
      <c r="O1" s="60" t="s">
        <v>28</v>
      </c>
      <c r="P1" s="60" t="s">
        <v>35</v>
      </c>
      <c r="Q1" s="60" t="s">
        <v>36</v>
      </c>
      <c r="R1" s="60" t="s">
        <v>37</v>
      </c>
      <c r="S1" s="60" t="s">
        <v>38</v>
      </c>
      <c r="T1" s="229" t="s">
        <v>39</v>
      </c>
      <c r="U1" s="229"/>
      <c r="V1" s="229" t="s">
        <v>40</v>
      </c>
      <c r="W1" s="229"/>
      <c r="X1" s="229" t="s">
        <v>41</v>
      </c>
      <c r="Y1" s="229"/>
      <c r="Z1" s="3" t="s">
        <v>42</v>
      </c>
      <c r="AA1" s="3"/>
      <c r="AB1" s="3"/>
      <c r="AC1" s="3"/>
      <c r="AD1" s="3"/>
      <c r="AE1" s="3"/>
      <c r="AF1" s="3"/>
      <c r="AG1" s="3"/>
      <c r="AH1" s="3"/>
      <c r="AI1" s="1"/>
      <c r="AJ1" s="1"/>
      <c r="AK1" s="1"/>
    </row>
    <row r="2" spans="1:37" ht="13.5" thickBot="1" x14ac:dyDescent="0.25">
      <c r="A2" s="50">
        <f>+Results!D23</f>
        <v>0</v>
      </c>
      <c r="B2" s="49" t="str">
        <f>+Results!C23</f>
        <v>Statisk</v>
      </c>
      <c r="C2" s="50" t="e">
        <f t="shared" ref="C2:D5" si="0">LOG(A2)</f>
        <v>#NUM!</v>
      </c>
      <c r="D2" s="50" t="e">
        <f t="shared" si="0"/>
        <v>#VALUE!</v>
      </c>
      <c r="E2" s="50" t="e">
        <f t="shared" ref="E2:F5" si="1">+C2^2</f>
        <v>#NUM!</v>
      </c>
      <c r="F2" s="50" t="e">
        <f t="shared" si="1"/>
        <v>#VALUE!</v>
      </c>
      <c r="G2" s="3" t="e">
        <f>+C2*D2</f>
        <v>#NUM!</v>
      </c>
      <c r="H2" s="155" t="s">
        <v>43</v>
      </c>
      <c r="I2" s="56" t="e">
        <f>SUM(C:C)</f>
        <v>#NUM!</v>
      </c>
      <c r="J2" s="50"/>
      <c r="K2" s="50"/>
      <c r="L2" s="50"/>
      <c r="M2" s="150" t="e">
        <f t="shared" ref="M2:M19" si="2">+C2</f>
        <v>#NUM!</v>
      </c>
      <c r="N2" s="156" t="e">
        <f t="shared" ref="N2:N19" si="3">+$I$13+$I$12*M2</f>
        <v>#VALUE!</v>
      </c>
      <c r="O2" s="156" t="e">
        <f t="shared" ref="O2:O65" si="4">LOG($I$19+($I$20-$I$19)*(ROW()-2)/100)</f>
        <v>#NUM!</v>
      </c>
      <c r="P2" s="208" t="e">
        <f t="shared" ref="P2:P33" si="5">SQRT(2*$I$16*$K$24)*SQRT((1/$I$1)+((O2-$I$10)^2/$I$7))</f>
        <v>#N/A</v>
      </c>
      <c r="Q2" s="156" t="e">
        <f t="shared" ref="Q2:Q65" si="6">+$I$13+$I$12*O2</f>
        <v>#VALUE!</v>
      </c>
      <c r="R2" s="156" t="e">
        <f t="shared" ref="R2:R65" si="7">+$I$13+$I$12*O2-P2</f>
        <v>#VALUE!</v>
      </c>
      <c r="S2" s="156" t="e">
        <f t="shared" ref="S2:S65" si="8">+$I$13+$I$12*O2+P2</f>
        <v>#VALUE!</v>
      </c>
      <c r="T2" s="149" t="e">
        <f t="shared" ref="T2:T65" si="9">10^Q2</f>
        <v>#VALUE!</v>
      </c>
      <c r="U2" s="157" t="e">
        <f>10^$O2</f>
        <v>#NUM!</v>
      </c>
      <c r="V2" s="149" t="e">
        <f t="shared" ref="V2:V65" si="10">10^R2</f>
        <v>#VALUE!</v>
      </c>
      <c r="W2" s="157" t="e">
        <f t="shared" ref="W2:W65" si="11">10^$O2</f>
        <v>#NUM!</v>
      </c>
      <c r="X2" s="149" t="e">
        <f t="shared" ref="X2:X65" si="12">10^S2</f>
        <v>#VALUE!</v>
      </c>
      <c r="Y2" s="157" t="e">
        <f t="shared" ref="Y2:Y65" si="13">10^$O2</f>
        <v>#NUM!</v>
      </c>
      <c r="Z2" s="3"/>
      <c r="AA2" s="3"/>
      <c r="AB2" s="3"/>
      <c r="AC2" s="3"/>
      <c r="AD2" s="3"/>
      <c r="AE2" s="3"/>
      <c r="AF2" s="3"/>
      <c r="AG2" s="3"/>
      <c r="AH2" s="3"/>
      <c r="AI2" s="1"/>
      <c r="AJ2" s="1"/>
      <c r="AK2" s="1"/>
    </row>
    <row r="3" spans="1:37" x14ac:dyDescent="0.2">
      <c r="A3" s="50">
        <f>+Results!D24</f>
        <v>0</v>
      </c>
      <c r="B3" s="49" t="str">
        <f>+Results!C24</f>
        <v>Statisk</v>
      </c>
      <c r="C3" s="50" t="e">
        <f t="shared" si="0"/>
        <v>#NUM!</v>
      </c>
      <c r="D3" s="50" t="e">
        <f t="shared" si="0"/>
        <v>#VALUE!</v>
      </c>
      <c r="E3" s="50" t="e">
        <f t="shared" si="1"/>
        <v>#NUM!</v>
      </c>
      <c r="F3" s="50" t="e">
        <f t="shared" si="1"/>
        <v>#VALUE!</v>
      </c>
      <c r="G3" s="3" t="e">
        <f t="shared" ref="G3:G5" si="14">+C3*D3</f>
        <v>#NUM!</v>
      </c>
      <c r="H3" s="158" t="s">
        <v>44</v>
      </c>
      <c r="I3" s="56" t="e">
        <f>SUM(D:D)</f>
        <v>#VALUE!</v>
      </c>
      <c r="J3" s="50"/>
      <c r="K3" s="50"/>
      <c r="L3" s="50"/>
      <c r="M3" s="150" t="e">
        <f t="shared" si="2"/>
        <v>#NUM!</v>
      </c>
      <c r="N3" s="156" t="e">
        <f t="shared" si="3"/>
        <v>#VALUE!</v>
      </c>
      <c r="O3" s="156" t="e">
        <f t="shared" si="4"/>
        <v>#NUM!</v>
      </c>
      <c r="P3" s="208" t="e">
        <f t="shared" si="5"/>
        <v>#N/A</v>
      </c>
      <c r="Q3" s="156" t="e">
        <f t="shared" si="6"/>
        <v>#VALUE!</v>
      </c>
      <c r="R3" s="156" t="e">
        <f t="shared" si="7"/>
        <v>#VALUE!</v>
      </c>
      <c r="S3" s="156" t="e">
        <f t="shared" si="8"/>
        <v>#VALUE!</v>
      </c>
      <c r="T3" s="149" t="e">
        <f t="shared" si="9"/>
        <v>#VALUE!</v>
      </c>
      <c r="U3" s="157" t="e">
        <f t="shared" ref="U3:U66" si="15">10^O3</f>
        <v>#NUM!</v>
      </c>
      <c r="V3" s="149" t="e">
        <f t="shared" si="10"/>
        <v>#VALUE!</v>
      </c>
      <c r="W3" s="157" t="e">
        <f t="shared" si="11"/>
        <v>#NUM!</v>
      </c>
      <c r="X3" s="149" t="e">
        <f t="shared" si="12"/>
        <v>#VALUE!</v>
      </c>
      <c r="Y3" s="157" t="e">
        <f t="shared" si="13"/>
        <v>#NUM!</v>
      </c>
      <c r="Z3" s="159" t="s">
        <v>45</v>
      </c>
      <c r="AA3" s="159"/>
      <c r="AB3" s="3"/>
      <c r="AC3" s="3"/>
      <c r="AD3" s="3"/>
      <c r="AE3" s="3"/>
      <c r="AF3" s="3"/>
      <c r="AG3" s="3"/>
      <c r="AH3" s="3"/>
      <c r="AI3" s="1"/>
      <c r="AJ3" s="1"/>
      <c r="AK3" s="1"/>
    </row>
    <row r="4" spans="1:37" x14ac:dyDescent="0.2">
      <c r="A4" s="50">
        <f>+Results!D25</f>
        <v>0</v>
      </c>
      <c r="B4" s="49" t="str">
        <f>+Results!C25</f>
        <v>Statisk</v>
      </c>
      <c r="C4" s="50" t="e">
        <f t="shared" si="0"/>
        <v>#NUM!</v>
      </c>
      <c r="D4" s="50" t="e">
        <f t="shared" si="0"/>
        <v>#VALUE!</v>
      </c>
      <c r="E4" s="50" t="e">
        <f t="shared" si="1"/>
        <v>#NUM!</v>
      </c>
      <c r="F4" s="50" t="e">
        <f t="shared" si="1"/>
        <v>#VALUE!</v>
      </c>
      <c r="G4" s="3" t="e">
        <f t="shared" si="14"/>
        <v>#NUM!</v>
      </c>
      <c r="H4" s="158" t="s">
        <v>46</v>
      </c>
      <c r="I4" s="56" t="e">
        <f>SUM(E:E)</f>
        <v>#NUM!</v>
      </c>
      <c r="J4" s="50"/>
      <c r="K4" s="50"/>
      <c r="L4" s="50"/>
      <c r="M4" s="150" t="e">
        <f t="shared" si="2"/>
        <v>#NUM!</v>
      </c>
      <c r="N4" s="156" t="e">
        <f t="shared" si="3"/>
        <v>#VALUE!</v>
      </c>
      <c r="O4" s="156" t="e">
        <f t="shared" si="4"/>
        <v>#NUM!</v>
      </c>
      <c r="P4" s="208" t="e">
        <f t="shared" si="5"/>
        <v>#N/A</v>
      </c>
      <c r="Q4" s="156" t="e">
        <f t="shared" si="6"/>
        <v>#VALUE!</v>
      </c>
      <c r="R4" s="156" t="e">
        <f t="shared" si="7"/>
        <v>#VALUE!</v>
      </c>
      <c r="S4" s="156" t="e">
        <f t="shared" si="8"/>
        <v>#VALUE!</v>
      </c>
      <c r="T4" s="149" t="e">
        <f t="shared" si="9"/>
        <v>#VALUE!</v>
      </c>
      <c r="U4" s="157" t="e">
        <f t="shared" si="15"/>
        <v>#NUM!</v>
      </c>
      <c r="V4" s="149" t="e">
        <f t="shared" si="10"/>
        <v>#VALUE!</v>
      </c>
      <c r="W4" s="157" t="e">
        <f t="shared" si="11"/>
        <v>#NUM!</v>
      </c>
      <c r="X4" s="149" t="e">
        <f t="shared" si="12"/>
        <v>#VALUE!</v>
      </c>
      <c r="Y4" s="157" t="e">
        <f t="shared" si="13"/>
        <v>#NUM!</v>
      </c>
      <c r="Z4" s="160" t="s">
        <v>47</v>
      </c>
      <c r="AA4" s="160">
        <v>0.88244046806828758</v>
      </c>
      <c r="AB4" s="3"/>
      <c r="AC4" s="3"/>
      <c r="AD4" s="3"/>
      <c r="AE4" s="3"/>
      <c r="AF4" s="3"/>
      <c r="AG4" s="3"/>
      <c r="AH4" s="3"/>
      <c r="AI4" s="1"/>
      <c r="AJ4" s="1"/>
      <c r="AK4" s="1"/>
    </row>
    <row r="5" spans="1:37" x14ac:dyDescent="0.2">
      <c r="A5" s="50">
        <f>+Results!D26</f>
        <v>0</v>
      </c>
      <c r="B5" s="49">
        <f>+Results!C26</f>
        <v>0</v>
      </c>
      <c r="C5" s="50" t="e">
        <f t="shared" si="0"/>
        <v>#NUM!</v>
      </c>
      <c r="D5" s="50" t="e">
        <f t="shared" si="0"/>
        <v>#NUM!</v>
      </c>
      <c r="E5" s="50" t="e">
        <f t="shared" si="1"/>
        <v>#NUM!</v>
      </c>
      <c r="F5" s="50" t="e">
        <f t="shared" si="1"/>
        <v>#NUM!</v>
      </c>
      <c r="G5" s="3" t="e">
        <f t="shared" si="14"/>
        <v>#NUM!</v>
      </c>
      <c r="H5" s="158" t="s">
        <v>48</v>
      </c>
      <c r="I5" s="56" t="e">
        <f>SUM(F:F)</f>
        <v>#VALUE!</v>
      </c>
      <c r="J5" s="50"/>
      <c r="K5" s="50"/>
      <c r="L5" s="50"/>
      <c r="M5" s="150" t="e">
        <f t="shared" si="2"/>
        <v>#NUM!</v>
      </c>
      <c r="N5" s="156" t="e">
        <f t="shared" si="3"/>
        <v>#VALUE!</v>
      </c>
      <c r="O5" s="156" t="e">
        <f t="shared" si="4"/>
        <v>#NUM!</v>
      </c>
      <c r="P5" s="208" t="e">
        <f t="shared" si="5"/>
        <v>#N/A</v>
      </c>
      <c r="Q5" s="156" t="e">
        <f t="shared" si="6"/>
        <v>#VALUE!</v>
      </c>
      <c r="R5" s="156" t="e">
        <f t="shared" si="7"/>
        <v>#VALUE!</v>
      </c>
      <c r="S5" s="156" t="e">
        <f t="shared" si="8"/>
        <v>#VALUE!</v>
      </c>
      <c r="T5" s="149" t="e">
        <f t="shared" si="9"/>
        <v>#VALUE!</v>
      </c>
      <c r="U5" s="157" t="e">
        <f t="shared" si="15"/>
        <v>#NUM!</v>
      </c>
      <c r="V5" s="149" t="e">
        <f t="shared" si="10"/>
        <v>#VALUE!</v>
      </c>
      <c r="W5" s="157" t="e">
        <f t="shared" si="11"/>
        <v>#NUM!</v>
      </c>
      <c r="X5" s="149" t="e">
        <f t="shared" si="12"/>
        <v>#VALUE!</v>
      </c>
      <c r="Y5" s="157" t="e">
        <f t="shared" si="13"/>
        <v>#NUM!</v>
      </c>
      <c r="Z5" s="160" t="s">
        <v>49</v>
      </c>
      <c r="AA5" s="160">
        <v>0.77870117968457842</v>
      </c>
      <c r="AB5" s="3"/>
      <c r="AC5" s="3"/>
      <c r="AD5" s="3"/>
      <c r="AE5" s="3"/>
      <c r="AF5" s="3"/>
      <c r="AG5" s="3"/>
      <c r="AH5" s="3"/>
      <c r="AI5" s="1"/>
      <c r="AJ5" s="1"/>
      <c r="AK5" s="1"/>
    </row>
    <row r="6" spans="1:37" x14ac:dyDescent="0.2">
      <c r="A6" s="50"/>
      <c r="B6" s="49"/>
      <c r="C6" s="50"/>
      <c r="D6" s="50"/>
      <c r="E6" s="50"/>
      <c r="F6" s="50"/>
      <c r="G6" s="3"/>
      <c r="H6" s="158" t="s">
        <v>50</v>
      </c>
      <c r="I6" s="56" t="e">
        <f>SUM(G:G)</f>
        <v>#NUM!</v>
      </c>
      <c r="J6" s="50"/>
      <c r="K6" s="50"/>
      <c r="L6" s="50"/>
      <c r="M6" s="150">
        <f t="shared" si="2"/>
        <v>0</v>
      </c>
      <c r="N6" s="156" t="e">
        <f t="shared" si="3"/>
        <v>#VALUE!</v>
      </c>
      <c r="O6" s="156" t="e">
        <f t="shared" si="4"/>
        <v>#NUM!</v>
      </c>
      <c r="P6" s="208" t="e">
        <f t="shared" si="5"/>
        <v>#N/A</v>
      </c>
      <c r="Q6" s="156" t="e">
        <f t="shared" si="6"/>
        <v>#VALUE!</v>
      </c>
      <c r="R6" s="156" t="e">
        <f t="shared" si="7"/>
        <v>#VALUE!</v>
      </c>
      <c r="S6" s="156" t="e">
        <f t="shared" si="8"/>
        <v>#VALUE!</v>
      </c>
      <c r="T6" s="149" t="e">
        <f t="shared" si="9"/>
        <v>#VALUE!</v>
      </c>
      <c r="U6" s="157" t="e">
        <f t="shared" si="15"/>
        <v>#NUM!</v>
      </c>
      <c r="V6" s="149" t="e">
        <f t="shared" si="10"/>
        <v>#VALUE!</v>
      </c>
      <c r="W6" s="157" t="e">
        <f t="shared" si="11"/>
        <v>#NUM!</v>
      </c>
      <c r="X6" s="149" t="e">
        <f t="shared" si="12"/>
        <v>#VALUE!</v>
      </c>
      <c r="Y6" s="157" t="e">
        <f t="shared" si="13"/>
        <v>#NUM!</v>
      </c>
      <c r="Z6" s="160" t="s">
        <v>51</v>
      </c>
      <c r="AA6" s="160">
        <v>0.75103882714515069</v>
      </c>
      <c r="AB6" s="3"/>
      <c r="AC6" s="3"/>
      <c r="AD6" s="3"/>
      <c r="AE6" s="3"/>
      <c r="AF6" s="3"/>
      <c r="AG6" s="3"/>
      <c r="AH6" s="3"/>
      <c r="AI6" s="1"/>
      <c r="AJ6" s="1"/>
      <c r="AK6" s="1"/>
    </row>
    <row r="7" spans="1:37" x14ac:dyDescent="0.2">
      <c r="A7" s="50"/>
      <c r="B7" s="49"/>
      <c r="C7" s="50"/>
      <c r="D7" s="50"/>
      <c r="E7" s="50"/>
      <c r="F7" s="50"/>
      <c r="G7" s="3"/>
      <c r="H7" s="155" t="s">
        <v>52</v>
      </c>
      <c r="I7" s="161" t="e">
        <f>+I4-I2^2/$I$1</f>
        <v>#NUM!</v>
      </c>
      <c r="J7" s="3"/>
      <c r="K7" s="3"/>
      <c r="L7" s="3"/>
      <c r="M7" s="150">
        <f t="shared" si="2"/>
        <v>0</v>
      </c>
      <c r="N7" s="156" t="e">
        <f t="shared" si="3"/>
        <v>#VALUE!</v>
      </c>
      <c r="O7" s="156" t="e">
        <f t="shared" si="4"/>
        <v>#NUM!</v>
      </c>
      <c r="P7" s="208" t="e">
        <f t="shared" si="5"/>
        <v>#N/A</v>
      </c>
      <c r="Q7" s="156" t="e">
        <f t="shared" si="6"/>
        <v>#VALUE!</v>
      </c>
      <c r="R7" s="156" t="e">
        <f t="shared" si="7"/>
        <v>#VALUE!</v>
      </c>
      <c r="S7" s="156" t="e">
        <f t="shared" si="8"/>
        <v>#VALUE!</v>
      </c>
      <c r="T7" s="149" t="e">
        <f t="shared" si="9"/>
        <v>#VALUE!</v>
      </c>
      <c r="U7" s="157" t="e">
        <f t="shared" si="15"/>
        <v>#NUM!</v>
      </c>
      <c r="V7" s="149" t="e">
        <f t="shared" si="10"/>
        <v>#VALUE!</v>
      </c>
      <c r="W7" s="157" t="e">
        <f t="shared" si="11"/>
        <v>#NUM!</v>
      </c>
      <c r="X7" s="149" t="e">
        <f t="shared" si="12"/>
        <v>#VALUE!</v>
      </c>
      <c r="Y7" s="157" t="e">
        <f t="shared" si="13"/>
        <v>#NUM!</v>
      </c>
      <c r="Z7" s="160" t="s">
        <v>53</v>
      </c>
      <c r="AA7" s="160">
        <v>4.8757093884921039</v>
      </c>
      <c r="AB7" s="3"/>
      <c r="AC7" s="3"/>
      <c r="AD7" s="3"/>
      <c r="AE7" s="3"/>
      <c r="AF7" s="3"/>
      <c r="AG7" s="3"/>
      <c r="AH7" s="3"/>
      <c r="AI7" s="1"/>
      <c r="AJ7" s="1"/>
      <c r="AK7" s="1"/>
    </row>
    <row r="8" spans="1:37" ht="15" thickBot="1" x14ac:dyDescent="0.3">
      <c r="A8" s="50"/>
      <c r="B8" s="49"/>
      <c r="C8" s="50"/>
      <c r="D8" s="50"/>
      <c r="E8" s="50"/>
      <c r="F8" s="50"/>
      <c r="G8" s="3"/>
      <c r="H8" s="158" t="s">
        <v>118</v>
      </c>
      <c r="I8" s="162" t="e">
        <f>+I5-I3^2/$I$1</f>
        <v>#VALUE!</v>
      </c>
      <c r="J8" s="148"/>
      <c r="K8" s="148"/>
      <c r="L8" s="148"/>
      <c r="M8" s="150">
        <f t="shared" si="2"/>
        <v>0</v>
      </c>
      <c r="N8" s="156" t="e">
        <f t="shared" si="3"/>
        <v>#VALUE!</v>
      </c>
      <c r="O8" s="156" t="e">
        <f t="shared" si="4"/>
        <v>#NUM!</v>
      </c>
      <c r="P8" s="208" t="e">
        <f t="shared" si="5"/>
        <v>#N/A</v>
      </c>
      <c r="Q8" s="156" t="e">
        <f t="shared" si="6"/>
        <v>#VALUE!</v>
      </c>
      <c r="R8" s="156" t="e">
        <f t="shared" si="7"/>
        <v>#VALUE!</v>
      </c>
      <c r="S8" s="156" t="e">
        <f t="shared" si="8"/>
        <v>#VALUE!</v>
      </c>
      <c r="T8" s="149" t="e">
        <f t="shared" si="9"/>
        <v>#VALUE!</v>
      </c>
      <c r="U8" s="157" t="e">
        <f t="shared" si="15"/>
        <v>#NUM!</v>
      </c>
      <c r="V8" s="149" t="e">
        <f t="shared" si="10"/>
        <v>#VALUE!</v>
      </c>
      <c r="W8" s="157" t="e">
        <f t="shared" si="11"/>
        <v>#NUM!</v>
      </c>
      <c r="X8" s="149" t="e">
        <f t="shared" si="12"/>
        <v>#VALUE!</v>
      </c>
      <c r="Y8" s="157" t="e">
        <f t="shared" si="13"/>
        <v>#NUM!</v>
      </c>
      <c r="Z8" s="163" t="s">
        <v>54</v>
      </c>
      <c r="AA8" s="163">
        <v>10</v>
      </c>
      <c r="AB8" s="3"/>
      <c r="AC8" s="3"/>
      <c r="AD8" s="3"/>
      <c r="AE8" s="3"/>
      <c r="AF8" s="3"/>
      <c r="AG8" s="3"/>
      <c r="AH8" s="3"/>
      <c r="AI8" s="1"/>
      <c r="AJ8" s="1"/>
      <c r="AK8" s="1"/>
    </row>
    <row r="9" spans="1:37" ht="13.5" thickBot="1" x14ac:dyDescent="0.25">
      <c r="A9" s="50"/>
      <c r="B9" s="49"/>
      <c r="C9" s="50"/>
      <c r="D9" s="50"/>
      <c r="E9" s="50"/>
      <c r="F9" s="50"/>
      <c r="G9" s="3"/>
      <c r="H9" s="164" t="s">
        <v>55</v>
      </c>
      <c r="I9" s="165" t="e">
        <f>+I6-I2*I3/$I$1</f>
        <v>#NUM!</v>
      </c>
      <c r="J9" s="3"/>
      <c r="K9" s="3"/>
      <c r="L9" s="3"/>
      <c r="M9" s="150">
        <f t="shared" si="2"/>
        <v>0</v>
      </c>
      <c r="N9" s="156" t="e">
        <f t="shared" si="3"/>
        <v>#VALUE!</v>
      </c>
      <c r="O9" s="156" t="e">
        <f t="shared" si="4"/>
        <v>#NUM!</v>
      </c>
      <c r="P9" s="208" t="e">
        <f t="shared" si="5"/>
        <v>#N/A</v>
      </c>
      <c r="Q9" s="156" t="e">
        <f t="shared" si="6"/>
        <v>#VALUE!</v>
      </c>
      <c r="R9" s="156" t="e">
        <f t="shared" si="7"/>
        <v>#VALUE!</v>
      </c>
      <c r="S9" s="156" t="e">
        <f t="shared" si="8"/>
        <v>#VALUE!</v>
      </c>
      <c r="T9" s="149" t="e">
        <f t="shared" si="9"/>
        <v>#VALUE!</v>
      </c>
      <c r="U9" s="157" t="e">
        <f t="shared" si="15"/>
        <v>#NUM!</v>
      </c>
      <c r="V9" s="149" t="e">
        <f t="shared" si="10"/>
        <v>#VALUE!</v>
      </c>
      <c r="W9" s="157" t="e">
        <f t="shared" si="11"/>
        <v>#NUM!</v>
      </c>
      <c r="X9" s="149" t="e">
        <f t="shared" si="12"/>
        <v>#VALUE!</v>
      </c>
      <c r="Y9" s="157" t="e">
        <f t="shared" si="13"/>
        <v>#NUM!</v>
      </c>
      <c r="Z9" s="3"/>
      <c r="AA9" s="3"/>
      <c r="AB9" s="3"/>
      <c r="AC9" s="3"/>
      <c r="AD9" s="3"/>
      <c r="AE9" s="3"/>
      <c r="AF9" s="3"/>
      <c r="AG9" s="3"/>
      <c r="AH9" s="3"/>
      <c r="AI9" s="1"/>
      <c r="AJ9" s="1"/>
      <c r="AK9" s="1"/>
    </row>
    <row r="10" spans="1:37" ht="13.5" thickBot="1" x14ac:dyDescent="0.25">
      <c r="A10" s="50"/>
      <c r="B10" s="49"/>
      <c r="C10" s="50"/>
      <c r="D10" s="50"/>
      <c r="E10" s="50"/>
      <c r="F10" s="50"/>
      <c r="G10" s="3"/>
      <c r="H10" s="166" t="s">
        <v>56</v>
      </c>
      <c r="I10" s="154" t="e">
        <f>+I2/$I$1</f>
        <v>#NUM!</v>
      </c>
      <c r="J10" s="3"/>
      <c r="K10" s="3"/>
      <c r="L10" s="3"/>
      <c r="M10" s="150">
        <f t="shared" si="2"/>
        <v>0</v>
      </c>
      <c r="N10" s="156" t="e">
        <f t="shared" si="3"/>
        <v>#VALUE!</v>
      </c>
      <c r="O10" s="156" t="e">
        <f t="shared" si="4"/>
        <v>#NUM!</v>
      </c>
      <c r="P10" s="208" t="e">
        <f t="shared" si="5"/>
        <v>#N/A</v>
      </c>
      <c r="Q10" s="156" t="e">
        <f t="shared" si="6"/>
        <v>#VALUE!</v>
      </c>
      <c r="R10" s="156" t="e">
        <f t="shared" si="7"/>
        <v>#VALUE!</v>
      </c>
      <c r="S10" s="156" t="e">
        <f t="shared" si="8"/>
        <v>#VALUE!</v>
      </c>
      <c r="T10" s="149" t="e">
        <f t="shared" si="9"/>
        <v>#VALUE!</v>
      </c>
      <c r="U10" s="157" t="e">
        <f t="shared" si="15"/>
        <v>#NUM!</v>
      </c>
      <c r="V10" s="149" t="e">
        <f t="shared" si="10"/>
        <v>#VALUE!</v>
      </c>
      <c r="W10" s="157" t="e">
        <f t="shared" si="11"/>
        <v>#NUM!</v>
      </c>
      <c r="X10" s="149" t="e">
        <f t="shared" si="12"/>
        <v>#VALUE!</v>
      </c>
      <c r="Y10" s="157" t="e">
        <f t="shared" si="13"/>
        <v>#NUM!</v>
      </c>
      <c r="Z10" s="3" t="s">
        <v>57</v>
      </c>
      <c r="AA10" s="3"/>
      <c r="AB10" s="3"/>
      <c r="AC10" s="3"/>
      <c r="AD10" s="3"/>
      <c r="AE10" s="3"/>
      <c r="AF10" s="3"/>
      <c r="AG10" s="3"/>
      <c r="AH10" s="3"/>
      <c r="AI10" s="1"/>
      <c r="AJ10" s="1"/>
      <c r="AK10" s="1"/>
    </row>
    <row r="11" spans="1:37" x14ac:dyDescent="0.2">
      <c r="A11" s="50"/>
      <c r="B11" s="49"/>
      <c r="C11" s="50"/>
      <c r="D11" s="50"/>
      <c r="E11" s="50"/>
      <c r="F11" s="50"/>
      <c r="G11" s="3"/>
      <c r="H11" s="158" t="s">
        <v>58</v>
      </c>
      <c r="I11" s="56" t="e">
        <f>+I3/$I$1</f>
        <v>#VALUE!</v>
      </c>
      <c r="J11" s="50"/>
      <c r="K11" s="50"/>
      <c r="L11" s="50"/>
      <c r="M11" s="150">
        <f t="shared" si="2"/>
        <v>0</v>
      </c>
      <c r="N11" s="156" t="e">
        <f t="shared" si="3"/>
        <v>#VALUE!</v>
      </c>
      <c r="O11" s="156" t="e">
        <f t="shared" si="4"/>
        <v>#NUM!</v>
      </c>
      <c r="P11" s="208" t="e">
        <f t="shared" si="5"/>
        <v>#N/A</v>
      </c>
      <c r="Q11" s="156" t="e">
        <f t="shared" si="6"/>
        <v>#VALUE!</v>
      </c>
      <c r="R11" s="156" t="e">
        <f t="shared" si="7"/>
        <v>#VALUE!</v>
      </c>
      <c r="S11" s="156" t="e">
        <f t="shared" si="8"/>
        <v>#VALUE!</v>
      </c>
      <c r="T11" s="149" t="e">
        <f t="shared" si="9"/>
        <v>#VALUE!</v>
      </c>
      <c r="U11" s="157" t="e">
        <f t="shared" si="15"/>
        <v>#NUM!</v>
      </c>
      <c r="V11" s="149" t="e">
        <f t="shared" si="10"/>
        <v>#VALUE!</v>
      </c>
      <c r="W11" s="157" t="e">
        <f t="shared" si="11"/>
        <v>#NUM!</v>
      </c>
      <c r="X11" s="149" t="e">
        <f t="shared" si="12"/>
        <v>#VALUE!</v>
      </c>
      <c r="Y11" s="157" t="e">
        <f t="shared" si="13"/>
        <v>#NUM!</v>
      </c>
      <c r="Z11" s="167"/>
      <c r="AA11" s="167" t="s">
        <v>59</v>
      </c>
      <c r="AB11" s="167" t="s">
        <v>60</v>
      </c>
      <c r="AC11" s="167" t="s">
        <v>61</v>
      </c>
      <c r="AD11" s="167" t="s">
        <v>62</v>
      </c>
      <c r="AE11" s="167" t="s">
        <v>63</v>
      </c>
      <c r="AF11" s="3"/>
      <c r="AG11" s="3"/>
      <c r="AH11" s="3"/>
      <c r="AI11" s="1"/>
      <c r="AJ11" s="1"/>
      <c r="AK11" s="1"/>
    </row>
    <row r="12" spans="1:37" x14ac:dyDescent="0.2">
      <c r="A12" s="50"/>
      <c r="B12" s="49"/>
      <c r="C12" s="50"/>
      <c r="D12" s="50"/>
      <c r="E12" s="50"/>
      <c r="F12" s="50"/>
      <c r="G12" s="3"/>
      <c r="H12" s="158" t="s">
        <v>64</v>
      </c>
      <c r="I12" s="161" t="e">
        <f>+I9/I7</f>
        <v>#NUM!</v>
      </c>
      <c r="J12" s="168" t="e">
        <f>+I12</f>
        <v>#NUM!</v>
      </c>
      <c r="K12" s="168" t="e">
        <f>1/J12</f>
        <v>#NUM!</v>
      </c>
      <c r="L12" s="3"/>
      <c r="M12" s="150">
        <f t="shared" si="2"/>
        <v>0</v>
      </c>
      <c r="N12" s="156" t="e">
        <f t="shared" si="3"/>
        <v>#VALUE!</v>
      </c>
      <c r="O12" s="156" t="e">
        <f t="shared" si="4"/>
        <v>#NUM!</v>
      </c>
      <c r="P12" s="208" t="e">
        <f t="shared" si="5"/>
        <v>#N/A</v>
      </c>
      <c r="Q12" s="156" t="e">
        <f t="shared" si="6"/>
        <v>#VALUE!</v>
      </c>
      <c r="R12" s="156" t="e">
        <f t="shared" si="7"/>
        <v>#VALUE!</v>
      </c>
      <c r="S12" s="156" t="e">
        <f t="shared" si="8"/>
        <v>#VALUE!</v>
      </c>
      <c r="T12" s="149" t="e">
        <f t="shared" si="9"/>
        <v>#VALUE!</v>
      </c>
      <c r="U12" s="157" t="e">
        <f t="shared" si="15"/>
        <v>#NUM!</v>
      </c>
      <c r="V12" s="149" t="e">
        <f t="shared" si="10"/>
        <v>#VALUE!</v>
      </c>
      <c r="W12" s="157" t="e">
        <f t="shared" si="11"/>
        <v>#NUM!</v>
      </c>
      <c r="X12" s="149" t="e">
        <f t="shared" si="12"/>
        <v>#VALUE!</v>
      </c>
      <c r="Y12" s="157" t="e">
        <f t="shared" si="13"/>
        <v>#NUM!</v>
      </c>
      <c r="Z12" s="160" t="s">
        <v>65</v>
      </c>
      <c r="AA12" s="160">
        <v>1</v>
      </c>
      <c r="AB12" s="160">
        <v>669.20217667916086</v>
      </c>
      <c r="AC12" s="160">
        <v>669.20217667916086</v>
      </c>
      <c r="AD12" s="160">
        <v>28.150215299826005</v>
      </c>
      <c r="AE12" s="160">
        <v>7.2341618680963758E-4</v>
      </c>
      <c r="AF12" s="3"/>
      <c r="AG12" s="3"/>
      <c r="AH12" s="3"/>
      <c r="AI12" s="1"/>
      <c r="AJ12" s="1"/>
      <c r="AK12" s="1"/>
    </row>
    <row r="13" spans="1:37" x14ac:dyDescent="0.2">
      <c r="A13" s="50"/>
      <c r="B13" s="49"/>
      <c r="C13" s="50"/>
      <c r="D13" s="50"/>
      <c r="E13" s="50"/>
      <c r="F13" s="50"/>
      <c r="G13" s="3"/>
      <c r="H13" s="158" t="s">
        <v>66</v>
      </c>
      <c r="I13" s="56" t="e">
        <f>+I11-I12*I10</f>
        <v>#VALUE!</v>
      </c>
      <c r="J13" s="169" t="e">
        <f>10^I13</f>
        <v>#VALUE!</v>
      </c>
      <c r="K13" s="187" t="e">
        <f>+J13^J12</f>
        <v>#VALUE!</v>
      </c>
      <c r="L13" s="50"/>
      <c r="M13" s="150">
        <f t="shared" si="2"/>
        <v>0</v>
      </c>
      <c r="N13" s="156" t="e">
        <f t="shared" si="3"/>
        <v>#VALUE!</v>
      </c>
      <c r="O13" s="156" t="e">
        <f t="shared" si="4"/>
        <v>#NUM!</v>
      </c>
      <c r="P13" s="208" t="e">
        <f t="shared" si="5"/>
        <v>#N/A</v>
      </c>
      <c r="Q13" s="156" t="e">
        <f t="shared" si="6"/>
        <v>#VALUE!</v>
      </c>
      <c r="R13" s="156" t="e">
        <f t="shared" si="7"/>
        <v>#VALUE!</v>
      </c>
      <c r="S13" s="156" t="e">
        <f t="shared" si="8"/>
        <v>#VALUE!</v>
      </c>
      <c r="T13" s="149" t="e">
        <f t="shared" si="9"/>
        <v>#VALUE!</v>
      </c>
      <c r="U13" s="157" t="e">
        <f t="shared" si="15"/>
        <v>#NUM!</v>
      </c>
      <c r="V13" s="149" t="e">
        <f t="shared" si="10"/>
        <v>#VALUE!</v>
      </c>
      <c r="W13" s="157" t="e">
        <f t="shared" si="11"/>
        <v>#NUM!</v>
      </c>
      <c r="X13" s="149" t="e">
        <f t="shared" si="12"/>
        <v>#VALUE!</v>
      </c>
      <c r="Y13" s="157" t="e">
        <f t="shared" si="13"/>
        <v>#NUM!</v>
      </c>
      <c r="Z13" s="160" t="s">
        <v>67</v>
      </c>
      <c r="AA13" s="160">
        <v>8</v>
      </c>
      <c r="AB13" s="160">
        <v>190.18033632824034</v>
      </c>
      <c r="AC13" s="160">
        <v>23.772542041030043</v>
      </c>
      <c r="AD13" s="160"/>
      <c r="AE13" s="160"/>
      <c r="AF13" s="3"/>
      <c r="AG13" s="3"/>
      <c r="AH13" s="3"/>
      <c r="AI13" s="1"/>
      <c r="AJ13" s="1"/>
      <c r="AK13" s="1"/>
    </row>
    <row r="14" spans="1:37" ht="13.5" thickBot="1" x14ac:dyDescent="0.25">
      <c r="A14" s="50"/>
      <c r="B14" s="49"/>
      <c r="C14" s="50"/>
      <c r="D14" s="50"/>
      <c r="E14" s="50"/>
      <c r="F14" s="50"/>
      <c r="G14" s="3"/>
      <c r="H14" s="170" t="s">
        <v>68</v>
      </c>
      <c r="I14" s="57" t="e">
        <f>+I9^2/(I7*I8)</f>
        <v>#NUM!</v>
      </c>
      <c r="J14" s="3" t="e">
        <f>"(X="&amp;TEXT(J13,"0.0")&amp;"Y^"&amp;TEXT(J12,"0.00")&amp;")"</f>
        <v>#VALUE!</v>
      </c>
      <c r="K14" s="50"/>
      <c r="L14" s="50"/>
      <c r="M14" s="150">
        <f t="shared" si="2"/>
        <v>0</v>
      </c>
      <c r="N14" s="156" t="e">
        <f t="shared" si="3"/>
        <v>#VALUE!</v>
      </c>
      <c r="O14" s="156" t="e">
        <f t="shared" si="4"/>
        <v>#NUM!</v>
      </c>
      <c r="P14" s="208" t="e">
        <f t="shared" si="5"/>
        <v>#N/A</v>
      </c>
      <c r="Q14" s="156" t="e">
        <f t="shared" si="6"/>
        <v>#VALUE!</v>
      </c>
      <c r="R14" s="156" t="e">
        <f t="shared" si="7"/>
        <v>#VALUE!</v>
      </c>
      <c r="S14" s="156" t="e">
        <f t="shared" si="8"/>
        <v>#VALUE!</v>
      </c>
      <c r="T14" s="149" t="e">
        <f t="shared" si="9"/>
        <v>#VALUE!</v>
      </c>
      <c r="U14" s="157" t="e">
        <f t="shared" si="15"/>
        <v>#NUM!</v>
      </c>
      <c r="V14" s="149" t="e">
        <f t="shared" si="10"/>
        <v>#VALUE!</v>
      </c>
      <c r="W14" s="157" t="e">
        <f t="shared" si="11"/>
        <v>#NUM!</v>
      </c>
      <c r="X14" s="149" t="e">
        <f t="shared" si="12"/>
        <v>#VALUE!</v>
      </c>
      <c r="Y14" s="157" t="e">
        <f t="shared" si="13"/>
        <v>#NUM!</v>
      </c>
      <c r="Z14" s="163" t="s">
        <v>69</v>
      </c>
      <c r="AA14" s="163">
        <v>9</v>
      </c>
      <c r="AB14" s="163">
        <v>859.38251300740126</v>
      </c>
      <c r="AC14" s="163"/>
      <c r="AD14" s="163"/>
      <c r="AE14" s="163"/>
      <c r="AF14" s="3"/>
      <c r="AG14" s="3"/>
      <c r="AH14" s="3"/>
      <c r="AI14" s="1"/>
      <c r="AJ14" s="1"/>
      <c r="AK14" s="1"/>
    </row>
    <row r="15" spans="1:37" ht="13.5" thickBot="1" x14ac:dyDescent="0.25">
      <c r="A15" s="50"/>
      <c r="B15" s="49"/>
      <c r="C15" s="50"/>
      <c r="D15" s="50"/>
      <c r="E15" s="50"/>
      <c r="F15" s="50"/>
      <c r="G15" s="3"/>
      <c r="H15" s="3" t="s">
        <v>70</v>
      </c>
      <c r="I15" s="50" t="e">
        <f>VLOOKUP($J$24,$H$33:$J$69,2)</f>
        <v>#N/A</v>
      </c>
      <c r="J15" s="50"/>
      <c r="K15" s="50"/>
      <c r="L15" s="50"/>
      <c r="M15" s="150">
        <f t="shared" si="2"/>
        <v>0</v>
      </c>
      <c r="N15" s="156" t="e">
        <f t="shared" si="3"/>
        <v>#VALUE!</v>
      </c>
      <c r="O15" s="156" t="e">
        <f t="shared" si="4"/>
        <v>#NUM!</v>
      </c>
      <c r="P15" s="208" t="e">
        <f t="shared" si="5"/>
        <v>#N/A</v>
      </c>
      <c r="Q15" s="156" t="e">
        <f t="shared" si="6"/>
        <v>#VALUE!</v>
      </c>
      <c r="R15" s="156" t="e">
        <f t="shared" si="7"/>
        <v>#VALUE!</v>
      </c>
      <c r="S15" s="156" t="e">
        <f t="shared" si="8"/>
        <v>#VALUE!</v>
      </c>
      <c r="T15" s="149" t="e">
        <f t="shared" si="9"/>
        <v>#VALUE!</v>
      </c>
      <c r="U15" s="157" t="e">
        <f t="shared" si="15"/>
        <v>#NUM!</v>
      </c>
      <c r="V15" s="149" t="e">
        <f t="shared" si="10"/>
        <v>#VALUE!</v>
      </c>
      <c r="W15" s="157" t="e">
        <f t="shared" si="11"/>
        <v>#NUM!</v>
      </c>
      <c r="X15" s="149" t="e">
        <f t="shared" si="12"/>
        <v>#VALUE!</v>
      </c>
      <c r="Y15" s="157" t="e">
        <f t="shared" si="13"/>
        <v>#NUM!</v>
      </c>
      <c r="Z15" s="3"/>
      <c r="AA15" s="3"/>
      <c r="AB15" s="3"/>
      <c r="AC15" s="3"/>
      <c r="AD15" s="3"/>
      <c r="AE15" s="3"/>
      <c r="AF15" s="3"/>
      <c r="AG15" s="3"/>
      <c r="AH15" s="3"/>
      <c r="AI15" s="1"/>
      <c r="AJ15" s="1"/>
      <c r="AK15" s="1"/>
    </row>
    <row r="16" spans="1:37" x14ac:dyDescent="0.2">
      <c r="A16" s="50"/>
      <c r="B16" s="49"/>
      <c r="C16" s="50"/>
      <c r="D16" s="50"/>
      <c r="E16" s="187"/>
      <c r="F16" s="50"/>
      <c r="G16" s="3"/>
      <c r="H16" s="3" t="s">
        <v>71</v>
      </c>
      <c r="I16" s="50" t="e">
        <f>VLOOKUP($J$24,$H$33:$J$69,3)</f>
        <v>#N/A</v>
      </c>
      <c r="J16" s="50"/>
      <c r="K16" s="50"/>
      <c r="L16" s="50"/>
      <c r="M16" s="150">
        <f t="shared" si="2"/>
        <v>0</v>
      </c>
      <c r="N16" s="156" t="e">
        <f t="shared" si="3"/>
        <v>#VALUE!</v>
      </c>
      <c r="O16" s="156" t="e">
        <f t="shared" si="4"/>
        <v>#NUM!</v>
      </c>
      <c r="P16" s="208" t="e">
        <f t="shared" si="5"/>
        <v>#N/A</v>
      </c>
      <c r="Q16" s="156" t="e">
        <f t="shared" si="6"/>
        <v>#VALUE!</v>
      </c>
      <c r="R16" s="156" t="e">
        <f t="shared" si="7"/>
        <v>#VALUE!</v>
      </c>
      <c r="S16" s="156" t="e">
        <f t="shared" si="8"/>
        <v>#VALUE!</v>
      </c>
      <c r="T16" s="149" t="e">
        <f t="shared" si="9"/>
        <v>#VALUE!</v>
      </c>
      <c r="U16" s="157" t="e">
        <f t="shared" si="15"/>
        <v>#NUM!</v>
      </c>
      <c r="V16" s="149" t="e">
        <f t="shared" si="10"/>
        <v>#VALUE!</v>
      </c>
      <c r="W16" s="157" t="e">
        <f t="shared" si="11"/>
        <v>#NUM!</v>
      </c>
      <c r="X16" s="149" t="e">
        <f t="shared" si="12"/>
        <v>#VALUE!</v>
      </c>
      <c r="Y16" s="157" t="e">
        <f t="shared" si="13"/>
        <v>#NUM!</v>
      </c>
      <c r="Z16" s="167"/>
      <c r="AA16" s="167" t="s">
        <v>72</v>
      </c>
      <c r="AB16" s="167" t="s">
        <v>53</v>
      </c>
      <c r="AC16" s="167" t="s">
        <v>73</v>
      </c>
      <c r="AD16" s="167" t="s">
        <v>74</v>
      </c>
      <c r="AE16" s="167" t="s">
        <v>75</v>
      </c>
      <c r="AF16" s="167" t="s">
        <v>76</v>
      </c>
      <c r="AG16" s="167" t="s">
        <v>77</v>
      </c>
      <c r="AH16" s="167" t="s">
        <v>78</v>
      </c>
      <c r="AI16" s="1"/>
      <c r="AJ16" s="1"/>
      <c r="AK16" s="1"/>
    </row>
    <row r="17" spans="1:37" x14ac:dyDescent="0.2">
      <c r="A17" s="50"/>
      <c r="B17" s="49"/>
      <c r="C17" s="50"/>
      <c r="D17" s="50"/>
      <c r="E17" s="50"/>
      <c r="F17" s="50"/>
      <c r="G17" s="3"/>
      <c r="H17" s="3" t="s">
        <v>79</v>
      </c>
      <c r="I17" s="3" t="e">
        <f>+I15*SQRT($K$24/$I$7)</f>
        <v>#N/A</v>
      </c>
      <c r="J17" s="3" t="e">
        <f>+I12+I17</f>
        <v>#NUM!</v>
      </c>
      <c r="K17" s="3" t="e">
        <f>+I12-I17</f>
        <v>#NUM!</v>
      </c>
      <c r="L17" s="3"/>
      <c r="M17" s="150">
        <f t="shared" si="2"/>
        <v>0</v>
      </c>
      <c r="N17" s="156" t="e">
        <f t="shared" si="3"/>
        <v>#VALUE!</v>
      </c>
      <c r="O17" s="156" t="e">
        <f t="shared" si="4"/>
        <v>#NUM!</v>
      </c>
      <c r="P17" s="208" t="e">
        <f t="shared" si="5"/>
        <v>#N/A</v>
      </c>
      <c r="Q17" s="156" t="e">
        <f t="shared" si="6"/>
        <v>#VALUE!</v>
      </c>
      <c r="R17" s="156" t="e">
        <f t="shared" si="7"/>
        <v>#VALUE!</v>
      </c>
      <c r="S17" s="156" t="e">
        <f t="shared" si="8"/>
        <v>#VALUE!</v>
      </c>
      <c r="T17" s="149" t="e">
        <f t="shared" si="9"/>
        <v>#VALUE!</v>
      </c>
      <c r="U17" s="157" t="e">
        <f t="shared" si="15"/>
        <v>#NUM!</v>
      </c>
      <c r="V17" s="149" t="e">
        <f t="shared" si="10"/>
        <v>#VALUE!</v>
      </c>
      <c r="W17" s="157" t="e">
        <f t="shared" si="11"/>
        <v>#NUM!</v>
      </c>
      <c r="X17" s="149" t="e">
        <f t="shared" si="12"/>
        <v>#VALUE!</v>
      </c>
      <c r="Y17" s="157" t="e">
        <f t="shared" si="13"/>
        <v>#NUM!</v>
      </c>
      <c r="Z17" s="160" t="s">
        <v>80</v>
      </c>
      <c r="AA17" s="160">
        <v>86.958826444998394</v>
      </c>
      <c r="AB17" s="160">
        <v>2.9348406973796441</v>
      </c>
      <c r="AC17" s="160">
        <v>29.629828468250114</v>
      </c>
      <c r="AD17" s="160">
        <v>1.824742265606886E-9</v>
      </c>
      <c r="AE17" s="160">
        <v>80.1910672841029</v>
      </c>
      <c r="AF17" s="160">
        <v>93.726585605893888</v>
      </c>
      <c r="AG17" s="160">
        <v>80.1910672841029</v>
      </c>
      <c r="AH17" s="160">
        <v>93.726585605893888</v>
      </c>
      <c r="AI17" s="1"/>
      <c r="AJ17" s="1"/>
      <c r="AK17" s="1"/>
    </row>
    <row r="18" spans="1:37" ht="13.5" thickBot="1" x14ac:dyDescent="0.25">
      <c r="A18" s="50"/>
      <c r="B18" s="49"/>
      <c r="C18" s="50"/>
      <c r="D18" s="50"/>
      <c r="E18" s="50"/>
      <c r="F18" s="50"/>
      <c r="G18" s="3"/>
      <c r="H18" s="3" t="s">
        <v>81</v>
      </c>
      <c r="I18" s="3" t="e">
        <f>+I15*SQRT(K24/I1)</f>
        <v>#N/A</v>
      </c>
      <c r="J18" s="50" t="e">
        <f>+I13-I18</f>
        <v>#VALUE!</v>
      </c>
      <c r="K18" s="50" t="e">
        <f>+I13+I18</f>
        <v>#VALUE!</v>
      </c>
      <c r="L18" s="3"/>
      <c r="M18" s="150">
        <f t="shared" si="2"/>
        <v>0</v>
      </c>
      <c r="N18" s="156" t="e">
        <f t="shared" si="3"/>
        <v>#VALUE!</v>
      </c>
      <c r="O18" s="156" t="e">
        <f t="shared" si="4"/>
        <v>#NUM!</v>
      </c>
      <c r="P18" s="208" t="e">
        <f t="shared" si="5"/>
        <v>#N/A</v>
      </c>
      <c r="Q18" s="156" t="e">
        <f t="shared" si="6"/>
        <v>#VALUE!</v>
      </c>
      <c r="R18" s="156" t="e">
        <f t="shared" si="7"/>
        <v>#VALUE!</v>
      </c>
      <c r="S18" s="156" t="e">
        <f t="shared" si="8"/>
        <v>#VALUE!</v>
      </c>
      <c r="T18" s="149" t="e">
        <f t="shared" si="9"/>
        <v>#VALUE!</v>
      </c>
      <c r="U18" s="157" t="e">
        <f t="shared" si="15"/>
        <v>#NUM!</v>
      </c>
      <c r="V18" s="149" t="e">
        <f t="shared" si="10"/>
        <v>#VALUE!</v>
      </c>
      <c r="W18" s="157" t="e">
        <f t="shared" si="11"/>
        <v>#NUM!</v>
      </c>
      <c r="X18" s="149" t="e">
        <f t="shared" si="12"/>
        <v>#VALUE!</v>
      </c>
      <c r="Y18" s="157" t="e">
        <f t="shared" si="13"/>
        <v>#NUM!</v>
      </c>
      <c r="Z18" s="163" t="s">
        <v>82</v>
      </c>
      <c r="AA18" s="163">
        <v>-3.9353116272950031E-4</v>
      </c>
      <c r="AB18" s="163">
        <v>7.4171706023342889E-5</v>
      </c>
      <c r="AC18" s="163">
        <v>-5.3056776475607892</v>
      </c>
      <c r="AD18" s="163">
        <v>7.2341618680962284E-4</v>
      </c>
      <c r="AE18" s="163">
        <v>-5.645715341428152E-4</v>
      </c>
      <c r="AF18" s="163">
        <v>-2.2249079131618545E-4</v>
      </c>
      <c r="AG18" s="163">
        <v>-5.645715341428152E-4</v>
      </c>
      <c r="AH18" s="163">
        <v>-2.2249079131618545E-4</v>
      </c>
      <c r="AI18" s="1"/>
      <c r="AJ18" s="1"/>
      <c r="AK18" s="1"/>
    </row>
    <row r="19" spans="1:37" x14ac:dyDescent="0.2">
      <c r="A19" s="50"/>
      <c r="B19" s="49"/>
      <c r="C19" s="50"/>
      <c r="D19" s="50"/>
      <c r="E19" s="50"/>
      <c r="F19" s="50"/>
      <c r="G19" s="3"/>
      <c r="H19" s="3" t="s">
        <v>83</v>
      </c>
      <c r="I19" s="3">
        <f>MIN(A:A)</f>
        <v>0</v>
      </c>
      <c r="J19" s="148"/>
      <c r="K19" s="148"/>
      <c r="L19" s="148"/>
      <c r="M19" s="150">
        <f t="shared" si="2"/>
        <v>0</v>
      </c>
      <c r="N19" s="156" t="e">
        <f t="shared" si="3"/>
        <v>#VALUE!</v>
      </c>
      <c r="O19" s="156" t="e">
        <f t="shared" si="4"/>
        <v>#NUM!</v>
      </c>
      <c r="P19" s="208" t="e">
        <f t="shared" si="5"/>
        <v>#N/A</v>
      </c>
      <c r="Q19" s="156" t="e">
        <f t="shared" si="6"/>
        <v>#VALUE!</v>
      </c>
      <c r="R19" s="156" t="e">
        <f t="shared" si="7"/>
        <v>#VALUE!</v>
      </c>
      <c r="S19" s="156" t="e">
        <f t="shared" si="8"/>
        <v>#VALUE!</v>
      </c>
      <c r="T19" s="149" t="e">
        <f t="shared" si="9"/>
        <v>#VALUE!</v>
      </c>
      <c r="U19" s="157" t="e">
        <f t="shared" si="15"/>
        <v>#NUM!</v>
      </c>
      <c r="V19" s="149" t="e">
        <f t="shared" si="10"/>
        <v>#VALUE!</v>
      </c>
      <c r="W19" s="157" t="e">
        <f t="shared" si="11"/>
        <v>#NUM!</v>
      </c>
      <c r="X19" s="149" t="e">
        <f t="shared" si="12"/>
        <v>#VALUE!</v>
      </c>
      <c r="Y19" s="157" t="e">
        <f t="shared" si="13"/>
        <v>#NUM!</v>
      </c>
      <c r="Z19" s="3"/>
      <c r="AA19" s="3"/>
      <c r="AB19" s="3"/>
      <c r="AC19" s="3"/>
      <c r="AD19" s="3"/>
      <c r="AE19" s="3"/>
      <c r="AF19" s="3"/>
      <c r="AG19" s="3"/>
      <c r="AH19" s="3"/>
      <c r="AI19" s="1"/>
      <c r="AJ19" s="1"/>
      <c r="AK19" s="1"/>
    </row>
    <row r="20" spans="1:37" ht="13.5" thickBot="1" x14ac:dyDescent="0.25">
      <c r="A20" s="50"/>
      <c r="B20" s="49"/>
      <c r="C20" s="50"/>
      <c r="D20" s="50"/>
      <c r="E20" s="50"/>
      <c r="F20" s="50"/>
      <c r="G20" s="3"/>
      <c r="H20" s="3" t="s">
        <v>84</v>
      </c>
      <c r="I20" s="3">
        <f>MAX(A:A)</f>
        <v>0</v>
      </c>
      <c r="J20" s="3"/>
      <c r="K20" s="3"/>
      <c r="L20" s="3"/>
      <c r="M20" s="60"/>
      <c r="N20" s="60"/>
      <c r="O20" s="156" t="e">
        <f t="shared" si="4"/>
        <v>#NUM!</v>
      </c>
      <c r="P20" s="208" t="e">
        <f t="shared" si="5"/>
        <v>#N/A</v>
      </c>
      <c r="Q20" s="156" t="e">
        <f t="shared" si="6"/>
        <v>#VALUE!</v>
      </c>
      <c r="R20" s="156" t="e">
        <f t="shared" si="7"/>
        <v>#VALUE!</v>
      </c>
      <c r="S20" s="156" t="e">
        <f t="shared" si="8"/>
        <v>#VALUE!</v>
      </c>
      <c r="T20" s="149" t="e">
        <f t="shared" si="9"/>
        <v>#VALUE!</v>
      </c>
      <c r="U20" s="157" t="e">
        <f t="shared" si="15"/>
        <v>#NUM!</v>
      </c>
      <c r="V20" s="149" t="e">
        <f t="shared" si="10"/>
        <v>#VALUE!</v>
      </c>
      <c r="W20" s="157" t="e">
        <f t="shared" si="11"/>
        <v>#NUM!</v>
      </c>
      <c r="X20" s="149" t="e">
        <f t="shared" si="12"/>
        <v>#VALUE!</v>
      </c>
      <c r="Y20" s="157" t="e">
        <f t="shared" si="13"/>
        <v>#NUM!</v>
      </c>
      <c r="Z20" s="3"/>
      <c r="AA20" s="3"/>
      <c r="AB20" s="3"/>
      <c r="AC20" s="3"/>
      <c r="AD20" s="3"/>
      <c r="AE20" s="3"/>
      <c r="AF20" s="3"/>
      <c r="AG20" s="3"/>
      <c r="AH20" s="3"/>
      <c r="AI20" s="1"/>
      <c r="AJ20" s="1"/>
      <c r="AK20" s="1"/>
    </row>
    <row r="21" spans="1:37" ht="13.5" thickBot="1" x14ac:dyDescent="0.25">
      <c r="A21" s="50"/>
      <c r="B21" s="49"/>
      <c r="C21" s="50"/>
      <c r="D21" s="50"/>
      <c r="E21" s="50"/>
      <c r="F21" s="50"/>
      <c r="G21" s="3"/>
      <c r="H21" s="171" t="s">
        <v>85</v>
      </c>
      <c r="I21" s="172"/>
      <c r="J21" s="3"/>
      <c r="K21" s="3"/>
      <c r="L21" s="3"/>
      <c r="M21" s="60"/>
      <c r="N21" s="60"/>
      <c r="O21" s="156" t="e">
        <f t="shared" si="4"/>
        <v>#NUM!</v>
      </c>
      <c r="P21" s="208" t="e">
        <f t="shared" si="5"/>
        <v>#N/A</v>
      </c>
      <c r="Q21" s="156" t="e">
        <f t="shared" si="6"/>
        <v>#VALUE!</v>
      </c>
      <c r="R21" s="156" t="e">
        <f t="shared" si="7"/>
        <v>#VALUE!</v>
      </c>
      <c r="S21" s="156" t="e">
        <f t="shared" si="8"/>
        <v>#VALUE!</v>
      </c>
      <c r="T21" s="149" t="e">
        <f t="shared" si="9"/>
        <v>#VALUE!</v>
      </c>
      <c r="U21" s="157" t="e">
        <f t="shared" si="15"/>
        <v>#NUM!</v>
      </c>
      <c r="V21" s="149" t="e">
        <f t="shared" si="10"/>
        <v>#VALUE!</v>
      </c>
      <c r="W21" s="157" t="e">
        <f t="shared" si="11"/>
        <v>#NUM!</v>
      </c>
      <c r="X21" s="149" t="e">
        <f t="shared" si="12"/>
        <v>#VALUE!</v>
      </c>
      <c r="Y21" s="157" t="e">
        <f t="shared" si="13"/>
        <v>#NUM!</v>
      </c>
      <c r="Z21" s="3"/>
      <c r="AA21" s="3"/>
      <c r="AB21" s="3"/>
      <c r="AC21" s="3"/>
      <c r="AD21" s="3"/>
      <c r="AE21" s="3"/>
      <c r="AF21" s="3"/>
      <c r="AG21" s="3"/>
      <c r="AH21" s="3"/>
      <c r="AI21" s="1"/>
      <c r="AJ21" s="1"/>
      <c r="AK21" s="1"/>
    </row>
    <row r="22" spans="1:37" ht="15" x14ac:dyDescent="0.2">
      <c r="A22" s="50"/>
      <c r="B22" s="49"/>
      <c r="C22" s="50"/>
      <c r="D22" s="50"/>
      <c r="E22" s="50"/>
      <c r="F22" s="50"/>
      <c r="G22" s="3"/>
      <c r="H22" s="153"/>
      <c r="I22" s="173" t="s">
        <v>86</v>
      </c>
      <c r="J22" s="174" t="s">
        <v>87</v>
      </c>
      <c r="K22" s="175" t="s">
        <v>119</v>
      </c>
      <c r="L22" s="176" t="s">
        <v>62</v>
      </c>
      <c r="M22" s="60"/>
      <c r="N22" s="60"/>
      <c r="O22" s="156" t="e">
        <f t="shared" si="4"/>
        <v>#NUM!</v>
      </c>
      <c r="P22" s="208" t="e">
        <f t="shared" si="5"/>
        <v>#N/A</v>
      </c>
      <c r="Q22" s="156" t="e">
        <f t="shared" si="6"/>
        <v>#VALUE!</v>
      </c>
      <c r="R22" s="156" t="e">
        <f t="shared" si="7"/>
        <v>#VALUE!</v>
      </c>
      <c r="S22" s="156" t="e">
        <f t="shared" si="8"/>
        <v>#VALUE!</v>
      </c>
      <c r="T22" s="149" t="e">
        <f t="shared" si="9"/>
        <v>#VALUE!</v>
      </c>
      <c r="U22" s="157" t="e">
        <f t="shared" si="15"/>
        <v>#NUM!</v>
      </c>
      <c r="V22" s="149" t="e">
        <f t="shared" si="10"/>
        <v>#VALUE!</v>
      </c>
      <c r="W22" s="157" t="e">
        <f t="shared" si="11"/>
        <v>#NUM!</v>
      </c>
      <c r="X22" s="149" t="e">
        <f t="shared" si="12"/>
        <v>#VALUE!</v>
      </c>
      <c r="Y22" s="157" t="e">
        <f t="shared" si="13"/>
        <v>#NUM!</v>
      </c>
      <c r="Z22" s="3" t="s">
        <v>88</v>
      </c>
      <c r="AA22" s="3"/>
      <c r="AB22" s="3"/>
      <c r="AC22" s="3"/>
      <c r="AD22" s="3"/>
      <c r="AE22" s="3"/>
      <c r="AF22" s="3"/>
      <c r="AG22" s="3"/>
      <c r="AH22" s="3"/>
      <c r="AI22" s="1"/>
      <c r="AJ22" s="1"/>
      <c r="AK22" s="1"/>
    </row>
    <row r="23" spans="1:37" ht="13.5" thickBot="1" x14ac:dyDescent="0.25">
      <c r="A23" s="50"/>
      <c r="B23" s="49"/>
      <c r="C23" s="50"/>
      <c r="D23" s="50"/>
      <c r="E23" s="50"/>
      <c r="F23" s="50"/>
      <c r="G23" s="3"/>
      <c r="H23" s="155" t="s">
        <v>89</v>
      </c>
      <c r="I23" s="177" t="e">
        <f>+I9^2/I7</f>
        <v>#NUM!</v>
      </c>
      <c r="J23" s="60">
        <v>1</v>
      </c>
      <c r="K23" s="150" t="e">
        <f>+I23/1</f>
        <v>#NUM!</v>
      </c>
      <c r="L23" s="178" t="e">
        <f>+K23/K24</f>
        <v>#NUM!</v>
      </c>
      <c r="M23" s="60"/>
      <c r="N23" s="60"/>
      <c r="O23" s="156" t="e">
        <f t="shared" si="4"/>
        <v>#NUM!</v>
      </c>
      <c r="P23" s="208" t="e">
        <f t="shared" si="5"/>
        <v>#N/A</v>
      </c>
      <c r="Q23" s="156" t="e">
        <f t="shared" si="6"/>
        <v>#VALUE!</v>
      </c>
      <c r="R23" s="156" t="e">
        <f t="shared" si="7"/>
        <v>#VALUE!</v>
      </c>
      <c r="S23" s="156" t="e">
        <f t="shared" si="8"/>
        <v>#VALUE!</v>
      </c>
      <c r="T23" s="149" t="e">
        <f t="shared" si="9"/>
        <v>#VALUE!</v>
      </c>
      <c r="U23" s="157" t="e">
        <f t="shared" si="15"/>
        <v>#NUM!</v>
      </c>
      <c r="V23" s="149" t="e">
        <f t="shared" si="10"/>
        <v>#VALUE!</v>
      </c>
      <c r="W23" s="157" t="e">
        <f t="shared" si="11"/>
        <v>#NUM!</v>
      </c>
      <c r="X23" s="149" t="e">
        <f t="shared" si="12"/>
        <v>#VALUE!</v>
      </c>
      <c r="Y23" s="157" t="e">
        <f t="shared" si="13"/>
        <v>#NUM!</v>
      </c>
      <c r="Z23" s="3"/>
      <c r="AA23" s="3"/>
      <c r="AB23" s="3"/>
      <c r="AC23" s="3"/>
      <c r="AD23" s="3"/>
      <c r="AE23" s="3"/>
      <c r="AF23" s="3"/>
      <c r="AG23" s="3"/>
      <c r="AH23" s="3"/>
      <c r="AI23" s="1"/>
      <c r="AJ23" s="1"/>
      <c r="AK23" s="1"/>
    </row>
    <row r="24" spans="1:37" x14ac:dyDescent="0.2">
      <c r="A24" s="50"/>
      <c r="B24" s="49"/>
      <c r="C24" s="50"/>
      <c r="D24" s="50"/>
      <c r="E24" s="50"/>
      <c r="F24" s="50"/>
      <c r="G24" s="3"/>
      <c r="H24" s="155" t="s">
        <v>67</v>
      </c>
      <c r="I24" s="179" t="e">
        <f>+I8-I23</f>
        <v>#VALUE!</v>
      </c>
      <c r="J24" s="180">
        <f>+I1-2</f>
        <v>-2</v>
      </c>
      <c r="K24" s="181" t="e">
        <f>+I24/($I$1-2)</f>
        <v>#VALUE!</v>
      </c>
      <c r="L24" s="182"/>
      <c r="M24" s="3"/>
      <c r="N24" s="3"/>
      <c r="O24" s="156" t="e">
        <f t="shared" si="4"/>
        <v>#NUM!</v>
      </c>
      <c r="P24" s="208" t="e">
        <f t="shared" si="5"/>
        <v>#N/A</v>
      </c>
      <c r="Q24" s="156" t="e">
        <f t="shared" si="6"/>
        <v>#VALUE!</v>
      </c>
      <c r="R24" s="156" t="e">
        <f t="shared" si="7"/>
        <v>#VALUE!</v>
      </c>
      <c r="S24" s="156" t="e">
        <f t="shared" si="8"/>
        <v>#VALUE!</v>
      </c>
      <c r="T24" s="149" t="e">
        <f t="shared" si="9"/>
        <v>#VALUE!</v>
      </c>
      <c r="U24" s="157" t="e">
        <f t="shared" si="15"/>
        <v>#NUM!</v>
      </c>
      <c r="V24" s="149" t="e">
        <f t="shared" si="10"/>
        <v>#VALUE!</v>
      </c>
      <c r="W24" s="157" t="e">
        <f t="shared" si="11"/>
        <v>#NUM!</v>
      </c>
      <c r="X24" s="149" t="e">
        <f t="shared" si="12"/>
        <v>#VALUE!</v>
      </c>
      <c r="Y24" s="157" t="e">
        <f t="shared" si="13"/>
        <v>#NUM!</v>
      </c>
      <c r="Z24" s="167" t="s">
        <v>90</v>
      </c>
      <c r="AA24" s="167" t="s">
        <v>91</v>
      </c>
      <c r="AB24" s="167" t="s">
        <v>92</v>
      </c>
      <c r="AC24" s="167" t="s">
        <v>93</v>
      </c>
      <c r="AD24" s="3"/>
      <c r="AE24" s="3"/>
      <c r="AF24" s="3"/>
      <c r="AG24" s="3"/>
      <c r="AH24" s="3"/>
      <c r="AI24" s="1"/>
      <c r="AJ24" s="1"/>
      <c r="AK24" s="1"/>
    </row>
    <row r="25" spans="1:37" ht="13.5" thickBot="1" x14ac:dyDescent="0.25">
      <c r="A25" s="50"/>
      <c r="B25" s="49"/>
      <c r="C25" s="50"/>
      <c r="D25" s="50"/>
      <c r="E25" s="50"/>
      <c r="F25" s="50"/>
      <c r="G25" s="3"/>
      <c r="H25" s="170" t="s">
        <v>69</v>
      </c>
      <c r="I25" s="183" t="e">
        <f>SUM(I23:I24)</f>
        <v>#NUM!</v>
      </c>
      <c r="J25" s="184">
        <f>SUM(J23:J24)</f>
        <v>-1</v>
      </c>
      <c r="K25" s="185"/>
      <c r="L25" s="186"/>
      <c r="M25" s="3"/>
      <c r="N25" s="3"/>
      <c r="O25" s="156" t="e">
        <f t="shared" si="4"/>
        <v>#NUM!</v>
      </c>
      <c r="P25" s="208" t="e">
        <f t="shared" si="5"/>
        <v>#N/A</v>
      </c>
      <c r="Q25" s="156" t="e">
        <f t="shared" si="6"/>
        <v>#VALUE!</v>
      </c>
      <c r="R25" s="156" t="e">
        <f t="shared" si="7"/>
        <v>#VALUE!</v>
      </c>
      <c r="S25" s="156" t="e">
        <f t="shared" si="8"/>
        <v>#VALUE!</v>
      </c>
      <c r="T25" s="149" t="e">
        <f t="shared" si="9"/>
        <v>#VALUE!</v>
      </c>
      <c r="U25" s="157" t="e">
        <f t="shared" si="15"/>
        <v>#NUM!</v>
      </c>
      <c r="V25" s="149" t="e">
        <f t="shared" si="10"/>
        <v>#VALUE!</v>
      </c>
      <c r="W25" s="157" t="e">
        <f t="shared" si="11"/>
        <v>#NUM!</v>
      </c>
      <c r="X25" s="149" t="e">
        <f t="shared" si="12"/>
        <v>#VALUE!</v>
      </c>
      <c r="Y25" s="157" t="e">
        <f t="shared" si="13"/>
        <v>#NUM!</v>
      </c>
      <c r="Z25" s="160">
        <v>1</v>
      </c>
      <c r="AA25" s="160">
        <v>64.96200857307025</v>
      </c>
      <c r="AB25" s="160">
        <v>0.47441169590722154</v>
      </c>
      <c r="AC25" s="160">
        <v>0.1032033599178334</v>
      </c>
      <c r="AD25" s="3"/>
      <c r="AE25" s="3"/>
      <c r="AF25" s="3"/>
      <c r="AG25" s="3"/>
      <c r="AH25" s="3"/>
      <c r="AI25" s="1"/>
      <c r="AJ25" s="1"/>
      <c r="AK25" s="1"/>
    </row>
    <row r="26" spans="1:37" x14ac:dyDescent="0.2">
      <c r="A26" s="50"/>
      <c r="B26" s="49"/>
      <c r="C26" s="50"/>
      <c r="D26" s="50"/>
      <c r="E26" s="50"/>
      <c r="F26" s="50"/>
      <c r="G26" s="3"/>
      <c r="H26" s="3"/>
      <c r="I26" s="3"/>
      <c r="J26" s="3"/>
      <c r="K26" s="3"/>
      <c r="L26" s="3"/>
      <c r="M26" s="3"/>
      <c r="N26" s="3"/>
      <c r="O26" s="156" t="e">
        <f t="shared" si="4"/>
        <v>#NUM!</v>
      </c>
      <c r="P26" s="208" t="e">
        <f t="shared" si="5"/>
        <v>#N/A</v>
      </c>
      <c r="Q26" s="156" t="e">
        <f t="shared" si="6"/>
        <v>#VALUE!</v>
      </c>
      <c r="R26" s="156" t="e">
        <f t="shared" si="7"/>
        <v>#VALUE!</v>
      </c>
      <c r="S26" s="156" t="e">
        <f t="shared" si="8"/>
        <v>#VALUE!</v>
      </c>
      <c r="T26" s="149" t="e">
        <f t="shared" si="9"/>
        <v>#VALUE!</v>
      </c>
      <c r="U26" s="157" t="e">
        <f t="shared" si="15"/>
        <v>#NUM!</v>
      </c>
      <c r="V26" s="149" t="e">
        <f t="shared" si="10"/>
        <v>#VALUE!</v>
      </c>
      <c r="W26" s="157" t="e">
        <f t="shared" si="11"/>
        <v>#NUM!</v>
      </c>
      <c r="X26" s="149" t="e">
        <f t="shared" si="12"/>
        <v>#VALUE!</v>
      </c>
      <c r="Y26" s="157" t="e">
        <f t="shared" si="13"/>
        <v>#NUM!</v>
      </c>
      <c r="Z26" s="160">
        <v>2</v>
      </c>
      <c r="AA26" s="160">
        <v>84.735375375576723</v>
      </c>
      <c r="AB26" s="160">
        <v>8.1224337994435558</v>
      </c>
      <c r="AC26" s="160">
        <v>1.7669515023438278</v>
      </c>
      <c r="AD26" s="3"/>
      <c r="AE26" s="3"/>
      <c r="AF26" s="3"/>
      <c r="AG26" s="3"/>
      <c r="AH26" s="3"/>
      <c r="AI26" s="1"/>
      <c r="AJ26" s="1"/>
      <c r="AK26" s="1"/>
    </row>
    <row r="27" spans="1:37" x14ac:dyDescent="0.2">
      <c r="A27" s="50"/>
      <c r="B27" s="49"/>
      <c r="C27" s="50"/>
      <c r="D27" s="50"/>
      <c r="E27" s="50"/>
      <c r="F27" s="50"/>
      <c r="G27" s="3"/>
      <c r="H27" s="3"/>
      <c r="I27" s="3"/>
      <c r="J27" s="3"/>
      <c r="K27" s="3"/>
      <c r="L27" s="3"/>
      <c r="M27" s="3"/>
      <c r="N27" s="3"/>
      <c r="O27" s="156" t="e">
        <f t="shared" si="4"/>
        <v>#NUM!</v>
      </c>
      <c r="P27" s="208" t="e">
        <f t="shared" si="5"/>
        <v>#N/A</v>
      </c>
      <c r="Q27" s="156" t="e">
        <f t="shared" si="6"/>
        <v>#VALUE!</v>
      </c>
      <c r="R27" s="156" t="e">
        <f t="shared" si="7"/>
        <v>#VALUE!</v>
      </c>
      <c r="S27" s="156" t="e">
        <f t="shared" si="8"/>
        <v>#VALUE!</v>
      </c>
      <c r="T27" s="149" t="e">
        <f t="shared" si="9"/>
        <v>#VALUE!</v>
      </c>
      <c r="U27" s="157" t="e">
        <f t="shared" si="15"/>
        <v>#NUM!</v>
      </c>
      <c r="V27" s="149" t="e">
        <f t="shared" si="10"/>
        <v>#VALUE!</v>
      </c>
      <c r="W27" s="157" t="e">
        <f t="shared" si="11"/>
        <v>#NUM!</v>
      </c>
      <c r="X27" s="149" t="e">
        <f t="shared" si="12"/>
        <v>#VALUE!</v>
      </c>
      <c r="Y27" s="157" t="e">
        <f t="shared" si="13"/>
        <v>#NUM!</v>
      </c>
      <c r="Z27" s="160">
        <v>3</v>
      </c>
      <c r="AA27" s="160">
        <v>72.398960486332342</v>
      </c>
      <c r="AB27" s="160">
        <v>-3.7728515527469852</v>
      </c>
      <c r="AC27" s="160">
        <v>-0.82074485109416684</v>
      </c>
      <c r="AD27" s="3"/>
      <c r="AE27" s="3"/>
      <c r="AF27" s="3"/>
      <c r="AG27" s="3"/>
      <c r="AH27" s="3"/>
      <c r="AI27" s="1"/>
      <c r="AJ27" s="1"/>
      <c r="AK27" s="1"/>
    </row>
    <row r="28" spans="1:37" x14ac:dyDescent="0.2">
      <c r="A28" s="50"/>
      <c r="B28" s="49"/>
      <c r="C28" s="50"/>
      <c r="D28" s="50"/>
      <c r="E28" s="50"/>
      <c r="F28" s="50"/>
      <c r="G28" s="3"/>
      <c r="H28" s="3"/>
      <c r="I28" s="50"/>
      <c r="J28" s="3"/>
      <c r="K28" s="3"/>
      <c r="L28" s="3"/>
      <c r="M28" s="160"/>
      <c r="N28" s="160"/>
      <c r="O28" s="156" t="e">
        <f t="shared" si="4"/>
        <v>#NUM!</v>
      </c>
      <c r="P28" s="208" t="e">
        <f t="shared" si="5"/>
        <v>#N/A</v>
      </c>
      <c r="Q28" s="156" t="e">
        <f t="shared" si="6"/>
        <v>#VALUE!</v>
      </c>
      <c r="R28" s="156" t="e">
        <f t="shared" si="7"/>
        <v>#VALUE!</v>
      </c>
      <c r="S28" s="156" t="e">
        <f t="shared" si="8"/>
        <v>#VALUE!</v>
      </c>
      <c r="T28" s="149" t="e">
        <f t="shared" si="9"/>
        <v>#VALUE!</v>
      </c>
      <c r="U28" s="157" t="e">
        <f t="shared" si="15"/>
        <v>#NUM!</v>
      </c>
      <c r="V28" s="149" t="e">
        <f t="shared" si="10"/>
        <v>#VALUE!</v>
      </c>
      <c r="W28" s="157" t="e">
        <f t="shared" si="11"/>
        <v>#NUM!</v>
      </c>
      <c r="X28" s="149" t="e">
        <f t="shared" si="12"/>
        <v>#VALUE!</v>
      </c>
      <c r="Y28" s="157" t="e">
        <f t="shared" si="13"/>
        <v>#NUM!</v>
      </c>
      <c r="Z28" s="160">
        <v>4</v>
      </c>
      <c r="AA28" s="160">
        <v>83.967989608254186</v>
      </c>
      <c r="AB28" s="160">
        <v>3.5389412932821216</v>
      </c>
      <c r="AC28" s="160">
        <v>0.76986009234077568</v>
      </c>
      <c r="AD28" s="3"/>
      <c r="AE28" s="3"/>
      <c r="AF28" s="3"/>
      <c r="AG28" s="3"/>
      <c r="AH28" s="3"/>
      <c r="AI28" s="1"/>
      <c r="AJ28" s="1"/>
      <c r="AK28" s="1"/>
    </row>
    <row r="29" spans="1:37" x14ac:dyDescent="0.2">
      <c r="A29" s="50"/>
      <c r="B29" s="49"/>
      <c r="C29" s="50"/>
      <c r="D29" s="50"/>
      <c r="E29" s="50"/>
      <c r="F29" s="50"/>
      <c r="G29" s="3"/>
      <c r="H29" s="3" t="s">
        <v>94</v>
      </c>
      <c r="I29" s="187" t="e">
        <f>10^$I$13</f>
        <v>#VALUE!</v>
      </c>
      <c r="J29" s="3" t="s">
        <v>95</v>
      </c>
      <c r="K29" s="3" t="s">
        <v>96</v>
      </c>
      <c r="L29" s="148" t="e">
        <f>+I12</f>
        <v>#NUM!</v>
      </c>
      <c r="M29" s="160"/>
      <c r="N29" s="160"/>
      <c r="O29" s="156" t="e">
        <f t="shared" si="4"/>
        <v>#NUM!</v>
      </c>
      <c r="P29" s="208" t="e">
        <f t="shared" si="5"/>
        <v>#N/A</v>
      </c>
      <c r="Q29" s="156" t="e">
        <f t="shared" si="6"/>
        <v>#VALUE!</v>
      </c>
      <c r="R29" s="156" t="e">
        <f t="shared" si="7"/>
        <v>#VALUE!</v>
      </c>
      <c r="S29" s="156" t="e">
        <f t="shared" si="8"/>
        <v>#VALUE!</v>
      </c>
      <c r="T29" s="149" t="e">
        <f t="shared" si="9"/>
        <v>#VALUE!</v>
      </c>
      <c r="U29" s="157" t="e">
        <f t="shared" si="15"/>
        <v>#NUM!</v>
      </c>
      <c r="V29" s="149" t="e">
        <f t="shared" si="10"/>
        <v>#VALUE!</v>
      </c>
      <c r="W29" s="157" t="e">
        <f t="shared" si="11"/>
        <v>#NUM!</v>
      </c>
      <c r="X29" s="149" t="e">
        <f t="shared" si="12"/>
        <v>#VALUE!</v>
      </c>
      <c r="Y29" s="157" t="e">
        <f t="shared" si="13"/>
        <v>#NUM!</v>
      </c>
      <c r="Z29" s="160">
        <v>5</v>
      </c>
      <c r="AA29" s="160">
        <v>80.249513651623147</v>
      </c>
      <c r="AB29" s="160">
        <v>-3.074627132090697</v>
      </c>
      <c r="AC29" s="160">
        <v>-0.66885334671080132</v>
      </c>
      <c r="AD29" s="3"/>
      <c r="AE29" s="3"/>
      <c r="AF29" s="3"/>
      <c r="AG29" s="3"/>
      <c r="AH29" s="3"/>
      <c r="AI29" s="1"/>
      <c r="AJ29" s="1"/>
      <c r="AK29" s="1"/>
    </row>
    <row r="30" spans="1:37" ht="15.75" x14ac:dyDescent="0.2">
      <c r="A30" s="151"/>
      <c r="B30" s="151"/>
      <c r="C30" s="157"/>
      <c r="D30" s="3"/>
      <c r="E30" s="3"/>
      <c r="F30" s="3"/>
      <c r="G30" s="3"/>
      <c r="H30" s="3"/>
      <c r="I30" s="3"/>
      <c r="J30" s="3"/>
      <c r="K30" s="3"/>
      <c r="L30" s="3"/>
      <c r="M30" s="160"/>
      <c r="N30" s="160"/>
      <c r="O30" s="156" t="e">
        <f t="shared" si="4"/>
        <v>#NUM!</v>
      </c>
      <c r="P30" s="208" t="e">
        <f t="shared" si="5"/>
        <v>#N/A</v>
      </c>
      <c r="Q30" s="156" t="e">
        <f t="shared" si="6"/>
        <v>#VALUE!</v>
      </c>
      <c r="R30" s="156" t="e">
        <f t="shared" si="7"/>
        <v>#VALUE!</v>
      </c>
      <c r="S30" s="156" t="e">
        <f t="shared" si="8"/>
        <v>#VALUE!</v>
      </c>
      <c r="T30" s="149" t="e">
        <f t="shared" si="9"/>
        <v>#VALUE!</v>
      </c>
      <c r="U30" s="157" t="e">
        <f t="shared" si="15"/>
        <v>#NUM!</v>
      </c>
      <c r="V30" s="149" t="e">
        <f t="shared" si="10"/>
        <v>#VALUE!</v>
      </c>
      <c r="W30" s="157" t="e">
        <f t="shared" si="11"/>
        <v>#NUM!</v>
      </c>
      <c r="X30" s="149" t="e">
        <f t="shared" si="12"/>
        <v>#VALUE!</v>
      </c>
      <c r="Y30" s="157" t="e">
        <f t="shared" si="13"/>
        <v>#NUM!</v>
      </c>
      <c r="Z30" s="160">
        <v>6</v>
      </c>
      <c r="AA30" s="160">
        <v>78.183475047293271</v>
      </c>
      <c r="AB30" s="160">
        <v>-4.5407034997025164</v>
      </c>
      <c r="AC30" s="160">
        <v>-0.98778310400595504</v>
      </c>
      <c r="AD30" s="3"/>
      <c r="AE30" s="3"/>
      <c r="AF30" s="3"/>
      <c r="AG30" s="3"/>
      <c r="AH30" s="3"/>
      <c r="AI30" s="1"/>
      <c r="AJ30" s="1"/>
      <c r="AK30" s="1"/>
    </row>
    <row r="31" spans="1:37" ht="16.5" thickBot="1" x14ac:dyDescent="0.25">
      <c r="A31" s="151"/>
      <c r="B31" s="151"/>
      <c r="C31" s="157"/>
      <c r="D31" s="3"/>
      <c r="E31" s="3"/>
      <c r="F31" s="3"/>
      <c r="G31" s="3"/>
      <c r="H31" s="3"/>
      <c r="I31" s="3"/>
      <c r="J31" s="3"/>
      <c r="K31" s="3"/>
      <c r="L31" s="3"/>
      <c r="M31" s="160"/>
      <c r="N31" s="160"/>
      <c r="O31" s="156" t="e">
        <f t="shared" si="4"/>
        <v>#NUM!</v>
      </c>
      <c r="P31" s="208" t="e">
        <f t="shared" si="5"/>
        <v>#N/A</v>
      </c>
      <c r="Q31" s="156" t="e">
        <f t="shared" si="6"/>
        <v>#VALUE!</v>
      </c>
      <c r="R31" s="156" t="e">
        <f t="shared" si="7"/>
        <v>#VALUE!</v>
      </c>
      <c r="S31" s="156" t="e">
        <f t="shared" si="8"/>
        <v>#VALUE!</v>
      </c>
      <c r="T31" s="149" t="e">
        <f t="shared" si="9"/>
        <v>#VALUE!</v>
      </c>
      <c r="U31" s="157" t="e">
        <f t="shared" si="15"/>
        <v>#NUM!</v>
      </c>
      <c r="V31" s="149" t="e">
        <f t="shared" si="10"/>
        <v>#VALUE!</v>
      </c>
      <c r="W31" s="157" t="e">
        <f t="shared" si="11"/>
        <v>#NUM!</v>
      </c>
      <c r="X31" s="149" t="e">
        <f t="shared" si="12"/>
        <v>#VALUE!</v>
      </c>
      <c r="Y31" s="157" t="e">
        <f t="shared" si="13"/>
        <v>#NUM!</v>
      </c>
      <c r="Z31" s="160">
        <v>7</v>
      </c>
      <c r="AA31" s="160">
        <v>58.292048895967945</v>
      </c>
      <c r="AB31" s="160">
        <v>5.5384635753090379</v>
      </c>
      <c r="AC31" s="160">
        <v>1.2048354934870995</v>
      </c>
      <c r="AD31" s="3"/>
      <c r="AE31" s="3"/>
      <c r="AF31" s="3"/>
      <c r="AG31" s="3"/>
      <c r="AH31" s="3"/>
      <c r="AI31" s="1"/>
      <c r="AJ31" s="1"/>
      <c r="AK31" s="1"/>
    </row>
    <row r="32" spans="1:37" ht="16.5" thickBot="1" x14ac:dyDescent="0.25">
      <c r="A32" s="151"/>
      <c r="B32" s="151"/>
      <c r="C32" s="157"/>
      <c r="D32" s="3"/>
      <c r="E32" s="3"/>
      <c r="F32" s="3"/>
      <c r="G32" s="3"/>
      <c r="H32" s="171" t="s">
        <v>33</v>
      </c>
      <c r="I32" s="188" t="s">
        <v>97</v>
      </c>
      <c r="J32" s="188" t="s">
        <v>98</v>
      </c>
      <c r="K32" s="188"/>
      <c r="L32" s="189">
        <v>0.95</v>
      </c>
      <c r="M32" s="160"/>
      <c r="N32" s="160"/>
      <c r="O32" s="156" t="e">
        <f t="shared" si="4"/>
        <v>#NUM!</v>
      </c>
      <c r="P32" s="208" t="e">
        <f t="shared" si="5"/>
        <v>#N/A</v>
      </c>
      <c r="Q32" s="156" t="e">
        <f t="shared" si="6"/>
        <v>#VALUE!</v>
      </c>
      <c r="R32" s="156" t="e">
        <f t="shared" si="7"/>
        <v>#VALUE!</v>
      </c>
      <c r="S32" s="156" t="e">
        <f t="shared" si="8"/>
        <v>#VALUE!</v>
      </c>
      <c r="T32" s="149" t="e">
        <f t="shared" si="9"/>
        <v>#VALUE!</v>
      </c>
      <c r="U32" s="157" t="e">
        <f t="shared" si="15"/>
        <v>#NUM!</v>
      </c>
      <c r="V32" s="149" t="e">
        <f t="shared" si="10"/>
        <v>#VALUE!</v>
      </c>
      <c r="W32" s="157" t="e">
        <f t="shared" si="11"/>
        <v>#NUM!</v>
      </c>
      <c r="X32" s="149" t="e">
        <f t="shared" si="12"/>
        <v>#VALUE!</v>
      </c>
      <c r="Y32" s="157" t="e">
        <f t="shared" si="13"/>
        <v>#NUM!</v>
      </c>
      <c r="Z32" s="160">
        <v>8</v>
      </c>
      <c r="AA32" s="160">
        <v>76.17685964853554</v>
      </c>
      <c r="AB32" s="160">
        <v>-1.6616650429208448</v>
      </c>
      <c r="AC32" s="160">
        <v>-0.36147805158871843</v>
      </c>
      <c r="AD32" s="3"/>
      <c r="AE32" s="3"/>
      <c r="AF32" s="3"/>
      <c r="AG32" s="3"/>
      <c r="AH32" s="3"/>
      <c r="AI32" s="1"/>
      <c r="AJ32" s="1"/>
      <c r="AK32" s="1"/>
    </row>
    <row r="33" spans="1:37" ht="15.75" x14ac:dyDescent="0.2">
      <c r="A33" s="151"/>
      <c r="B33" s="151"/>
      <c r="C33" s="157"/>
      <c r="D33" s="3"/>
      <c r="E33" s="3"/>
      <c r="F33" s="3"/>
      <c r="G33" s="3"/>
      <c r="H33" s="155">
        <v>1</v>
      </c>
      <c r="I33" s="60">
        <v>12.706</v>
      </c>
      <c r="J33" s="60">
        <v>199.5</v>
      </c>
      <c r="K33" s="60"/>
      <c r="L33" s="161"/>
      <c r="M33" s="60"/>
      <c r="N33" s="60"/>
      <c r="O33" s="156" t="e">
        <f t="shared" si="4"/>
        <v>#NUM!</v>
      </c>
      <c r="P33" s="208" t="e">
        <f t="shared" si="5"/>
        <v>#N/A</v>
      </c>
      <c r="Q33" s="156" t="e">
        <f t="shared" si="6"/>
        <v>#VALUE!</v>
      </c>
      <c r="R33" s="156" t="e">
        <f t="shared" si="7"/>
        <v>#VALUE!</v>
      </c>
      <c r="S33" s="156" t="e">
        <f t="shared" si="8"/>
        <v>#VALUE!</v>
      </c>
      <c r="T33" s="149" t="e">
        <f t="shared" si="9"/>
        <v>#VALUE!</v>
      </c>
      <c r="U33" s="157" t="e">
        <f t="shared" si="15"/>
        <v>#NUM!</v>
      </c>
      <c r="V33" s="149" t="e">
        <f t="shared" si="10"/>
        <v>#VALUE!</v>
      </c>
      <c r="W33" s="157" t="e">
        <f t="shared" si="11"/>
        <v>#NUM!</v>
      </c>
      <c r="X33" s="149" t="e">
        <f t="shared" si="12"/>
        <v>#VALUE!</v>
      </c>
      <c r="Y33" s="157" t="e">
        <f t="shared" si="13"/>
        <v>#NUM!</v>
      </c>
      <c r="Z33" s="160">
        <v>9</v>
      </c>
      <c r="AA33" s="160">
        <v>66.37832722773372</v>
      </c>
      <c r="AB33" s="160">
        <v>1.0806764711593644</v>
      </c>
      <c r="AC33" s="160">
        <v>0.23508999413371393</v>
      </c>
      <c r="AD33" s="3"/>
      <c r="AE33" s="3"/>
      <c r="AF33" s="3"/>
      <c r="AG33" s="3"/>
      <c r="AH33" s="3"/>
      <c r="AI33" s="1"/>
      <c r="AJ33" s="1"/>
      <c r="AK33" s="1"/>
    </row>
    <row r="34" spans="1:37" ht="16.5" thickBot="1" x14ac:dyDescent="0.25">
      <c r="A34" s="151"/>
      <c r="B34" s="151"/>
      <c r="C34" s="157"/>
      <c r="D34" s="3"/>
      <c r="E34" s="3"/>
      <c r="F34" s="3"/>
      <c r="G34" s="3"/>
      <c r="H34" s="155">
        <v>2</v>
      </c>
      <c r="I34" s="60">
        <v>4.3029999999999999</v>
      </c>
      <c r="J34" s="60">
        <v>19</v>
      </c>
      <c r="K34" s="60"/>
      <c r="L34" s="161"/>
      <c r="M34" s="60"/>
      <c r="N34" s="60"/>
      <c r="O34" s="156" t="e">
        <f t="shared" si="4"/>
        <v>#NUM!</v>
      </c>
      <c r="P34" s="208" t="e">
        <f t="shared" ref="P34:P65" si="16">SQRT(2*$I$16*$K$24)*SQRT((1/$I$1)+((O34-$I$10)^2/$I$7))</f>
        <v>#N/A</v>
      </c>
      <c r="Q34" s="156" t="e">
        <f t="shared" si="6"/>
        <v>#VALUE!</v>
      </c>
      <c r="R34" s="156" t="e">
        <f t="shared" si="7"/>
        <v>#VALUE!</v>
      </c>
      <c r="S34" s="156" t="e">
        <f t="shared" si="8"/>
        <v>#VALUE!</v>
      </c>
      <c r="T34" s="149" t="e">
        <f t="shared" si="9"/>
        <v>#VALUE!</v>
      </c>
      <c r="U34" s="157" t="e">
        <f t="shared" si="15"/>
        <v>#NUM!</v>
      </c>
      <c r="V34" s="149" t="e">
        <f t="shared" si="10"/>
        <v>#VALUE!</v>
      </c>
      <c r="W34" s="157" t="e">
        <f t="shared" si="11"/>
        <v>#NUM!</v>
      </c>
      <c r="X34" s="149" t="e">
        <f t="shared" si="12"/>
        <v>#VALUE!</v>
      </c>
      <c r="Y34" s="157" t="e">
        <f t="shared" si="13"/>
        <v>#NUM!</v>
      </c>
      <c r="Z34" s="163">
        <v>10</v>
      </c>
      <c r="AA34" s="163">
        <v>71.750027598991394</v>
      </c>
      <c r="AB34" s="163">
        <v>-5.705079607640414</v>
      </c>
      <c r="AC34" s="163">
        <v>-1.2410810888236428</v>
      </c>
      <c r="AD34" s="3"/>
      <c r="AE34" s="3"/>
      <c r="AF34" s="3"/>
      <c r="AG34" s="3"/>
      <c r="AH34" s="3"/>
      <c r="AI34" s="1"/>
      <c r="AJ34" s="1"/>
      <c r="AK34" s="1"/>
    </row>
    <row r="35" spans="1:37" ht="15.75" x14ac:dyDescent="0.2">
      <c r="A35" s="151"/>
      <c r="B35" s="151"/>
      <c r="C35" s="157"/>
      <c r="D35" s="3"/>
      <c r="E35" s="3"/>
      <c r="F35" s="3"/>
      <c r="G35" s="3"/>
      <c r="H35" s="155">
        <v>3</v>
      </c>
      <c r="I35" s="60">
        <v>3.1819999999999999</v>
      </c>
      <c r="J35" s="60">
        <v>9.5500000000000007</v>
      </c>
      <c r="K35" s="60"/>
      <c r="L35" s="161"/>
      <c r="M35" s="60"/>
      <c r="N35" s="60"/>
      <c r="O35" s="156" t="e">
        <f t="shared" si="4"/>
        <v>#NUM!</v>
      </c>
      <c r="P35" s="208" t="e">
        <f t="shared" si="16"/>
        <v>#N/A</v>
      </c>
      <c r="Q35" s="156" t="e">
        <f t="shared" si="6"/>
        <v>#VALUE!</v>
      </c>
      <c r="R35" s="156" t="e">
        <f t="shared" si="7"/>
        <v>#VALUE!</v>
      </c>
      <c r="S35" s="156" t="e">
        <f t="shared" si="8"/>
        <v>#VALUE!</v>
      </c>
      <c r="T35" s="149" t="e">
        <f t="shared" si="9"/>
        <v>#VALUE!</v>
      </c>
      <c r="U35" s="157" t="e">
        <f t="shared" si="15"/>
        <v>#NUM!</v>
      </c>
      <c r="V35" s="149" t="e">
        <f t="shared" si="10"/>
        <v>#VALUE!</v>
      </c>
      <c r="W35" s="157" t="e">
        <f t="shared" si="11"/>
        <v>#NUM!</v>
      </c>
      <c r="X35" s="149" t="e">
        <f t="shared" si="12"/>
        <v>#VALUE!</v>
      </c>
      <c r="Y35" s="157" t="e">
        <f t="shared" si="13"/>
        <v>#NUM!</v>
      </c>
      <c r="Z35" s="160">
        <v>11</v>
      </c>
      <c r="AA35" s="160">
        <v>1.8219740757524479</v>
      </c>
      <c r="AB35" s="160">
        <v>-2.3572384393459211E-2</v>
      </c>
      <c r="AC35" s="160">
        <v>-2.1105589333618084</v>
      </c>
      <c r="AD35" s="3"/>
      <c r="AE35" s="3"/>
      <c r="AF35" s="3"/>
      <c r="AG35" s="3"/>
      <c r="AH35" s="3"/>
      <c r="AI35" s="1"/>
      <c r="AJ35" s="1"/>
      <c r="AK35" s="1"/>
    </row>
    <row r="36" spans="1:37" ht="16.5" thickBot="1" x14ac:dyDescent="0.25">
      <c r="A36" s="151"/>
      <c r="B36" s="151"/>
      <c r="C36" s="157"/>
      <c r="D36" s="3"/>
      <c r="E36" s="3"/>
      <c r="F36" s="3"/>
      <c r="G36" s="3"/>
      <c r="H36" s="155">
        <v>4</v>
      </c>
      <c r="I36" s="60">
        <v>2.7764000000000002</v>
      </c>
      <c r="J36" s="60">
        <v>6.94</v>
      </c>
      <c r="K36" s="60"/>
      <c r="L36" s="161"/>
      <c r="M36" s="60"/>
      <c r="N36" s="60"/>
      <c r="O36" s="156" t="e">
        <f t="shared" si="4"/>
        <v>#NUM!</v>
      </c>
      <c r="P36" s="208" t="e">
        <f t="shared" si="16"/>
        <v>#N/A</v>
      </c>
      <c r="Q36" s="156" t="e">
        <f t="shared" si="6"/>
        <v>#VALUE!</v>
      </c>
      <c r="R36" s="156" t="e">
        <f t="shared" si="7"/>
        <v>#VALUE!</v>
      </c>
      <c r="S36" s="156" t="e">
        <f t="shared" si="8"/>
        <v>#VALUE!</v>
      </c>
      <c r="T36" s="149" t="e">
        <f t="shared" si="9"/>
        <v>#VALUE!</v>
      </c>
      <c r="U36" s="157" t="e">
        <f t="shared" si="15"/>
        <v>#NUM!</v>
      </c>
      <c r="V36" s="149" t="e">
        <f t="shared" si="10"/>
        <v>#VALUE!</v>
      </c>
      <c r="W36" s="157" t="e">
        <f t="shared" si="11"/>
        <v>#NUM!</v>
      </c>
      <c r="X36" s="149" t="e">
        <f t="shared" si="12"/>
        <v>#VALUE!</v>
      </c>
      <c r="Y36" s="157" t="e">
        <f t="shared" si="13"/>
        <v>#NUM!</v>
      </c>
      <c r="Z36" s="163">
        <v>12</v>
      </c>
      <c r="AA36" s="163">
        <v>1.7418458667896419</v>
      </c>
      <c r="AB36" s="163">
        <v>5.198026089093144E-3</v>
      </c>
      <c r="AC36" s="163">
        <v>0.46540647798138757</v>
      </c>
      <c r="AD36" s="3"/>
      <c r="AE36" s="3"/>
      <c r="AF36" s="3"/>
      <c r="AG36" s="3"/>
      <c r="AH36" s="3"/>
      <c r="AI36" s="1"/>
      <c r="AJ36" s="1"/>
      <c r="AK36" s="1"/>
    </row>
    <row r="37" spans="1:37" ht="15.75" x14ac:dyDescent="0.2">
      <c r="A37" s="151"/>
      <c r="B37" s="151"/>
      <c r="C37" s="157"/>
      <c r="D37" s="3"/>
      <c r="E37" s="3"/>
      <c r="F37" s="3"/>
      <c r="G37" s="3"/>
      <c r="H37" s="155">
        <v>5</v>
      </c>
      <c r="I37" s="60">
        <v>2.5706000000000002</v>
      </c>
      <c r="J37" s="60">
        <v>5.79</v>
      </c>
      <c r="K37" s="60"/>
      <c r="L37" s="161"/>
      <c r="M37" s="60"/>
      <c r="N37" s="60"/>
      <c r="O37" s="156" t="e">
        <f t="shared" si="4"/>
        <v>#NUM!</v>
      </c>
      <c r="P37" s="208" t="e">
        <f t="shared" si="16"/>
        <v>#N/A</v>
      </c>
      <c r="Q37" s="156" t="e">
        <f t="shared" si="6"/>
        <v>#VALUE!</v>
      </c>
      <c r="R37" s="156" t="e">
        <f t="shared" si="7"/>
        <v>#VALUE!</v>
      </c>
      <c r="S37" s="156" t="e">
        <f t="shared" si="8"/>
        <v>#VALUE!</v>
      </c>
      <c r="T37" s="149" t="e">
        <f t="shared" si="9"/>
        <v>#VALUE!</v>
      </c>
      <c r="U37" s="157" t="e">
        <f t="shared" si="15"/>
        <v>#NUM!</v>
      </c>
      <c r="V37" s="149" t="e">
        <f t="shared" si="10"/>
        <v>#VALUE!</v>
      </c>
      <c r="W37" s="157" t="e">
        <f t="shared" si="11"/>
        <v>#NUM!</v>
      </c>
      <c r="X37" s="149" t="e">
        <f t="shared" si="12"/>
        <v>#VALUE!</v>
      </c>
      <c r="Y37" s="157" t="e">
        <f t="shared" si="13"/>
        <v>#NUM!</v>
      </c>
      <c r="Z37" s="3"/>
      <c r="AA37" s="60"/>
      <c r="AB37" s="60"/>
      <c r="AC37" s="60"/>
      <c r="AD37" s="60"/>
      <c r="AE37" s="60"/>
      <c r="AF37" s="60"/>
      <c r="AG37" s="60"/>
      <c r="AH37" s="60"/>
      <c r="AI37" s="1"/>
      <c r="AJ37" s="1"/>
      <c r="AK37" s="1"/>
    </row>
    <row r="38" spans="1:37" x14ac:dyDescent="0.2">
      <c r="A38" s="157"/>
      <c r="B38" s="60"/>
      <c r="C38" s="157"/>
      <c r="D38" s="3"/>
      <c r="E38" s="3"/>
      <c r="F38" s="3"/>
      <c r="G38" s="3"/>
      <c r="H38" s="155">
        <v>6</v>
      </c>
      <c r="I38" s="60">
        <v>2.4468999999999999</v>
      </c>
      <c r="J38" s="60">
        <v>5.14</v>
      </c>
      <c r="K38" s="60"/>
      <c r="L38" s="161"/>
      <c r="M38" s="3"/>
      <c r="N38" s="3"/>
      <c r="O38" s="156" t="e">
        <f t="shared" si="4"/>
        <v>#NUM!</v>
      </c>
      <c r="P38" s="208" t="e">
        <f t="shared" si="16"/>
        <v>#N/A</v>
      </c>
      <c r="Q38" s="156" t="e">
        <f t="shared" si="6"/>
        <v>#VALUE!</v>
      </c>
      <c r="R38" s="156" t="e">
        <f t="shared" si="7"/>
        <v>#VALUE!</v>
      </c>
      <c r="S38" s="156" t="e">
        <f t="shared" si="8"/>
        <v>#VALUE!</v>
      </c>
      <c r="T38" s="149" t="e">
        <f t="shared" si="9"/>
        <v>#VALUE!</v>
      </c>
      <c r="U38" s="157" t="e">
        <f t="shared" si="15"/>
        <v>#NUM!</v>
      </c>
      <c r="V38" s="149" t="e">
        <f t="shared" si="10"/>
        <v>#VALUE!</v>
      </c>
      <c r="W38" s="157" t="e">
        <f t="shared" si="11"/>
        <v>#NUM!</v>
      </c>
      <c r="X38" s="149" t="e">
        <f t="shared" si="12"/>
        <v>#VALUE!</v>
      </c>
      <c r="Y38" s="157" t="e">
        <f t="shared" si="13"/>
        <v>#NUM!</v>
      </c>
      <c r="Z38" s="3"/>
      <c r="AA38" s="60"/>
      <c r="AB38" s="60"/>
      <c r="AC38" s="60"/>
      <c r="AD38" s="60"/>
      <c r="AE38" s="60"/>
      <c r="AF38" s="60"/>
      <c r="AG38" s="60"/>
      <c r="AH38" s="60"/>
      <c r="AI38" s="1"/>
      <c r="AJ38" s="1"/>
      <c r="AK38" s="1"/>
    </row>
    <row r="39" spans="1:37" x14ac:dyDescent="0.2">
      <c r="A39" s="157"/>
      <c r="B39" s="60"/>
      <c r="C39" s="157"/>
      <c r="D39" s="3"/>
      <c r="E39" s="3"/>
      <c r="F39" s="3"/>
      <c r="G39" s="3"/>
      <c r="H39" s="155">
        <v>7</v>
      </c>
      <c r="I39" s="60">
        <v>2.3645999999999998</v>
      </c>
      <c r="J39" s="60">
        <v>4.74</v>
      </c>
      <c r="K39" s="60"/>
      <c r="L39" s="161"/>
      <c r="M39" s="3"/>
      <c r="N39" s="3"/>
      <c r="O39" s="156" t="e">
        <f t="shared" si="4"/>
        <v>#NUM!</v>
      </c>
      <c r="P39" s="208" t="e">
        <f t="shared" si="16"/>
        <v>#N/A</v>
      </c>
      <c r="Q39" s="156" t="e">
        <f t="shared" si="6"/>
        <v>#VALUE!</v>
      </c>
      <c r="R39" s="156" t="e">
        <f t="shared" si="7"/>
        <v>#VALUE!</v>
      </c>
      <c r="S39" s="156" t="e">
        <f t="shared" si="8"/>
        <v>#VALUE!</v>
      </c>
      <c r="T39" s="149" t="e">
        <f t="shared" si="9"/>
        <v>#VALUE!</v>
      </c>
      <c r="U39" s="157" t="e">
        <f t="shared" si="15"/>
        <v>#NUM!</v>
      </c>
      <c r="V39" s="149" t="e">
        <f t="shared" si="10"/>
        <v>#VALUE!</v>
      </c>
      <c r="W39" s="157" t="e">
        <f t="shared" si="11"/>
        <v>#NUM!</v>
      </c>
      <c r="X39" s="149" t="e">
        <f t="shared" si="12"/>
        <v>#VALUE!</v>
      </c>
      <c r="Y39" s="157" t="e">
        <f t="shared" si="13"/>
        <v>#NUM!</v>
      </c>
      <c r="Z39" s="3"/>
      <c r="AA39" s="60"/>
      <c r="AB39" s="60"/>
      <c r="AC39" s="60"/>
      <c r="AD39" s="60"/>
      <c r="AE39" s="60"/>
      <c r="AF39" s="60"/>
      <c r="AG39" s="60"/>
      <c r="AH39" s="60"/>
      <c r="AI39" s="1"/>
      <c r="AJ39" s="1"/>
      <c r="AK39" s="1"/>
    </row>
    <row r="40" spans="1:37" x14ac:dyDescent="0.2">
      <c r="A40" s="60"/>
      <c r="B40" s="60"/>
      <c r="C40" s="60"/>
      <c r="D40" s="3"/>
      <c r="E40" s="3"/>
      <c r="F40" s="3"/>
      <c r="G40" s="3"/>
      <c r="H40" s="155">
        <v>8</v>
      </c>
      <c r="I40" s="60">
        <v>2.306</v>
      </c>
      <c r="J40" s="60">
        <v>4.46</v>
      </c>
      <c r="K40" s="60"/>
      <c r="L40" s="161"/>
      <c r="M40" s="3"/>
      <c r="N40" s="3"/>
      <c r="O40" s="156" t="e">
        <f t="shared" si="4"/>
        <v>#NUM!</v>
      </c>
      <c r="P40" s="208" t="e">
        <f t="shared" si="16"/>
        <v>#N/A</v>
      </c>
      <c r="Q40" s="156" t="e">
        <f t="shared" si="6"/>
        <v>#VALUE!</v>
      </c>
      <c r="R40" s="156" t="e">
        <f t="shared" si="7"/>
        <v>#VALUE!</v>
      </c>
      <c r="S40" s="156" t="e">
        <f t="shared" si="8"/>
        <v>#VALUE!</v>
      </c>
      <c r="T40" s="149" t="e">
        <f t="shared" si="9"/>
        <v>#VALUE!</v>
      </c>
      <c r="U40" s="157" t="e">
        <f t="shared" si="15"/>
        <v>#NUM!</v>
      </c>
      <c r="V40" s="149" t="e">
        <f t="shared" si="10"/>
        <v>#VALUE!</v>
      </c>
      <c r="W40" s="157" t="e">
        <f t="shared" si="11"/>
        <v>#NUM!</v>
      </c>
      <c r="X40" s="149" t="e">
        <f t="shared" si="12"/>
        <v>#VALUE!</v>
      </c>
      <c r="Y40" s="157" t="e">
        <f t="shared" si="13"/>
        <v>#NUM!</v>
      </c>
      <c r="Z40" s="3"/>
      <c r="AA40" s="3"/>
      <c r="AB40" s="60"/>
      <c r="AC40" s="60"/>
      <c r="AD40" s="60"/>
      <c r="AE40" s="60"/>
      <c r="AF40" s="60"/>
      <c r="AG40" s="60"/>
      <c r="AH40" s="60"/>
      <c r="AI40" s="1"/>
      <c r="AJ40" s="1"/>
      <c r="AK40" s="1"/>
    </row>
    <row r="41" spans="1:37" x14ac:dyDescent="0.2">
      <c r="A41" s="3"/>
      <c r="B41" s="3"/>
      <c r="C41" s="3"/>
      <c r="D41" s="3"/>
      <c r="E41" s="3"/>
      <c r="F41" s="3"/>
      <c r="G41" s="3"/>
      <c r="H41" s="155">
        <v>9</v>
      </c>
      <c r="I41" s="60">
        <v>2.2622</v>
      </c>
      <c r="J41" s="60">
        <v>4.26</v>
      </c>
      <c r="K41" s="60"/>
      <c r="L41" s="161"/>
      <c r="M41" s="3"/>
      <c r="N41" s="3"/>
      <c r="O41" s="156" t="e">
        <f t="shared" si="4"/>
        <v>#NUM!</v>
      </c>
      <c r="P41" s="208" t="e">
        <f t="shared" si="16"/>
        <v>#N/A</v>
      </c>
      <c r="Q41" s="156" t="e">
        <f t="shared" si="6"/>
        <v>#VALUE!</v>
      </c>
      <c r="R41" s="156" t="e">
        <f t="shared" si="7"/>
        <v>#VALUE!</v>
      </c>
      <c r="S41" s="156" t="e">
        <f t="shared" si="8"/>
        <v>#VALUE!</v>
      </c>
      <c r="T41" s="149" t="e">
        <f t="shared" si="9"/>
        <v>#VALUE!</v>
      </c>
      <c r="U41" s="157" t="e">
        <f t="shared" si="15"/>
        <v>#NUM!</v>
      </c>
      <c r="V41" s="149" t="e">
        <f t="shared" si="10"/>
        <v>#VALUE!</v>
      </c>
      <c r="W41" s="157" t="e">
        <f t="shared" si="11"/>
        <v>#NUM!</v>
      </c>
      <c r="X41" s="149" t="e">
        <f t="shared" si="12"/>
        <v>#VALUE!</v>
      </c>
      <c r="Y41" s="157" t="e">
        <f t="shared" si="13"/>
        <v>#NUM!</v>
      </c>
      <c r="Z41" s="3"/>
      <c r="AA41" s="50"/>
      <c r="AB41" s="60"/>
      <c r="AC41" s="60"/>
      <c r="AD41" s="60"/>
      <c r="AE41" s="60"/>
      <c r="AF41" s="60"/>
      <c r="AG41" s="60"/>
      <c r="AH41" s="60"/>
      <c r="AI41" s="1"/>
      <c r="AJ41" s="1"/>
      <c r="AK41" s="1"/>
    </row>
    <row r="42" spans="1:37" x14ac:dyDescent="0.2">
      <c r="A42" s="3"/>
      <c r="B42" s="3"/>
      <c r="C42" s="3"/>
      <c r="D42" s="3"/>
      <c r="E42" s="3"/>
      <c r="F42" s="3"/>
      <c r="G42" s="3"/>
      <c r="H42" s="155">
        <v>10</v>
      </c>
      <c r="I42" s="60">
        <v>2.2281</v>
      </c>
      <c r="J42" s="60">
        <v>4.0999999999999996</v>
      </c>
      <c r="K42" s="60"/>
      <c r="L42" s="161"/>
      <c r="M42" s="3"/>
      <c r="N42" s="3"/>
      <c r="O42" s="156" t="e">
        <f t="shared" si="4"/>
        <v>#NUM!</v>
      </c>
      <c r="P42" s="208" t="e">
        <f t="shared" si="16"/>
        <v>#N/A</v>
      </c>
      <c r="Q42" s="156" t="e">
        <f t="shared" si="6"/>
        <v>#VALUE!</v>
      </c>
      <c r="R42" s="156" t="e">
        <f t="shared" si="7"/>
        <v>#VALUE!</v>
      </c>
      <c r="S42" s="156" t="e">
        <f t="shared" si="8"/>
        <v>#VALUE!</v>
      </c>
      <c r="T42" s="149" t="e">
        <f t="shared" si="9"/>
        <v>#VALUE!</v>
      </c>
      <c r="U42" s="157" t="e">
        <f t="shared" si="15"/>
        <v>#NUM!</v>
      </c>
      <c r="V42" s="149" t="e">
        <f t="shared" si="10"/>
        <v>#VALUE!</v>
      </c>
      <c r="W42" s="157" t="e">
        <f t="shared" si="11"/>
        <v>#NUM!</v>
      </c>
      <c r="X42" s="149" t="e">
        <f t="shared" si="12"/>
        <v>#VALUE!</v>
      </c>
      <c r="Y42" s="157" t="e">
        <f t="shared" si="13"/>
        <v>#NUM!</v>
      </c>
      <c r="Z42" s="50"/>
      <c r="AA42" s="50"/>
      <c r="AB42" s="60"/>
      <c r="AC42" s="60"/>
      <c r="AD42" s="60"/>
      <c r="AE42" s="60"/>
      <c r="AF42" s="60"/>
      <c r="AG42" s="60"/>
      <c r="AH42" s="60"/>
      <c r="AI42" s="1"/>
      <c r="AJ42" s="1"/>
      <c r="AK42" s="1"/>
    </row>
    <row r="43" spans="1:37" x14ac:dyDescent="0.2">
      <c r="A43" s="3"/>
      <c r="B43" s="3"/>
      <c r="C43" s="3"/>
      <c r="D43" s="3"/>
      <c r="E43" s="3"/>
      <c r="F43" s="3"/>
      <c r="G43" s="3"/>
      <c r="H43" s="155">
        <v>11</v>
      </c>
      <c r="I43" s="60">
        <v>2.2010000000000001</v>
      </c>
      <c r="J43" s="60">
        <v>3.98</v>
      </c>
      <c r="K43" s="60"/>
      <c r="L43" s="161"/>
      <c r="M43" s="3"/>
      <c r="N43" s="3"/>
      <c r="O43" s="156" t="e">
        <f t="shared" si="4"/>
        <v>#NUM!</v>
      </c>
      <c r="P43" s="208" t="e">
        <f t="shared" si="16"/>
        <v>#N/A</v>
      </c>
      <c r="Q43" s="156" t="e">
        <f t="shared" si="6"/>
        <v>#VALUE!</v>
      </c>
      <c r="R43" s="156" t="e">
        <f t="shared" si="7"/>
        <v>#VALUE!</v>
      </c>
      <c r="S43" s="156" t="e">
        <f t="shared" si="8"/>
        <v>#VALUE!</v>
      </c>
      <c r="T43" s="149" t="e">
        <f t="shared" si="9"/>
        <v>#VALUE!</v>
      </c>
      <c r="U43" s="157" t="e">
        <f t="shared" si="15"/>
        <v>#NUM!</v>
      </c>
      <c r="V43" s="149" t="e">
        <f t="shared" si="10"/>
        <v>#VALUE!</v>
      </c>
      <c r="W43" s="157" t="e">
        <f t="shared" si="11"/>
        <v>#NUM!</v>
      </c>
      <c r="X43" s="149" t="e">
        <f t="shared" si="12"/>
        <v>#VALUE!</v>
      </c>
      <c r="Y43" s="157" t="e">
        <f t="shared" si="13"/>
        <v>#NUM!</v>
      </c>
      <c r="Z43" s="50"/>
      <c r="AA43" s="50"/>
      <c r="AB43" s="60"/>
      <c r="AC43" s="60"/>
      <c r="AD43" s="60"/>
      <c r="AE43" s="60"/>
      <c r="AF43" s="60"/>
      <c r="AG43" s="60"/>
      <c r="AH43" s="60"/>
      <c r="AI43" s="1"/>
      <c r="AJ43" s="1"/>
      <c r="AK43" s="1"/>
    </row>
    <row r="44" spans="1:37" x14ac:dyDescent="0.2">
      <c r="A44" s="3"/>
      <c r="B44" s="3"/>
      <c r="C44" s="3"/>
      <c r="D44" s="3"/>
      <c r="E44" s="3"/>
      <c r="F44" s="3"/>
      <c r="G44" s="3"/>
      <c r="H44" s="155">
        <v>12</v>
      </c>
      <c r="I44" s="60">
        <v>2.1787999999999998</v>
      </c>
      <c r="J44" s="60">
        <v>2.89</v>
      </c>
      <c r="K44" s="60"/>
      <c r="L44" s="161"/>
      <c r="M44" s="3"/>
      <c r="N44" s="3"/>
      <c r="O44" s="156" t="e">
        <f t="shared" si="4"/>
        <v>#NUM!</v>
      </c>
      <c r="P44" s="208" t="e">
        <f t="shared" si="16"/>
        <v>#N/A</v>
      </c>
      <c r="Q44" s="156" t="e">
        <f t="shared" si="6"/>
        <v>#VALUE!</v>
      </c>
      <c r="R44" s="156" t="e">
        <f t="shared" si="7"/>
        <v>#VALUE!</v>
      </c>
      <c r="S44" s="156" t="e">
        <f t="shared" si="8"/>
        <v>#VALUE!</v>
      </c>
      <c r="T44" s="149" t="e">
        <f t="shared" si="9"/>
        <v>#VALUE!</v>
      </c>
      <c r="U44" s="157" t="e">
        <f t="shared" si="15"/>
        <v>#NUM!</v>
      </c>
      <c r="V44" s="149" t="e">
        <f t="shared" si="10"/>
        <v>#VALUE!</v>
      </c>
      <c r="W44" s="157" t="e">
        <f t="shared" si="11"/>
        <v>#NUM!</v>
      </c>
      <c r="X44" s="149" t="e">
        <f t="shared" si="12"/>
        <v>#VALUE!</v>
      </c>
      <c r="Y44" s="157" t="e">
        <f t="shared" si="13"/>
        <v>#NUM!</v>
      </c>
      <c r="Z44" s="50"/>
      <c r="AA44" s="50"/>
      <c r="AB44" s="60"/>
      <c r="AC44" s="60"/>
      <c r="AD44" s="60"/>
      <c r="AE44" s="60"/>
      <c r="AF44" s="60"/>
      <c r="AG44" s="60"/>
      <c r="AH44" s="60"/>
      <c r="AI44" s="1"/>
      <c r="AJ44" s="1"/>
      <c r="AK44" s="1"/>
    </row>
    <row r="45" spans="1:37" x14ac:dyDescent="0.2">
      <c r="A45" s="3"/>
      <c r="B45" s="3"/>
      <c r="C45" s="3"/>
      <c r="D45" s="3"/>
      <c r="E45" s="3"/>
      <c r="F45" s="3"/>
      <c r="G45" s="3"/>
      <c r="H45" s="155">
        <v>13</v>
      </c>
      <c r="I45" s="60">
        <v>2.1604000000000001</v>
      </c>
      <c r="J45" s="60">
        <v>3.81</v>
      </c>
      <c r="K45" s="60"/>
      <c r="L45" s="161"/>
      <c r="M45" s="3"/>
      <c r="N45" s="3"/>
      <c r="O45" s="156" t="e">
        <f t="shared" si="4"/>
        <v>#NUM!</v>
      </c>
      <c r="P45" s="208" t="e">
        <f t="shared" si="16"/>
        <v>#N/A</v>
      </c>
      <c r="Q45" s="156" t="e">
        <f t="shared" si="6"/>
        <v>#VALUE!</v>
      </c>
      <c r="R45" s="156" t="e">
        <f t="shared" si="7"/>
        <v>#VALUE!</v>
      </c>
      <c r="S45" s="156" t="e">
        <f t="shared" si="8"/>
        <v>#VALUE!</v>
      </c>
      <c r="T45" s="149" t="e">
        <f t="shared" si="9"/>
        <v>#VALUE!</v>
      </c>
      <c r="U45" s="157" t="e">
        <f t="shared" si="15"/>
        <v>#NUM!</v>
      </c>
      <c r="V45" s="149" t="e">
        <f t="shared" si="10"/>
        <v>#VALUE!</v>
      </c>
      <c r="W45" s="157" t="e">
        <f t="shared" si="11"/>
        <v>#NUM!</v>
      </c>
      <c r="X45" s="149" t="e">
        <f t="shared" si="12"/>
        <v>#VALUE!</v>
      </c>
      <c r="Y45" s="157" t="e">
        <f t="shared" si="13"/>
        <v>#NUM!</v>
      </c>
      <c r="Z45" s="50"/>
      <c r="AA45" s="50"/>
      <c r="AB45" s="60"/>
      <c r="AC45" s="60"/>
      <c r="AD45" s="60"/>
      <c r="AE45" s="60"/>
      <c r="AF45" s="60"/>
      <c r="AG45" s="60"/>
      <c r="AH45" s="60"/>
      <c r="AI45" s="1"/>
      <c r="AJ45" s="1"/>
      <c r="AK45" s="1"/>
    </row>
    <row r="46" spans="1:37" x14ac:dyDescent="0.2">
      <c r="A46" s="3"/>
      <c r="B46" s="3"/>
      <c r="C46" s="3"/>
      <c r="D46" s="3"/>
      <c r="E46" s="3"/>
      <c r="F46" s="3"/>
      <c r="G46" s="3"/>
      <c r="H46" s="155">
        <v>14</v>
      </c>
      <c r="I46" s="60">
        <v>2.1448</v>
      </c>
      <c r="J46" s="60">
        <v>3.74</v>
      </c>
      <c r="K46" s="60"/>
      <c r="L46" s="161"/>
      <c r="M46" s="3"/>
      <c r="N46" s="3"/>
      <c r="O46" s="156" t="e">
        <f t="shared" si="4"/>
        <v>#NUM!</v>
      </c>
      <c r="P46" s="208" t="e">
        <f t="shared" si="16"/>
        <v>#N/A</v>
      </c>
      <c r="Q46" s="156" t="e">
        <f t="shared" si="6"/>
        <v>#VALUE!</v>
      </c>
      <c r="R46" s="156" t="e">
        <f t="shared" si="7"/>
        <v>#VALUE!</v>
      </c>
      <c r="S46" s="156" t="e">
        <f t="shared" si="8"/>
        <v>#VALUE!</v>
      </c>
      <c r="T46" s="149" t="e">
        <f t="shared" si="9"/>
        <v>#VALUE!</v>
      </c>
      <c r="U46" s="157" t="e">
        <f t="shared" si="15"/>
        <v>#NUM!</v>
      </c>
      <c r="V46" s="149" t="e">
        <f t="shared" si="10"/>
        <v>#VALUE!</v>
      </c>
      <c r="W46" s="157" t="e">
        <f t="shared" si="11"/>
        <v>#NUM!</v>
      </c>
      <c r="X46" s="149" t="e">
        <f t="shared" si="12"/>
        <v>#VALUE!</v>
      </c>
      <c r="Y46" s="157" t="e">
        <f t="shared" si="13"/>
        <v>#NUM!</v>
      </c>
      <c r="Z46" s="3"/>
      <c r="AA46" s="3"/>
      <c r="AB46" s="60"/>
      <c r="AC46" s="60"/>
      <c r="AD46" s="60"/>
      <c r="AE46" s="60"/>
      <c r="AF46" s="60"/>
      <c r="AG46" s="60"/>
      <c r="AH46" s="60"/>
      <c r="AI46" s="1"/>
      <c r="AJ46" s="1"/>
      <c r="AK46" s="1"/>
    </row>
    <row r="47" spans="1:37" x14ac:dyDescent="0.2">
      <c r="A47" s="3"/>
      <c r="B47" s="3"/>
      <c r="C47" s="3"/>
      <c r="D47" s="3"/>
      <c r="E47" s="3"/>
      <c r="F47" s="3"/>
      <c r="G47" s="3"/>
      <c r="H47" s="155">
        <v>15</v>
      </c>
      <c r="I47" s="60">
        <v>2.1315</v>
      </c>
      <c r="J47" s="60">
        <v>3.68</v>
      </c>
      <c r="K47" s="60"/>
      <c r="L47" s="161"/>
      <c r="M47" s="3"/>
      <c r="N47" s="3"/>
      <c r="O47" s="156" t="e">
        <f t="shared" si="4"/>
        <v>#NUM!</v>
      </c>
      <c r="P47" s="208" t="e">
        <f t="shared" si="16"/>
        <v>#N/A</v>
      </c>
      <c r="Q47" s="156" t="e">
        <f t="shared" si="6"/>
        <v>#VALUE!</v>
      </c>
      <c r="R47" s="156" t="e">
        <f t="shared" si="7"/>
        <v>#VALUE!</v>
      </c>
      <c r="S47" s="156" t="e">
        <f t="shared" si="8"/>
        <v>#VALUE!</v>
      </c>
      <c r="T47" s="149" t="e">
        <f t="shared" si="9"/>
        <v>#VALUE!</v>
      </c>
      <c r="U47" s="157" t="e">
        <f t="shared" si="15"/>
        <v>#NUM!</v>
      </c>
      <c r="V47" s="149" t="e">
        <f t="shared" si="10"/>
        <v>#VALUE!</v>
      </c>
      <c r="W47" s="157" t="e">
        <f t="shared" si="11"/>
        <v>#NUM!</v>
      </c>
      <c r="X47" s="149" t="e">
        <f t="shared" si="12"/>
        <v>#VALUE!</v>
      </c>
      <c r="Y47" s="157" t="e">
        <f t="shared" si="13"/>
        <v>#NUM!</v>
      </c>
      <c r="Z47" s="50"/>
      <c r="AA47" s="3"/>
      <c r="AB47" s="60"/>
      <c r="AC47" s="60"/>
      <c r="AD47" s="60"/>
      <c r="AE47" s="60"/>
      <c r="AF47" s="60"/>
      <c r="AG47" s="60"/>
      <c r="AH47" s="60"/>
      <c r="AI47" s="1"/>
      <c r="AJ47" s="1"/>
      <c r="AK47" s="1"/>
    </row>
    <row r="48" spans="1:37" x14ac:dyDescent="0.2">
      <c r="A48" s="3"/>
      <c r="B48" s="3"/>
      <c r="C48" s="3"/>
      <c r="D48" s="3"/>
      <c r="E48" s="3"/>
      <c r="F48" s="3"/>
      <c r="G48" s="3"/>
      <c r="H48" s="155">
        <v>16</v>
      </c>
      <c r="I48" s="60">
        <v>2.1198999999999999</v>
      </c>
      <c r="J48" s="60">
        <v>3.63</v>
      </c>
      <c r="K48" s="60"/>
      <c r="L48" s="161"/>
      <c r="M48" s="3"/>
      <c r="N48" s="3"/>
      <c r="O48" s="156" t="e">
        <f t="shared" si="4"/>
        <v>#NUM!</v>
      </c>
      <c r="P48" s="208" t="e">
        <f t="shared" si="16"/>
        <v>#N/A</v>
      </c>
      <c r="Q48" s="156" t="e">
        <f t="shared" si="6"/>
        <v>#VALUE!</v>
      </c>
      <c r="R48" s="156" t="e">
        <f t="shared" si="7"/>
        <v>#VALUE!</v>
      </c>
      <c r="S48" s="156" t="e">
        <f t="shared" si="8"/>
        <v>#VALUE!</v>
      </c>
      <c r="T48" s="149" t="e">
        <f t="shared" si="9"/>
        <v>#VALUE!</v>
      </c>
      <c r="U48" s="157" t="e">
        <f t="shared" si="15"/>
        <v>#NUM!</v>
      </c>
      <c r="V48" s="149" t="e">
        <f t="shared" si="10"/>
        <v>#VALUE!</v>
      </c>
      <c r="W48" s="157" t="e">
        <f t="shared" si="11"/>
        <v>#NUM!</v>
      </c>
      <c r="X48" s="149" t="e">
        <f t="shared" si="12"/>
        <v>#VALUE!</v>
      </c>
      <c r="Y48" s="157" t="e">
        <f t="shared" si="13"/>
        <v>#NUM!</v>
      </c>
      <c r="Z48" s="50"/>
      <c r="AA48" s="3"/>
      <c r="AB48" s="60"/>
      <c r="AC48" s="60"/>
      <c r="AD48" s="60"/>
      <c r="AE48" s="60"/>
      <c r="AF48" s="60"/>
      <c r="AG48" s="60"/>
      <c r="AH48" s="60"/>
      <c r="AI48" s="1"/>
      <c r="AJ48" s="1"/>
      <c r="AK48" s="1"/>
    </row>
    <row r="49" spans="1:37" x14ac:dyDescent="0.2">
      <c r="A49" s="3"/>
      <c r="B49" s="3"/>
      <c r="C49" s="3"/>
      <c r="D49" s="3"/>
      <c r="E49" s="3"/>
      <c r="F49" s="3"/>
      <c r="G49" s="3"/>
      <c r="H49" s="155">
        <v>17</v>
      </c>
      <c r="I49" s="60">
        <v>2.1097999999999999</v>
      </c>
      <c r="J49" s="60">
        <v>3.59</v>
      </c>
      <c r="K49" s="60"/>
      <c r="L49" s="161"/>
      <c r="M49" s="3"/>
      <c r="N49" s="3"/>
      <c r="O49" s="156" t="e">
        <f t="shared" si="4"/>
        <v>#NUM!</v>
      </c>
      <c r="P49" s="208" t="e">
        <f t="shared" si="16"/>
        <v>#N/A</v>
      </c>
      <c r="Q49" s="156" t="e">
        <f t="shared" si="6"/>
        <v>#VALUE!</v>
      </c>
      <c r="R49" s="156" t="e">
        <f t="shared" si="7"/>
        <v>#VALUE!</v>
      </c>
      <c r="S49" s="156" t="e">
        <f t="shared" si="8"/>
        <v>#VALUE!</v>
      </c>
      <c r="T49" s="149" t="e">
        <f t="shared" si="9"/>
        <v>#VALUE!</v>
      </c>
      <c r="U49" s="157" t="e">
        <f t="shared" si="15"/>
        <v>#NUM!</v>
      </c>
      <c r="V49" s="149" t="e">
        <f t="shared" si="10"/>
        <v>#VALUE!</v>
      </c>
      <c r="W49" s="157" t="e">
        <f t="shared" si="11"/>
        <v>#NUM!</v>
      </c>
      <c r="X49" s="149" t="e">
        <f t="shared" si="12"/>
        <v>#VALUE!</v>
      </c>
      <c r="Y49" s="157" t="e">
        <f t="shared" si="13"/>
        <v>#NUM!</v>
      </c>
      <c r="Z49" s="50"/>
      <c r="AA49" s="3"/>
      <c r="AB49" s="60"/>
      <c r="AC49" s="60"/>
      <c r="AD49" s="60"/>
      <c r="AE49" s="60"/>
      <c r="AF49" s="60"/>
      <c r="AG49" s="60"/>
      <c r="AH49" s="60"/>
      <c r="AI49" s="1"/>
      <c r="AJ49" s="1"/>
      <c r="AK49" s="1"/>
    </row>
    <row r="50" spans="1:37" x14ac:dyDescent="0.2">
      <c r="A50" s="3"/>
      <c r="B50" s="3"/>
      <c r="C50" s="3"/>
      <c r="D50" s="3"/>
      <c r="E50" s="3"/>
      <c r="F50" s="3"/>
      <c r="G50" s="3"/>
      <c r="H50" s="155">
        <v>18</v>
      </c>
      <c r="I50" s="60">
        <v>2.1009000000000002</v>
      </c>
      <c r="J50" s="60">
        <v>3.55</v>
      </c>
      <c r="K50" s="60"/>
      <c r="L50" s="161"/>
      <c r="M50" s="3"/>
      <c r="N50" s="3"/>
      <c r="O50" s="156" t="e">
        <f t="shared" si="4"/>
        <v>#NUM!</v>
      </c>
      <c r="P50" s="208" t="e">
        <f t="shared" si="16"/>
        <v>#N/A</v>
      </c>
      <c r="Q50" s="156" t="e">
        <f t="shared" si="6"/>
        <v>#VALUE!</v>
      </c>
      <c r="R50" s="156" t="e">
        <f t="shared" si="7"/>
        <v>#VALUE!</v>
      </c>
      <c r="S50" s="156" t="e">
        <f t="shared" si="8"/>
        <v>#VALUE!</v>
      </c>
      <c r="T50" s="149" t="e">
        <f t="shared" si="9"/>
        <v>#VALUE!</v>
      </c>
      <c r="U50" s="157" t="e">
        <f t="shared" si="15"/>
        <v>#NUM!</v>
      </c>
      <c r="V50" s="149" t="e">
        <f t="shared" si="10"/>
        <v>#VALUE!</v>
      </c>
      <c r="W50" s="157" t="e">
        <f t="shared" si="11"/>
        <v>#NUM!</v>
      </c>
      <c r="X50" s="149" t="e">
        <f t="shared" si="12"/>
        <v>#VALUE!</v>
      </c>
      <c r="Y50" s="157" t="e">
        <f t="shared" si="13"/>
        <v>#NUM!</v>
      </c>
      <c r="Z50" s="50"/>
      <c r="AA50" s="3"/>
      <c r="AB50" s="60"/>
      <c r="AC50" s="60"/>
      <c r="AD50" s="60"/>
      <c r="AE50" s="60"/>
      <c r="AF50" s="60"/>
      <c r="AG50" s="60"/>
      <c r="AH50" s="60"/>
      <c r="AI50" s="1"/>
      <c r="AJ50" s="1"/>
      <c r="AK50" s="1"/>
    </row>
    <row r="51" spans="1:37" x14ac:dyDescent="0.2">
      <c r="A51" s="3"/>
      <c r="B51" s="3"/>
      <c r="C51" s="3"/>
      <c r="D51" s="3"/>
      <c r="E51" s="3"/>
      <c r="F51" s="3"/>
      <c r="G51" s="3"/>
      <c r="H51" s="155">
        <v>19</v>
      </c>
      <c r="I51" s="60">
        <v>2.093</v>
      </c>
      <c r="J51" s="60">
        <v>3.52</v>
      </c>
      <c r="K51" s="60"/>
      <c r="L51" s="161"/>
      <c r="M51" s="3"/>
      <c r="N51" s="3"/>
      <c r="O51" s="156" t="e">
        <f t="shared" si="4"/>
        <v>#NUM!</v>
      </c>
      <c r="P51" s="208" t="e">
        <f t="shared" si="16"/>
        <v>#N/A</v>
      </c>
      <c r="Q51" s="156" t="e">
        <f t="shared" si="6"/>
        <v>#VALUE!</v>
      </c>
      <c r="R51" s="156" t="e">
        <f t="shared" si="7"/>
        <v>#VALUE!</v>
      </c>
      <c r="S51" s="156" t="e">
        <f t="shared" si="8"/>
        <v>#VALUE!</v>
      </c>
      <c r="T51" s="149" t="e">
        <f t="shared" si="9"/>
        <v>#VALUE!</v>
      </c>
      <c r="U51" s="157" t="e">
        <f t="shared" si="15"/>
        <v>#NUM!</v>
      </c>
      <c r="V51" s="149" t="e">
        <f t="shared" si="10"/>
        <v>#VALUE!</v>
      </c>
      <c r="W51" s="157" t="e">
        <f t="shared" si="11"/>
        <v>#NUM!</v>
      </c>
      <c r="X51" s="149" t="e">
        <f t="shared" si="12"/>
        <v>#VALUE!</v>
      </c>
      <c r="Y51" s="157" t="e">
        <f t="shared" si="13"/>
        <v>#NUM!</v>
      </c>
      <c r="Z51" s="50"/>
      <c r="AA51" s="3"/>
      <c r="AB51" s="60"/>
      <c r="AC51" s="60"/>
      <c r="AD51" s="60"/>
      <c r="AE51" s="60"/>
      <c r="AF51" s="60"/>
      <c r="AG51" s="60"/>
      <c r="AH51" s="60"/>
      <c r="AI51" s="1"/>
      <c r="AJ51" s="1"/>
      <c r="AK51" s="1"/>
    </row>
    <row r="52" spans="1:37" x14ac:dyDescent="0.2">
      <c r="A52" s="3"/>
      <c r="B52" s="3"/>
      <c r="C52" s="3"/>
      <c r="D52" s="3"/>
      <c r="E52" s="3"/>
      <c r="F52" s="3"/>
      <c r="G52" s="3"/>
      <c r="H52" s="155">
        <v>20</v>
      </c>
      <c r="I52" s="60">
        <v>2.0859999999999999</v>
      </c>
      <c r="J52" s="60">
        <v>3.49</v>
      </c>
      <c r="K52" s="60"/>
      <c r="L52" s="161"/>
      <c r="M52" s="3"/>
      <c r="N52" s="3"/>
      <c r="O52" s="156" t="e">
        <f t="shared" si="4"/>
        <v>#NUM!</v>
      </c>
      <c r="P52" s="208" t="e">
        <f t="shared" si="16"/>
        <v>#N/A</v>
      </c>
      <c r="Q52" s="156" t="e">
        <f t="shared" si="6"/>
        <v>#VALUE!</v>
      </c>
      <c r="R52" s="156" t="e">
        <f t="shared" si="7"/>
        <v>#VALUE!</v>
      </c>
      <c r="S52" s="156" t="e">
        <f t="shared" si="8"/>
        <v>#VALUE!</v>
      </c>
      <c r="T52" s="149" t="e">
        <f t="shared" si="9"/>
        <v>#VALUE!</v>
      </c>
      <c r="U52" s="157" t="e">
        <f t="shared" si="15"/>
        <v>#NUM!</v>
      </c>
      <c r="V52" s="149" t="e">
        <f t="shared" si="10"/>
        <v>#VALUE!</v>
      </c>
      <c r="W52" s="157" t="e">
        <f t="shared" si="11"/>
        <v>#NUM!</v>
      </c>
      <c r="X52" s="149" t="e">
        <f t="shared" si="12"/>
        <v>#VALUE!</v>
      </c>
      <c r="Y52" s="157" t="e">
        <f t="shared" si="13"/>
        <v>#NUM!</v>
      </c>
      <c r="Z52" s="50"/>
      <c r="AA52" s="3"/>
      <c r="AB52" s="60"/>
      <c r="AC52" s="60"/>
      <c r="AD52" s="60"/>
      <c r="AE52" s="60"/>
      <c r="AF52" s="60"/>
      <c r="AG52" s="60"/>
      <c r="AH52" s="60"/>
      <c r="AI52" s="1"/>
      <c r="AJ52" s="1"/>
      <c r="AK52" s="1"/>
    </row>
    <row r="53" spans="1:37" x14ac:dyDescent="0.2">
      <c r="A53" s="3"/>
      <c r="B53" s="3"/>
      <c r="C53" s="3"/>
      <c r="D53" s="3"/>
      <c r="E53" s="3"/>
      <c r="F53" s="3"/>
      <c r="G53" s="3"/>
      <c r="H53" s="155">
        <v>21</v>
      </c>
      <c r="I53" s="60">
        <v>2.0796000000000001</v>
      </c>
      <c r="J53" s="60">
        <v>3.47</v>
      </c>
      <c r="K53" s="60"/>
      <c r="L53" s="161"/>
      <c r="M53" s="3"/>
      <c r="N53" s="3"/>
      <c r="O53" s="156" t="e">
        <f t="shared" si="4"/>
        <v>#NUM!</v>
      </c>
      <c r="P53" s="208" t="e">
        <f t="shared" si="16"/>
        <v>#N/A</v>
      </c>
      <c r="Q53" s="156" t="e">
        <f t="shared" si="6"/>
        <v>#VALUE!</v>
      </c>
      <c r="R53" s="156" t="e">
        <f t="shared" si="7"/>
        <v>#VALUE!</v>
      </c>
      <c r="S53" s="156" t="e">
        <f t="shared" si="8"/>
        <v>#VALUE!</v>
      </c>
      <c r="T53" s="149" t="e">
        <f t="shared" si="9"/>
        <v>#VALUE!</v>
      </c>
      <c r="U53" s="157" t="e">
        <f t="shared" si="15"/>
        <v>#NUM!</v>
      </c>
      <c r="V53" s="149" t="e">
        <f t="shared" si="10"/>
        <v>#VALUE!</v>
      </c>
      <c r="W53" s="157" t="e">
        <f t="shared" si="11"/>
        <v>#NUM!</v>
      </c>
      <c r="X53" s="149" t="e">
        <f t="shared" si="12"/>
        <v>#VALUE!</v>
      </c>
      <c r="Y53" s="157" t="e">
        <f t="shared" si="13"/>
        <v>#NUM!</v>
      </c>
      <c r="Z53" s="50"/>
      <c r="AA53" s="3"/>
      <c r="AB53" s="60"/>
      <c r="AC53" s="60"/>
      <c r="AD53" s="60"/>
      <c r="AE53" s="60"/>
      <c r="AF53" s="60"/>
      <c r="AG53" s="60"/>
      <c r="AH53" s="60"/>
      <c r="AI53" s="1"/>
      <c r="AJ53" s="1"/>
      <c r="AK53" s="1"/>
    </row>
    <row r="54" spans="1:37" x14ac:dyDescent="0.2">
      <c r="A54" s="3"/>
      <c r="B54" s="3"/>
      <c r="C54" s="3"/>
      <c r="D54" s="3"/>
      <c r="E54" s="3"/>
      <c r="F54" s="3"/>
      <c r="G54" s="3"/>
      <c r="H54" s="155">
        <v>22</v>
      </c>
      <c r="I54" s="60">
        <v>2.0739000000000001</v>
      </c>
      <c r="J54" s="60">
        <v>3.44</v>
      </c>
      <c r="K54" s="60"/>
      <c r="L54" s="161"/>
      <c r="M54" s="3"/>
      <c r="N54" s="3"/>
      <c r="O54" s="156" t="e">
        <f t="shared" si="4"/>
        <v>#NUM!</v>
      </c>
      <c r="P54" s="208" t="e">
        <f t="shared" si="16"/>
        <v>#N/A</v>
      </c>
      <c r="Q54" s="156" t="e">
        <f t="shared" si="6"/>
        <v>#VALUE!</v>
      </c>
      <c r="R54" s="156" t="e">
        <f t="shared" si="7"/>
        <v>#VALUE!</v>
      </c>
      <c r="S54" s="156" t="e">
        <f t="shared" si="8"/>
        <v>#VALUE!</v>
      </c>
      <c r="T54" s="149" t="e">
        <f t="shared" si="9"/>
        <v>#VALUE!</v>
      </c>
      <c r="U54" s="157" t="e">
        <f t="shared" si="15"/>
        <v>#NUM!</v>
      </c>
      <c r="V54" s="149" t="e">
        <f t="shared" si="10"/>
        <v>#VALUE!</v>
      </c>
      <c r="W54" s="157" t="e">
        <f t="shared" si="11"/>
        <v>#NUM!</v>
      </c>
      <c r="X54" s="149" t="e">
        <f t="shared" si="12"/>
        <v>#VALUE!</v>
      </c>
      <c r="Y54" s="157" t="e">
        <f t="shared" si="13"/>
        <v>#NUM!</v>
      </c>
      <c r="Z54" s="50"/>
      <c r="AA54" s="190"/>
      <c r="AB54" s="60"/>
      <c r="AC54" s="60"/>
      <c r="AD54" s="60"/>
      <c r="AE54" s="60"/>
      <c r="AF54" s="60"/>
      <c r="AG54" s="60"/>
      <c r="AH54" s="60"/>
      <c r="AI54" s="1"/>
      <c r="AJ54" s="1"/>
      <c r="AK54" s="1"/>
    </row>
    <row r="55" spans="1:37" x14ac:dyDescent="0.2">
      <c r="A55" s="3"/>
      <c r="B55" s="3"/>
      <c r="C55" s="3"/>
      <c r="D55" s="3"/>
      <c r="E55" s="3"/>
      <c r="F55" s="3"/>
      <c r="G55" s="3"/>
      <c r="H55" s="155">
        <v>23</v>
      </c>
      <c r="I55" s="60">
        <v>2.069</v>
      </c>
      <c r="J55" s="60">
        <v>3.42</v>
      </c>
      <c r="K55" s="60"/>
      <c r="L55" s="161"/>
      <c r="M55" s="3"/>
      <c r="N55" s="3"/>
      <c r="O55" s="156" t="e">
        <f t="shared" si="4"/>
        <v>#NUM!</v>
      </c>
      <c r="P55" s="208" t="e">
        <f t="shared" si="16"/>
        <v>#N/A</v>
      </c>
      <c r="Q55" s="156" t="e">
        <f t="shared" si="6"/>
        <v>#VALUE!</v>
      </c>
      <c r="R55" s="156" t="e">
        <f t="shared" si="7"/>
        <v>#VALUE!</v>
      </c>
      <c r="S55" s="156" t="e">
        <f t="shared" si="8"/>
        <v>#VALUE!</v>
      </c>
      <c r="T55" s="149" t="e">
        <f t="shared" si="9"/>
        <v>#VALUE!</v>
      </c>
      <c r="U55" s="157" t="e">
        <f t="shared" si="15"/>
        <v>#NUM!</v>
      </c>
      <c r="V55" s="149" t="e">
        <f t="shared" si="10"/>
        <v>#VALUE!</v>
      </c>
      <c r="W55" s="157" t="e">
        <f t="shared" si="11"/>
        <v>#NUM!</v>
      </c>
      <c r="X55" s="149" t="e">
        <f t="shared" si="12"/>
        <v>#VALUE!</v>
      </c>
      <c r="Y55" s="157" t="e">
        <f t="shared" si="13"/>
        <v>#NUM!</v>
      </c>
      <c r="Z55" s="3"/>
      <c r="AA55" s="3"/>
      <c r="AB55" s="60"/>
      <c r="AC55" s="60"/>
      <c r="AD55" s="60"/>
      <c r="AE55" s="60"/>
      <c r="AF55" s="60"/>
      <c r="AG55" s="60"/>
      <c r="AH55" s="60"/>
      <c r="AI55" s="1"/>
      <c r="AJ55" s="1"/>
      <c r="AK55" s="1"/>
    </row>
    <row r="56" spans="1:37" x14ac:dyDescent="0.2">
      <c r="A56" s="3"/>
      <c r="B56" s="3"/>
      <c r="C56" s="3"/>
      <c r="D56" s="3"/>
      <c r="E56" s="3"/>
      <c r="F56" s="3"/>
      <c r="G56" s="3"/>
      <c r="H56" s="155">
        <v>24</v>
      </c>
      <c r="I56" s="60">
        <v>2.0640000000000001</v>
      </c>
      <c r="J56" s="60">
        <v>3.4</v>
      </c>
      <c r="K56" s="60"/>
      <c r="L56" s="161"/>
      <c r="M56" s="3"/>
      <c r="N56" s="3"/>
      <c r="O56" s="156" t="e">
        <f t="shared" si="4"/>
        <v>#NUM!</v>
      </c>
      <c r="P56" s="208" t="e">
        <f t="shared" si="16"/>
        <v>#N/A</v>
      </c>
      <c r="Q56" s="156" t="e">
        <f t="shared" si="6"/>
        <v>#VALUE!</v>
      </c>
      <c r="R56" s="156" t="e">
        <f t="shared" si="7"/>
        <v>#VALUE!</v>
      </c>
      <c r="S56" s="156" t="e">
        <f t="shared" si="8"/>
        <v>#VALUE!</v>
      </c>
      <c r="T56" s="149" t="e">
        <f t="shared" si="9"/>
        <v>#VALUE!</v>
      </c>
      <c r="U56" s="157" t="e">
        <f t="shared" si="15"/>
        <v>#NUM!</v>
      </c>
      <c r="V56" s="149" t="e">
        <f t="shared" si="10"/>
        <v>#VALUE!</v>
      </c>
      <c r="W56" s="157" t="e">
        <f t="shared" si="11"/>
        <v>#NUM!</v>
      </c>
      <c r="X56" s="149" t="e">
        <f t="shared" si="12"/>
        <v>#VALUE!</v>
      </c>
      <c r="Y56" s="157" t="e">
        <f t="shared" si="13"/>
        <v>#NUM!</v>
      </c>
      <c r="Z56" s="3"/>
      <c r="AA56" s="3"/>
      <c r="AB56" s="60"/>
      <c r="AC56" s="60"/>
      <c r="AD56" s="60"/>
      <c r="AE56" s="60"/>
      <c r="AF56" s="60"/>
      <c r="AG56" s="60"/>
      <c r="AH56" s="60"/>
      <c r="AI56" s="1"/>
      <c r="AJ56" s="1"/>
      <c r="AK56" s="1"/>
    </row>
    <row r="57" spans="1:37" x14ac:dyDescent="0.2">
      <c r="A57" s="3"/>
      <c r="B57" s="3"/>
      <c r="C57" s="3"/>
      <c r="D57" s="3"/>
      <c r="E57" s="3"/>
      <c r="F57" s="3"/>
      <c r="G57" s="3"/>
      <c r="H57" s="155">
        <v>25</v>
      </c>
      <c r="I57" s="60">
        <v>2.06</v>
      </c>
      <c r="J57" s="60">
        <v>3.39</v>
      </c>
      <c r="K57" s="60"/>
      <c r="L57" s="161"/>
      <c r="M57" s="3"/>
      <c r="N57" s="3"/>
      <c r="O57" s="156" t="e">
        <f t="shared" si="4"/>
        <v>#NUM!</v>
      </c>
      <c r="P57" s="208" t="e">
        <f t="shared" si="16"/>
        <v>#N/A</v>
      </c>
      <c r="Q57" s="156" t="e">
        <f t="shared" si="6"/>
        <v>#VALUE!</v>
      </c>
      <c r="R57" s="156" t="e">
        <f t="shared" si="7"/>
        <v>#VALUE!</v>
      </c>
      <c r="S57" s="156" t="e">
        <f t="shared" si="8"/>
        <v>#VALUE!</v>
      </c>
      <c r="T57" s="149" t="e">
        <f t="shared" si="9"/>
        <v>#VALUE!</v>
      </c>
      <c r="U57" s="157" t="e">
        <f t="shared" si="15"/>
        <v>#NUM!</v>
      </c>
      <c r="V57" s="149" t="e">
        <f t="shared" si="10"/>
        <v>#VALUE!</v>
      </c>
      <c r="W57" s="157" t="e">
        <f t="shared" si="11"/>
        <v>#NUM!</v>
      </c>
      <c r="X57" s="149" t="e">
        <f t="shared" si="12"/>
        <v>#VALUE!</v>
      </c>
      <c r="Y57" s="157" t="e">
        <f t="shared" si="13"/>
        <v>#NUM!</v>
      </c>
      <c r="Z57" s="3"/>
      <c r="AA57" s="3"/>
      <c r="AB57" s="60"/>
      <c r="AC57" s="60"/>
      <c r="AD57" s="60"/>
      <c r="AE57" s="60"/>
      <c r="AF57" s="60"/>
      <c r="AG57" s="60"/>
      <c r="AH57" s="60"/>
      <c r="AI57" s="1"/>
      <c r="AJ57" s="1"/>
      <c r="AK57" s="1"/>
    </row>
    <row r="58" spans="1:37" x14ac:dyDescent="0.2">
      <c r="A58" s="3"/>
      <c r="B58" s="3"/>
      <c r="C58" s="3"/>
      <c r="D58" s="3"/>
      <c r="E58" s="3"/>
      <c r="F58" s="3"/>
      <c r="G58" s="3"/>
      <c r="H58" s="155">
        <v>26</v>
      </c>
      <c r="I58" s="60">
        <v>2.056</v>
      </c>
      <c r="J58" s="60">
        <v>3.37</v>
      </c>
      <c r="K58" s="60"/>
      <c r="L58" s="161"/>
      <c r="M58" s="3"/>
      <c r="N58" s="3"/>
      <c r="O58" s="156" t="e">
        <f t="shared" si="4"/>
        <v>#NUM!</v>
      </c>
      <c r="P58" s="208" t="e">
        <f t="shared" si="16"/>
        <v>#N/A</v>
      </c>
      <c r="Q58" s="156" t="e">
        <f t="shared" si="6"/>
        <v>#VALUE!</v>
      </c>
      <c r="R58" s="156" t="e">
        <f t="shared" si="7"/>
        <v>#VALUE!</v>
      </c>
      <c r="S58" s="156" t="e">
        <f t="shared" si="8"/>
        <v>#VALUE!</v>
      </c>
      <c r="T58" s="149" t="e">
        <f t="shared" si="9"/>
        <v>#VALUE!</v>
      </c>
      <c r="U58" s="157" t="e">
        <f t="shared" si="15"/>
        <v>#NUM!</v>
      </c>
      <c r="V58" s="149" t="e">
        <f t="shared" si="10"/>
        <v>#VALUE!</v>
      </c>
      <c r="W58" s="157" t="e">
        <f t="shared" si="11"/>
        <v>#NUM!</v>
      </c>
      <c r="X58" s="149" t="e">
        <f t="shared" si="12"/>
        <v>#VALUE!</v>
      </c>
      <c r="Y58" s="157" t="e">
        <f t="shared" si="13"/>
        <v>#NUM!</v>
      </c>
      <c r="Z58" s="3"/>
      <c r="AA58" s="191"/>
      <c r="AB58" s="60"/>
      <c r="AC58" s="60"/>
      <c r="AD58" s="60"/>
      <c r="AE58" s="60"/>
      <c r="AF58" s="60"/>
      <c r="AG58" s="60"/>
      <c r="AH58" s="60"/>
      <c r="AI58" s="1"/>
      <c r="AJ58" s="1"/>
      <c r="AK58" s="1"/>
    </row>
    <row r="59" spans="1:37" x14ac:dyDescent="0.2">
      <c r="A59" s="3"/>
      <c r="B59" s="3"/>
      <c r="C59" s="3"/>
      <c r="D59" s="3"/>
      <c r="E59" s="3"/>
      <c r="F59" s="3"/>
      <c r="G59" s="3"/>
      <c r="H59" s="155">
        <v>27</v>
      </c>
      <c r="I59" s="60">
        <v>2.052</v>
      </c>
      <c r="J59" s="60">
        <v>3.35</v>
      </c>
      <c r="K59" s="60"/>
      <c r="L59" s="161"/>
      <c r="M59" s="3"/>
      <c r="N59" s="3"/>
      <c r="O59" s="156" t="e">
        <f t="shared" si="4"/>
        <v>#NUM!</v>
      </c>
      <c r="P59" s="208" t="e">
        <f t="shared" si="16"/>
        <v>#N/A</v>
      </c>
      <c r="Q59" s="156" t="e">
        <f t="shared" si="6"/>
        <v>#VALUE!</v>
      </c>
      <c r="R59" s="156" t="e">
        <f t="shared" si="7"/>
        <v>#VALUE!</v>
      </c>
      <c r="S59" s="156" t="e">
        <f t="shared" si="8"/>
        <v>#VALUE!</v>
      </c>
      <c r="T59" s="149" t="e">
        <f t="shared" si="9"/>
        <v>#VALUE!</v>
      </c>
      <c r="U59" s="157" t="e">
        <f t="shared" si="15"/>
        <v>#NUM!</v>
      </c>
      <c r="V59" s="149" t="e">
        <f t="shared" si="10"/>
        <v>#VALUE!</v>
      </c>
      <c r="W59" s="157" t="e">
        <f t="shared" si="11"/>
        <v>#NUM!</v>
      </c>
      <c r="X59" s="149" t="e">
        <f t="shared" si="12"/>
        <v>#VALUE!</v>
      </c>
      <c r="Y59" s="157" t="e">
        <f t="shared" si="13"/>
        <v>#NUM!</v>
      </c>
      <c r="Z59" s="3"/>
      <c r="AA59" s="191"/>
      <c r="AB59" s="60"/>
      <c r="AC59" s="60"/>
      <c r="AD59" s="60"/>
      <c r="AE59" s="60"/>
      <c r="AF59" s="60"/>
      <c r="AG59" s="60"/>
      <c r="AH59" s="60"/>
      <c r="AI59" s="1"/>
      <c r="AJ59" s="1"/>
      <c r="AK59" s="1"/>
    </row>
    <row r="60" spans="1:37" x14ac:dyDescent="0.2">
      <c r="A60" s="3"/>
      <c r="B60" s="3"/>
      <c r="C60" s="3"/>
      <c r="D60" s="3"/>
      <c r="E60" s="3"/>
      <c r="F60" s="3"/>
      <c r="G60" s="3"/>
      <c r="H60" s="155">
        <v>28</v>
      </c>
      <c r="I60" s="60">
        <v>2.048</v>
      </c>
      <c r="J60" s="60">
        <v>3.34</v>
      </c>
      <c r="K60" s="60"/>
      <c r="L60" s="161"/>
      <c r="M60" s="3"/>
      <c r="N60" s="3"/>
      <c r="O60" s="156" t="e">
        <f t="shared" si="4"/>
        <v>#NUM!</v>
      </c>
      <c r="P60" s="208" t="e">
        <f t="shared" si="16"/>
        <v>#N/A</v>
      </c>
      <c r="Q60" s="156" t="e">
        <f t="shared" si="6"/>
        <v>#VALUE!</v>
      </c>
      <c r="R60" s="156" t="e">
        <f t="shared" si="7"/>
        <v>#VALUE!</v>
      </c>
      <c r="S60" s="156" t="e">
        <f t="shared" si="8"/>
        <v>#VALUE!</v>
      </c>
      <c r="T60" s="149" t="e">
        <f t="shared" si="9"/>
        <v>#VALUE!</v>
      </c>
      <c r="U60" s="157" t="e">
        <f t="shared" si="15"/>
        <v>#NUM!</v>
      </c>
      <c r="V60" s="149" t="e">
        <f t="shared" si="10"/>
        <v>#VALUE!</v>
      </c>
      <c r="W60" s="157" t="e">
        <f t="shared" si="11"/>
        <v>#NUM!</v>
      </c>
      <c r="X60" s="149" t="e">
        <f t="shared" si="12"/>
        <v>#VALUE!</v>
      </c>
      <c r="Y60" s="157" t="e">
        <f t="shared" si="13"/>
        <v>#NUM!</v>
      </c>
      <c r="Z60" s="3"/>
      <c r="AA60" s="3"/>
      <c r="AB60" s="60"/>
      <c r="AC60" s="60"/>
      <c r="AD60" s="60"/>
      <c r="AE60" s="60"/>
      <c r="AF60" s="60"/>
      <c r="AG60" s="60"/>
      <c r="AH60" s="60"/>
      <c r="AI60" s="1"/>
      <c r="AJ60" s="1"/>
      <c r="AK60" s="1"/>
    </row>
    <row r="61" spans="1:37" x14ac:dyDescent="0.2">
      <c r="A61" s="3"/>
      <c r="B61" s="3"/>
      <c r="C61" s="3"/>
      <c r="D61" s="3"/>
      <c r="E61" s="3"/>
      <c r="F61" s="3"/>
      <c r="G61" s="3"/>
      <c r="H61" s="155">
        <v>29</v>
      </c>
      <c r="I61" s="60">
        <v>2.0449999999999999</v>
      </c>
      <c r="J61" s="60">
        <v>3.33</v>
      </c>
      <c r="K61" s="60"/>
      <c r="L61" s="161"/>
      <c r="M61" s="3"/>
      <c r="N61" s="3"/>
      <c r="O61" s="156" t="e">
        <f t="shared" si="4"/>
        <v>#NUM!</v>
      </c>
      <c r="P61" s="208" t="e">
        <f t="shared" si="16"/>
        <v>#N/A</v>
      </c>
      <c r="Q61" s="156" t="e">
        <f t="shared" si="6"/>
        <v>#VALUE!</v>
      </c>
      <c r="R61" s="156" t="e">
        <f t="shared" si="7"/>
        <v>#VALUE!</v>
      </c>
      <c r="S61" s="156" t="e">
        <f t="shared" si="8"/>
        <v>#VALUE!</v>
      </c>
      <c r="T61" s="149" t="e">
        <f t="shared" si="9"/>
        <v>#VALUE!</v>
      </c>
      <c r="U61" s="157" t="e">
        <f t="shared" si="15"/>
        <v>#NUM!</v>
      </c>
      <c r="V61" s="149" t="e">
        <f t="shared" si="10"/>
        <v>#VALUE!</v>
      </c>
      <c r="W61" s="157" t="e">
        <f t="shared" si="11"/>
        <v>#NUM!</v>
      </c>
      <c r="X61" s="149" t="e">
        <f t="shared" si="12"/>
        <v>#VALUE!</v>
      </c>
      <c r="Y61" s="157" t="e">
        <f t="shared" si="13"/>
        <v>#NUM!</v>
      </c>
      <c r="Z61" s="3"/>
      <c r="AA61" s="3"/>
      <c r="AB61" s="60"/>
      <c r="AC61" s="60"/>
      <c r="AD61" s="60"/>
      <c r="AE61" s="60"/>
      <c r="AF61" s="60"/>
      <c r="AG61" s="60"/>
      <c r="AH61" s="60"/>
      <c r="AI61" s="1"/>
      <c r="AJ61" s="1"/>
      <c r="AK61" s="1"/>
    </row>
    <row r="62" spans="1:37" x14ac:dyDescent="0.2">
      <c r="A62" s="3"/>
      <c r="B62" s="3"/>
      <c r="C62" s="3"/>
      <c r="D62" s="3"/>
      <c r="E62" s="3"/>
      <c r="F62" s="3"/>
      <c r="G62" s="3"/>
      <c r="H62" s="155">
        <v>30</v>
      </c>
      <c r="I62" s="60">
        <v>2.0419999999999998</v>
      </c>
      <c r="J62" s="60">
        <v>3.32</v>
      </c>
      <c r="K62" s="60"/>
      <c r="L62" s="161"/>
      <c r="M62" s="3"/>
      <c r="N62" s="3"/>
      <c r="O62" s="156" t="e">
        <f t="shared" si="4"/>
        <v>#NUM!</v>
      </c>
      <c r="P62" s="208" t="e">
        <f t="shared" si="16"/>
        <v>#N/A</v>
      </c>
      <c r="Q62" s="156" t="e">
        <f t="shared" si="6"/>
        <v>#VALUE!</v>
      </c>
      <c r="R62" s="156" t="e">
        <f t="shared" si="7"/>
        <v>#VALUE!</v>
      </c>
      <c r="S62" s="156" t="e">
        <f t="shared" si="8"/>
        <v>#VALUE!</v>
      </c>
      <c r="T62" s="149" t="e">
        <f t="shared" si="9"/>
        <v>#VALUE!</v>
      </c>
      <c r="U62" s="157" t="e">
        <f t="shared" si="15"/>
        <v>#NUM!</v>
      </c>
      <c r="V62" s="149" t="e">
        <f t="shared" si="10"/>
        <v>#VALUE!</v>
      </c>
      <c r="W62" s="157" t="e">
        <f t="shared" si="11"/>
        <v>#NUM!</v>
      </c>
      <c r="X62" s="149" t="e">
        <f t="shared" si="12"/>
        <v>#VALUE!</v>
      </c>
      <c r="Y62" s="157" t="e">
        <f t="shared" si="13"/>
        <v>#NUM!</v>
      </c>
      <c r="Z62" s="3"/>
      <c r="AA62" s="148"/>
      <c r="AB62" s="60"/>
      <c r="AC62" s="60"/>
      <c r="AD62" s="60"/>
      <c r="AE62" s="60"/>
      <c r="AF62" s="60"/>
      <c r="AG62" s="60"/>
      <c r="AH62" s="60"/>
      <c r="AI62" s="1"/>
      <c r="AJ62" s="1"/>
      <c r="AK62" s="1"/>
    </row>
    <row r="63" spans="1:37" x14ac:dyDescent="0.2">
      <c r="A63" s="3"/>
      <c r="B63" s="3"/>
      <c r="C63" s="3"/>
      <c r="D63" s="3"/>
      <c r="E63" s="3"/>
      <c r="F63" s="3"/>
      <c r="G63" s="3"/>
      <c r="H63" s="155">
        <v>31</v>
      </c>
      <c r="I63" s="60">
        <v>2.0209999999999999</v>
      </c>
      <c r="J63" s="60">
        <v>3.23</v>
      </c>
      <c r="K63" s="60"/>
      <c r="L63" s="161"/>
      <c r="M63" s="3"/>
      <c r="N63" s="3"/>
      <c r="O63" s="156" t="e">
        <f t="shared" si="4"/>
        <v>#NUM!</v>
      </c>
      <c r="P63" s="208" t="e">
        <f t="shared" si="16"/>
        <v>#N/A</v>
      </c>
      <c r="Q63" s="156" t="e">
        <f t="shared" si="6"/>
        <v>#VALUE!</v>
      </c>
      <c r="R63" s="156" t="e">
        <f t="shared" si="7"/>
        <v>#VALUE!</v>
      </c>
      <c r="S63" s="156" t="e">
        <f t="shared" si="8"/>
        <v>#VALUE!</v>
      </c>
      <c r="T63" s="149" t="e">
        <f t="shared" si="9"/>
        <v>#VALUE!</v>
      </c>
      <c r="U63" s="157" t="e">
        <f t="shared" si="15"/>
        <v>#NUM!</v>
      </c>
      <c r="V63" s="149" t="e">
        <f t="shared" si="10"/>
        <v>#VALUE!</v>
      </c>
      <c r="W63" s="157" t="e">
        <f t="shared" si="11"/>
        <v>#NUM!</v>
      </c>
      <c r="X63" s="149" t="e">
        <f t="shared" si="12"/>
        <v>#VALUE!</v>
      </c>
      <c r="Y63" s="157" t="e">
        <f t="shared" si="13"/>
        <v>#NUM!</v>
      </c>
      <c r="Z63" s="3"/>
      <c r="AA63" s="3"/>
      <c r="AB63" s="60"/>
      <c r="AC63" s="60"/>
      <c r="AD63" s="60"/>
      <c r="AE63" s="60"/>
      <c r="AF63" s="60"/>
      <c r="AG63" s="60"/>
      <c r="AH63" s="60"/>
      <c r="AI63" s="1"/>
      <c r="AJ63" s="1"/>
      <c r="AK63" s="1"/>
    </row>
    <row r="64" spans="1:37" x14ac:dyDescent="0.2">
      <c r="A64" s="3"/>
      <c r="B64" s="3"/>
      <c r="C64" s="3"/>
      <c r="D64" s="3"/>
      <c r="E64" s="3"/>
      <c r="F64" s="3"/>
      <c r="G64" s="3"/>
      <c r="H64" s="155">
        <v>40</v>
      </c>
      <c r="I64" s="60">
        <v>2.0209999999999999</v>
      </c>
      <c r="J64" s="60">
        <v>3.23</v>
      </c>
      <c r="K64" s="60"/>
      <c r="L64" s="161"/>
      <c r="M64" s="3"/>
      <c r="N64" s="3"/>
      <c r="O64" s="156" t="e">
        <f t="shared" si="4"/>
        <v>#NUM!</v>
      </c>
      <c r="P64" s="208" t="e">
        <f t="shared" si="16"/>
        <v>#N/A</v>
      </c>
      <c r="Q64" s="156" t="e">
        <f t="shared" si="6"/>
        <v>#VALUE!</v>
      </c>
      <c r="R64" s="156" t="e">
        <f t="shared" si="7"/>
        <v>#VALUE!</v>
      </c>
      <c r="S64" s="156" t="e">
        <f t="shared" si="8"/>
        <v>#VALUE!</v>
      </c>
      <c r="T64" s="149" t="e">
        <f t="shared" si="9"/>
        <v>#VALUE!</v>
      </c>
      <c r="U64" s="157" t="e">
        <f t="shared" si="15"/>
        <v>#NUM!</v>
      </c>
      <c r="V64" s="149" t="e">
        <f t="shared" si="10"/>
        <v>#VALUE!</v>
      </c>
      <c r="W64" s="157" t="e">
        <f t="shared" si="11"/>
        <v>#NUM!</v>
      </c>
      <c r="X64" s="149" t="e">
        <f t="shared" si="12"/>
        <v>#VALUE!</v>
      </c>
      <c r="Y64" s="157" t="e">
        <f t="shared" si="13"/>
        <v>#NUM!</v>
      </c>
      <c r="Z64" s="3"/>
      <c r="AA64" s="3"/>
      <c r="AB64" s="60"/>
      <c r="AC64" s="60"/>
      <c r="AD64" s="60"/>
      <c r="AE64" s="60"/>
      <c r="AF64" s="60"/>
      <c r="AG64" s="60"/>
      <c r="AH64" s="60"/>
      <c r="AI64" s="1"/>
      <c r="AJ64" s="1"/>
      <c r="AK64" s="1"/>
    </row>
    <row r="65" spans="1:37" x14ac:dyDescent="0.2">
      <c r="A65" s="3"/>
      <c r="B65" s="3"/>
      <c r="C65" s="3"/>
      <c r="D65" s="3"/>
      <c r="E65" s="3"/>
      <c r="F65" s="3"/>
      <c r="G65" s="3"/>
      <c r="H65" s="155">
        <v>41</v>
      </c>
      <c r="I65" s="60">
        <v>2</v>
      </c>
      <c r="J65" s="60">
        <v>3.15</v>
      </c>
      <c r="K65" s="60"/>
      <c r="L65" s="161"/>
      <c r="M65" s="3"/>
      <c r="N65" s="3"/>
      <c r="O65" s="156" t="e">
        <f t="shared" si="4"/>
        <v>#NUM!</v>
      </c>
      <c r="P65" s="208" t="e">
        <f t="shared" si="16"/>
        <v>#N/A</v>
      </c>
      <c r="Q65" s="156" t="e">
        <f t="shared" si="6"/>
        <v>#VALUE!</v>
      </c>
      <c r="R65" s="156" t="e">
        <f t="shared" si="7"/>
        <v>#VALUE!</v>
      </c>
      <c r="S65" s="156" t="e">
        <f t="shared" si="8"/>
        <v>#VALUE!</v>
      </c>
      <c r="T65" s="149" t="e">
        <f t="shared" si="9"/>
        <v>#VALUE!</v>
      </c>
      <c r="U65" s="157" t="e">
        <f t="shared" si="15"/>
        <v>#NUM!</v>
      </c>
      <c r="V65" s="149" t="e">
        <f t="shared" si="10"/>
        <v>#VALUE!</v>
      </c>
      <c r="W65" s="157" t="e">
        <f t="shared" si="11"/>
        <v>#NUM!</v>
      </c>
      <c r="X65" s="149" t="e">
        <f t="shared" si="12"/>
        <v>#VALUE!</v>
      </c>
      <c r="Y65" s="157" t="e">
        <f t="shared" si="13"/>
        <v>#NUM!</v>
      </c>
      <c r="Z65" s="3"/>
      <c r="AA65" s="3"/>
      <c r="AB65" s="60"/>
      <c r="AC65" s="60"/>
      <c r="AD65" s="60"/>
      <c r="AE65" s="60"/>
      <c r="AF65" s="60"/>
      <c r="AG65" s="60"/>
      <c r="AH65" s="60"/>
      <c r="AI65" s="1"/>
      <c r="AJ65" s="1"/>
      <c r="AK65" s="1"/>
    </row>
    <row r="66" spans="1:37" x14ac:dyDescent="0.2">
      <c r="A66" s="3"/>
      <c r="B66" s="3"/>
      <c r="C66" s="3"/>
      <c r="D66" s="3"/>
      <c r="E66" s="3"/>
      <c r="F66" s="3"/>
      <c r="G66" s="3"/>
      <c r="H66" s="155">
        <v>60</v>
      </c>
      <c r="I66" s="60">
        <v>2</v>
      </c>
      <c r="J66" s="60">
        <v>3.15</v>
      </c>
      <c r="K66" s="60"/>
      <c r="L66" s="161"/>
      <c r="M66" s="3"/>
      <c r="N66" s="3"/>
      <c r="O66" s="156" t="e">
        <f t="shared" ref="O66:O102" si="17">LOG($I$19+($I$20-$I$19)*(ROW()-2)/100)</f>
        <v>#NUM!</v>
      </c>
      <c r="P66" s="208" t="e">
        <f t="shared" ref="P66:P97" si="18">SQRT(2*$I$16*$K$24)*SQRT((1/$I$1)+((O66-$I$10)^2/$I$7))</f>
        <v>#N/A</v>
      </c>
      <c r="Q66" s="156" t="e">
        <f t="shared" ref="Q66:Q102" si="19">+$I$13+$I$12*O66</f>
        <v>#VALUE!</v>
      </c>
      <c r="R66" s="156" t="e">
        <f t="shared" ref="R66:R102" si="20">+$I$13+$I$12*O66-P66</f>
        <v>#VALUE!</v>
      </c>
      <c r="S66" s="156" t="e">
        <f t="shared" ref="S66:S102" si="21">+$I$13+$I$12*O66+P66</f>
        <v>#VALUE!</v>
      </c>
      <c r="T66" s="149" t="e">
        <f t="shared" ref="T66:T102" si="22">10^Q66</f>
        <v>#VALUE!</v>
      </c>
      <c r="U66" s="157" t="e">
        <f t="shared" si="15"/>
        <v>#NUM!</v>
      </c>
      <c r="V66" s="149" t="e">
        <f t="shared" ref="V66:V102" si="23">10^R66</f>
        <v>#VALUE!</v>
      </c>
      <c r="W66" s="157" t="e">
        <f t="shared" ref="W66:W102" si="24">10^$O66</f>
        <v>#NUM!</v>
      </c>
      <c r="X66" s="149" t="e">
        <f t="shared" ref="X66:X102" si="25">10^S66</f>
        <v>#VALUE!</v>
      </c>
      <c r="Y66" s="157" t="e">
        <f t="shared" ref="Y66:Y102" si="26">10^$O66</f>
        <v>#NUM!</v>
      </c>
      <c r="Z66" s="3"/>
      <c r="AA66" s="60"/>
      <c r="AB66" s="60"/>
      <c r="AC66" s="60"/>
      <c r="AD66" s="60"/>
      <c r="AE66" s="60"/>
      <c r="AF66" s="60"/>
      <c r="AG66" s="60"/>
      <c r="AH66" s="60"/>
      <c r="AI66" s="1"/>
      <c r="AJ66" s="1"/>
      <c r="AK66" s="1"/>
    </row>
    <row r="67" spans="1:37" x14ac:dyDescent="0.2">
      <c r="A67" s="3"/>
      <c r="B67" s="3"/>
      <c r="C67" s="3"/>
      <c r="D67" s="3"/>
      <c r="E67" s="3"/>
      <c r="F67" s="3"/>
      <c r="G67" s="3"/>
      <c r="H67" s="155">
        <v>61</v>
      </c>
      <c r="I67" s="60">
        <v>1.98</v>
      </c>
      <c r="J67" s="60">
        <v>3.07</v>
      </c>
      <c r="K67" s="60"/>
      <c r="L67" s="161"/>
      <c r="M67" s="3"/>
      <c r="N67" s="3"/>
      <c r="O67" s="156" t="e">
        <f t="shared" si="17"/>
        <v>#NUM!</v>
      </c>
      <c r="P67" s="208" t="e">
        <f t="shared" si="18"/>
        <v>#N/A</v>
      </c>
      <c r="Q67" s="156" t="e">
        <f t="shared" si="19"/>
        <v>#VALUE!</v>
      </c>
      <c r="R67" s="156" t="e">
        <f t="shared" si="20"/>
        <v>#VALUE!</v>
      </c>
      <c r="S67" s="156" t="e">
        <f t="shared" si="21"/>
        <v>#VALUE!</v>
      </c>
      <c r="T67" s="149" t="e">
        <f t="shared" si="22"/>
        <v>#VALUE!</v>
      </c>
      <c r="U67" s="157" t="e">
        <f t="shared" ref="U67:U102" si="27">10^O67</f>
        <v>#NUM!</v>
      </c>
      <c r="V67" s="149" t="e">
        <f t="shared" si="23"/>
        <v>#VALUE!</v>
      </c>
      <c r="W67" s="157" t="e">
        <f t="shared" si="24"/>
        <v>#NUM!</v>
      </c>
      <c r="X67" s="149" t="e">
        <f t="shared" si="25"/>
        <v>#VALUE!</v>
      </c>
      <c r="Y67" s="157" t="e">
        <f t="shared" si="26"/>
        <v>#NUM!</v>
      </c>
      <c r="Z67" s="3"/>
      <c r="AA67" s="60"/>
      <c r="AB67" s="60"/>
      <c r="AC67" s="60"/>
      <c r="AD67" s="60"/>
      <c r="AE67" s="60"/>
      <c r="AF67" s="60"/>
      <c r="AG67" s="60"/>
      <c r="AH67" s="60"/>
      <c r="AI67" s="1"/>
      <c r="AJ67" s="1"/>
      <c r="AK67" s="1"/>
    </row>
    <row r="68" spans="1:37" x14ac:dyDescent="0.2">
      <c r="A68" s="3"/>
      <c r="B68" s="3"/>
      <c r="C68" s="3"/>
      <c r="D68" s="3"/>
      <c r="E68" s="3"/>
      <c r="F68" s="3"/>
      <c r="G68" s="3"/>
      <c r="H68" s="155">
        <v>120</v>
      </c>
      <c r="I68" s="60">
        <v>1.98</v>
      </c>
      <c r="J68" s="60">
        <v>3.07</v>
      </c>
      <c r="K68" s="60"/>
      <c r="L68" s="161"/>
      <c r="M68" s="3"/>
      <c r="N68" s="3"/>
      <c r="O68" s="156" t="e">
        <f t="shared" si="17"/>
        <v>#NUM!</v>
      </c>
      <c r="P68" s="208" t="e">
        <f t="shared" si="18"/>
        <v>#N/A</v>
      </c>
      <c r="Q68" s="156" t="e">
        <f t="shared" si="19"/>
        <v>#VALUE!</v>
      </c>
      <c r="R68" s="156" t="e">
        <f t="shared" si="20"/>
        <v>#VALUE!</v>
      </c>
      <c r="S68" s="156" t="e">
        <f t="shared" si="21"/>
        <v>#VALUE!</v>
      </c>
      <c r="T68" s="149" t="e">
        <f t="shared" si="22"/>
        <v>#VALUE!</v>
      </c>
      <c r="U68" s="157" t="e">
        <f t="shared" si="27"/>
        <v>#NUM!</v>
      </c>
      <c r="V68" s="149" t="e">
        <f t="shared" si="23"/>
        <v>#VALUE!</v>
      </c>
      <c r="W68" s="157" t="e">
        <f t="shared" si="24"/>
        <v>#NUM!</v>
      </c>
      <c r="X68" s="149" t="e">
        <f t="shared" si="25"/>
        <v>#VALUE!</v>
      </c>
      <c r="Y68" s="157" t="e">
        <f t="shared" si="26"/>
        <v>#NUM!</v>
      </c>
      <c r="Z68" s="3"/>
      <c r="AA68" s="60"/>
      <c r="AB68" s="60"/>
      <c r="AC68" s="60"/>
      <c r="AD68" s="60"/>
      <c r="AE68" s="60"/>
      <c r="AF68" s="60"/>
      <c r="AG68" s="60"/>
      <c r="AH68" s="60"/>
      <c r="AI68" s="1"/>
      <c r="AJ68" s="1"/>
      <c r="AK68" s="1"/>
    </row>
    <row r="69" spans="1:37" x14ac:dyDescent="0.2">
      <c r="A69" s="3"/>
      <c r="B69" s="3"/>
      <c r="C69" s="3"/>
      <c r="D69" s="3"/>
      <c r="E69" s="3"/>
      <c r="F69" s="3"/>
      <c r="G69" s="3"/>
      <c r="H69" s="155">
        <v>121</v>
      </c>
      <c r="I69" s="60">
        <v>1.96</v>
      </c>
      <c r="J69" s="60">
        <v>3</v>
      </c>
      <c r="K69" s="60"/>
      <c r="L69" s="161"/>
      <c r="M69" s="3"/>
      <c r="N69" s="3"/>
      <c r="O69" s="156" t="e">
        <f t="shared" si="17"/>
        <v>#NUM!</v>
      </c>
      <c r="P69" s="208" t="e">
        <f t="shared" si="18"/>
        <v>#N/A</v>
      </c>
      <c r="Q69" s="156" t="e">
        <f t="shared" si="19"/>
        <v>#VALUE!</v>
      </c>
      <c r="R69" s="156" t="e">
        <f t="shared" si="20"/>
        <v>#VALUE!</v>
      </c>
      <c r="S69" s="156" t="e">
        <f t="shared" si="21"/>
        <v>#VALUE!</v>
      </c>
      <c r="T69" s="149" t="e">
        <f t="shared" si="22"/>
        <v>#VALUE!</v>
      </c>
      <c r="U69" s="157" t="e">
        <f t="shared" si="27"/>
        <v>#NUM!</v>
      </c>
      <c r="V69" s="149" t="e">
        <f t="shared" si="23"/>
        <v>#VALUE!</v>
      </c>
      <c r="W69" s="157" t="e">
        <f t="shared" si="24"/>
        <v>#NUM!</v>
      </c>
      <c r="X69" s="149" t="e">
        <f t="shared" si="25"/>
        <v>#VALUE!</v>
      </c>
      <c r="Y69" s="157" t="e">
        <f t="shared" si="26"/>
        <v>#NUM!</v>
      </c>
      <c r="Z69" s="3"/>
      <c r="AA69" s="60"/>
      <c r="AB69" s="60"/>
      <c r="AC69" s="60"/>
      <c r="AD69" s="60"/>
      <c r="AE69" s="60"/>
      <c r="AF69" s="60"/>
      <c r="AG69" s="60"/>
      <c r="AH69" s="60"/>
      <c r="AI69" s="1"/>
      <c r="AJ69" s="1"/>
      <c r="AK69" s="1"/>
    </row>
    <row r="70" spans="1:37" ht="13.5" thickBot="1" x14ac:dyDescent="0.25">
      <c r="A70" s="3"/>
      <c r="B70" s="3"/>
      <c r="C70" s="3"/>
      <c r="D70" s="3"/>
      <c r="E70" s="3"/>
      <c r="F70" s="3"/>
      <c r="G70" s="3"/>
      <c r="H70" s="170"/>
      <c r="I70" s="185"/>
      <c r="J70" s="185"/>
      <c r="K70" s="185"/>
      <c r="L70" s="165"/>
      <c r="M70" s="3"/>
      <c r="N70" s="3"/>
      <c r="O70" s="156" t="e">
        <f t="shared" si="17"/>
        <v>#NUM!</v>
      </c>
      <c r="P70" s="208" t="e">
        <f t="shared" si="18"/>
        <v>#N/A</v>
      </c>
      <c r="Q70" s="156" t="e">
        <f t="shared" si="19"/>
        <v>#VALUE!</v>
      </c>
      <c r="R70" s="156" t="e">
        <f t="shared" si="20"/>
        <v>#VALUE!</v>
      </c>
      <c r="S70" s="156" t="e">
        <f t="shared" si="21"/>
        <v>#VALUE!</v>
      </c>
      <c r="T70" s="149" t="e">
        <f t="shared" si="22"/>
        <v>#VALUE!</v>
      </c>
      <c r="U70" s="157" t="e">
        <f t="shared" si="27"/>
        <v>#NUM!</v>
      </c>
      <c r="V70" s="149" t="e">
        <f t="shared" si="23"/>
        <v>#VALUE!</v>
      </c>
      <c r="W70" s="157" t="e">
        <f t="shared" si="24"/>
        <v>#NUM!</v>
      </c>
      <c r="X70" s="149" t="e">
        <f t="shared" si="25"/>
        <v>#VALUE!</v>
      </c>
      <c r="Y70" s="157" t="e">
        <f t="shared" si="26"/>
        <v>#NUM!</v>
      </c>
      <c r="Z70" s="3"/>
      <c r="AA70" s="60"/>
      <c r="AB70" s="60"/>
      <c r="AC70" s="60"/>
      <c r="AD70" s="60"/>
      <c r="AE70" s="60"/>
      <c r="AF70" s="60"/>
      <c r="AG70" s="60"/>
      <c r="AH70" s="60"/>
      <c r="AI70" s="1"/>
      <c r="AJ70" s="1"/>
      <c r="AK70" s="1"/>
    </row>
    <row r="71" spans="1:37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156" t="e">
        <f t="shared" si="17"/>
        <v>#NUM!</v>
      </c>
      <c r="P71" s="208" t="e">
        <f t="shared" si="18"/>
        <v>#N/A</v>
      </c>
      <c r="Q71" s="156" t="e">
        <f t="shared" si="19"/>
        <v>#VALUE!</v>
      </c>
      <c r="R71" s="156" t="e">
        <f t="shared" si="20"/>
        <v>#VALUE!</v>
      </c>
      <c r="S71" s="156" t="e">
        <f t="shared" si="21"/>
        <v>#VALUE!</v>
      </c>
      <c r="T71" s="149" t="e">
        <f t="shared" si="22"/>
        <v>#VALUE!</v>
      </c>
      <c r="U71" s="157" t="e">
        <f t="shared" si="27"/>
        <v>#NUM!</v>
      </c>
      <c r="V71" s="149" t="e">
        <f t="shared" si="23"/>
        <v>#VALUE!</v>
      </c>
      <c r="W71" s="157" t="e">
        <f t="shared" si="24"/>
        <v>#NUM!</v>
      </c>
      <c r="X71" s="149" t="e">
        <f t="shared" si="25"/>
        <v>#VALUE!</v>
      </c>
      <c r="Y71" s="157" t="e">
        <f t="shared" si="26"/>
        <v>#NUM!</v>
      </c>
      <c r="Z71" s="3"/>
      <c r="AA71" s="60"/>
      <c r="AB71" s="60"/>
      <c r="AC71" s="60"/>
      <c r="AD71" s="60"/>
      <c r="AE71" s="60"/>
      <c r="AF71" s="60"/>
      <c r="AG71" s="60"/>
      <c r="AH71" s="60"/>
      <c r="AI71" s="1"/>
      <c r="AJ71" s="1"/>
      <c r="AK71" s="1"/>
    </row>
    <row r="72" spans="1:37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156" t="e">
        <f t="shared" si="17"/>
        <v>#NUM!</v>
      </c>
      <c r="P72" s="208" t="e">
        <f t="shared" si="18"/>
        <v>#N/A</v>
      </c>
      <c r="Q72" s="156" t="e">
        <f t="shared" si="19"/>
        <v>#VALUE!</v>
      </c>
      <c r="R72" s="156" t="e">
        <f t="shared" si="20"/>
        <v>#VALUE!</v>
      </c>
      <c r="S72" s="156" t="e">
        <f t="shared" si="21"/>
        <v>#VALUE!</v>
      </c>
      <c r="T72" s="149" t="e">
        <f t="shared" si="22"/>
        <v>#VALUE!</v>
      </c>
      <c r="U72" s="157" t="e">
        <f t="shared" si="27"/>
        <v>#NUM!</v>
      </c>
      <c r="V72" s="149" t="e">
        <f t="shared" si="23"/>
        <v>#VALUE!</v>
      </c>
      <c r="W72" s="157" t="e">
        <f t="shared" si="24"/>
        <v>#NUM!</v>
      </c>
      <c r="X72" s="149" t="e">
        <f t="shared" si="25"/>
        <v>#VALUE!</v>
      </c>
      <c r="Y72" s="157" t="e">
        <f t="shared" si="26"/>
        <v>#NUM!</v>
      </c>
      <c r="Z72" s="3"/>
      <c r="AA72" s="60"/>
      <c r="AB72" s="60"/>
      <c r="AC72" s="60"/>
      <c r="AD72" s="60"/>
      <c r="AE72" s="60"/>
      <c r="AF72" s="60"/>
      <c r="AG72" s="60"/>
      <c r="AH72" s="60"/>
      <c r="AI72" s="1"/>
      <c r="AJ72" s="1"/>
      <c r="AK72" s="1"/>
    </row>
    <row r="73" spans="1:37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156" t="e">
        <f t="shared" si="17"/>
        <v>#NUM!</v>
      </c>
      <c r="P73" s="208" t="e">
        <f t="shared" si="18"/>
        <v>#N/A</v>
      </c>
      <c r="Q73" s="156" t="e">
        <f t="shared" si="19"/>
        <v>#VALUE!</v>
      </c>
      <c r="R73" s="156" t="e">
        <f t="shared" si="20"/>
        <v>#VALUE!</v>
      </c>
      <c r="S73" s="156" t="e">
        <f t="shared" si="21"/>
        <v>#VALUE!</v>
      </c>
      <c r="T73" s="149" t="e">
        <f t="shared" si="22"/>
        <v>#VALUE!</v>
      </c>
      <c r="U73" s="157" t="e">
        <f t="shared" si="27"/>
        <v>#NUM!</v>
      </c>
      <c r="V73" s="149" t="e">
        <f t="shared" si="23"/>
        <v>#VALUE!</v>
      </c>
      <c r="W73" s="157" t="e">
        <f t="shared" si="24"/>
        <v>#NUM!</v>
      </c>
      <c r="X73" s="149" t="e">
        <f t="shared" si="25"/>
        <v>#VALUE!</v>
      </c>
      <c r="Y73" s="157" t="e">
        <f t="shared" si="26"/>
        <v>#NUM!</v>
      </c>
      <c r="Z73" s="3"/>
      <c r="AA73" s="60"/>
      <c r="AB73" s="60"/>
      <c r="AC73" s="60"/>
      <c r="AD73" s="60"/>
      <c r="AE73" s="60"/>
      <c r="AF73" s="60"/>
      <c r="AG73" s="60"/>
      <c r="AH73" s="60"/>
      <c r="AI73" s="1"/>
      <c r="AJ73" s="1"/>
      <c r="AK73" s="1"/>
    </row>
    <row r="74" spans="1:37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156" t="e">
        <f t="shared" si="17"/>
        <v>#NUM!</v>
      </c>
      <c r="P74" s="208" t="e">
        <f t="shared" si="18"/>
        <v>#N/A</v>
      </c>
      <c r="Q74" s="156" t="e">
        <f t="shared" si="19"/>
        <v>#VALUE!</v>
      </c>
      <c r="R74" s="156" t="e">
        <f t="shared" si="20"/>
        <v>#VALUE!</v>
      </c>
      <c r="S74" s="156" t="e">
        <f t="shared" si="21"/>
        <v>#VALUE!</v>
      </c>
      <c r="T74" s="149" t="e">
        <f t="shared" si="22"/>
        <v>#VALUE!</v>
      </c>
      <c r="U74" s="157" t="e">
        <f t="shared" si="27"/>
        <v>#NUM!</v>
      </c>
      <c r="V74" s="149" t="e">
        <f t="shared" si="23"/>
        <v>#VALUE!</v>
      </c>
      <c r="W74" s="157" t="e">
        <f t="shared" si="24"/>
        <v>#NUM!</v>
      </c>
      <c r="X74" s="149" t="e">
        <f t="shared" si="25"/>
        <v>#VALUE!</v>
      </c>
      <c r="Y74" s="157" t="e">
        <f t="shared" si="26"/>
        <v>#NUM!</v>
      </c>
      <c r="Z74" s="3"/>
      <c r="AA74" s="60"/>
      <c r="AB74" s="60"/>
      <c r="AC74" s="60"/>
      <c r="AD74" s="60"/>
      <c r="AE74" s="60"/>
      <c r="AF74" s="60"/>
      <c r="AG74" s="60"/>
      <c r="AH74" s="60"/>
      <c r="AI74" s="1"/>
      <c r="AJ74" s="1"/>
      <c r="AK74" s="1"/>
    </row>
    <row r="75" spans="1:37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156" t="e">
        <f t="shared" si="17"/>
        <v>#NUM!</v>
      </c>
      <c r="P75" s="208" t="e">
        <f t="shared" si="18"/>
        <v>#N/A</v>
      </c>
      <c r="Q75" s="156" t="e">
        <f t="shared" si="19"/>
        <v>#VALUE!</v>
      </c>
      <c r="R75" s="156" t="e">
        <f t="shared" si="20"/>
        <v>#VALUE!</v>
      </c>
      <c r="S75" s="156" t="e">
        <f t="shared" si="21"/>
        <v>#VALUE!</v>
      </c>
      <c r="T75" s="149" t="e">
        <f t="shared" si="22"/>
        <v>#VALUE!</v>
      </c>
      <c r="U75" s="157" t="e">
        <f t="shared" si="27"/>
        <v>#NUM!</v>
      </c>
      <c r="V75" s="149" t="e">
        <f t="shared" si="23"/>
        <v>#VALUE!</v>
      </c>
      <c r="W75" s="157" t="e">
        <f t="shared" si="24"/>
        <v>#NUM!</v>
      </c>
      <c r="X75" s="149" t="e">
        <f t="shared" si="25"/>
        <v>#VALUE!</v>
      </c>
      <c r="Y75" s="157" t="e">
        <f t="shared" si="26"/>
        <v>#NUM!</v>
      </c>
      <c r="Z75" s="3"/>
      <c r="AA75" s="60"/>
      <c r="AB75" s="60"/>
      <c r="AC75" s="60"/>
      <c r="AD75" s="60"/>
      <c r="AE75" s="60"/>
      <c r="AF75" s="60"/>
      <c r="AG75" s="60"/>
      <c r="AH75" s="60"/>
      <c r="AI75" s="1"/>
      <c r="AJ75" s="1"/>
      <c r="AK75" s="1"/>
    </row>
    <row r="76" spans="1:37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156" t="e">
        <f t="shared" si="17"/>
        <v>#NUM!</v>
      </c>
      <c r="P76" s="208" t="e">
        <f t="shared" si="18"/>
        <v>#N/A</v>
      </c>
      <c r="Q76" s="156" t="e">
        <f t="shared" si="19"/>
        <v>#VALUE!</v>
      </c>
      <c r="R76" s="156" t="e">
        <f t="shared" si="20"/>
        <v>#VALUE!</v>
      </c>
      <c r="S76" s="156" t="e">
        <f t="shared" si="21"/>
        <v>#VALUE!</v>
      </c>
      <c r="T76" s="149" t="e">
        <f t="shared" si="22"/>
        <v>#VALUE!</v>
      </c>
      <c r="U76" s="157" t="e">
        <f t="shared" si="27"/>
        <v>#NUM!</v>
      </c>
      <c r="V76" s="149" t="e">
        <f t="shared" si="23"/>
        <v>#VALUE!</v>
      </c>
      <c r="W76" s="157" t="e">
        <f t="shared" si="24"/>
        <v>#NUM!</v>
      </c>
      <c r="X76" s="149" t="e">
        <f t="shared" si="25"/>
        <v>#VALUE!</v>
      </c>
      <c r="Y76" s="157" t="e">
        <f t="shared" si="26"/>
        <v>#NUM!</v>
      </c>
      <c r="Z76" s="3"/>
      <c r="AA76" s="60"/>
      <c r="AB76" s="60"/>
      <c r="AC76" s="60"/>
      <c r="AD76" s="60"/>
      <c r="AE76" s="60"/>
      <c r="AF76" s="60"/>
      <c r="AG76" s="60"/>
      <c r="AH76" s="60"/>
      <c r="AI76" s="1"/>
      <c r="AJ76" s="1"/>
      <c r="AK76" s="1"/>
    </row>
    <row r="77" spans="1:37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156" t="e">
        <f t="shared" si="17"/>
        <v>#NUM!</v>
      </c>
      <c r="P77" s="208" t="e">
        <f t="shared" si="18"/>
        <v>#N/A</v>
      </c>
      <c r="Q77" s="156" t="e">
        <f t="shared" si="19"/>
        <v>#VALUE!</v>
      </c>
      <c r="R77" s="156" t="e">
        <f t="shared" si="20"/>
        <v>#VALUE!</v>
      </c>
      <c r="S77" s="156" t="e">
        <f t="shared" si="21"/>
        <v>#VALUE!</v>
      </c>
      <c r="T77" s="149" t="e">
        <f t="shared" si="22"/>
        <v>#VALUE!</v>
      </c>
      <c r="U77" s="157" t="e">
        <f t="shared" si="27"/>
        <v>#NUM!</v>
      </c>
      <c r="V77" s="149" t="e">
        <f t="shared" si="23"/>
        <v>#VALUE!</v>
      </c>
      <c r="W77" s="157" t="e">
        <f t="shared" si="24"/>
        <v>#NUM!</v>
      </c>
      <c r="X77" s="149" t="e">
        <f t="shared" si="25"/>
        <v>#VALUE!</v>
      </c>
      <c r="Y77" s="157" t="e">
        <f t="shared" si="26"/>
        <v>#NUM!</v>
      </c>
      <c r="Z77" s="3"/>
      <c r="AA77" s="60"/>
      <c r="AB77" s="60"/>
      <c r="AC77" s="60"/>
      <c r="AD77" s="60"/>
      <c r="AE77" s="60"/>
      <c r="AF77" s="60"/>
      <c r="AG77" s="60"/>
      <c r="AH77" s="60"/>
      <c r="AI77" s="1"/>
      <c r="AJ77" s="1"/>
      <c r="AK77" s="1"/>
    </row>
    <row r="78" spans="1:37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156" t="e">
        <f t="shared" si="17"/>
        <v>#NUM!</v>
      </c>
      <c r="P78" s="208" t="e">
        <f t="shared" si="18"/>
        <v>#N/A</v>
      </c>
      <c r="Q78" s="156" t="e">
        <f t="shared" si="19"/>
        <v>#VALUE!</v>
      </c>
      <c r="R78" s="156" t="e">
        <f t="shared" si="20"/>
        <v>#VALUE!</v>
      </c>
      <c r="S78" s="156" t="e">
        <f t="shared" si="21"/>
        <v>#VALUE!</v>
      </c>
      <c r="T78" s="149" t="e">
        <f t="shared" si="22"/>
        <v>#VALUE!</v>
      </c>
      <c r="U78" s="157" t="e">
        <f t="shared" si="27"/>
        <v>#NUM!</v>
      </c>
      <c r="V78" s="149" t="e">
        <f t="shared" si="23"/>
        <v>#VALUE!</v>
      </c>
      <c r="W78" s="157" t="e">
        <f t="shared" si="24"/>
        <v>#NUM!</v>
      </c>
      <c r="X78" s="149" t="e">
        <f t="shared" si="25"/>
        <v>#VALUE!</v>
      </c>
      <c r="Y78" s="157" t="e">
        <f t="shared" si="26"/>
        <v>#NUM!</v>
      </c>
      <c r="Z78" s="3"/>
      <c r="AA78" s="60"/>
      <c r="AB78" s="60"/>
      <c r="AC78" s="60"/>
      <c r="AD78" s="60"/>
      <c r="AE78" s="60"/>
      <c r="AF78" s="60"/>
      <c r="AG78" s="60"/>
      <c r="AH78" s="60"/>
      <c r="AI78" s="1"/>
      <c r="AJ78" s="1"/>
      <c r="AK78" s="1"/>
    </row>
    <row r="79" spans="1:37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156" t="e">
        <f t="shared" si="17"/>
        <v>#NUM!</v>
      </c>
      <c r="P79" s="208" t="e">
        <f t="shared" si="18"/>
        <v>#N/A</v>
      </c>
      <c r="Q79" s="156" t="e">
        <f t="shared" si="19"/>
        <v>#VALUE!</v>
      </c>
      <c r="R79" s="156" t="e">
        <f t="shared" si="20"/>
        <v>#VALUE!</v>
      </c>
      <c r="S79" s="156" t="e">
        <f t="shared" si="21"/>
        <v>#VALUE!</v>
      </c>
      <c r="T79" s="149" t="e">
        <f t="shared" si="22"/>
        <v>#VALUE!</v>
      </c>
      <c r="U79" s="157" t="e">
        <f t="shared" si="27"/>
        <v>#NUM!</v>
      </c>
      <c r="V79" s="149" t="e">
        <f t="shared" si="23"/>
        <v>#VALUE!</v>
      </c>
      <c r="W79" s="157" t="e">
        <f t="shared" si="24"/>
        <v>#NUM!</v>
      </c>
      <c r="X79" s="149" t="e">
        <f t="shared" si="25"/>
        <v>#VALUE!</v>
      </c>
      <c r="Y79" s="157" t="e">
        <f t="shared" si="26"/>
        <v>#NUM!</v>
      </c>
      <c r="Z79" s="3"/>
      <c r="AA79" s="60"/>
      <c r="AB79" s="60"/>
      <c r="AC79" s="60"/>
      <c r="AD79" s="60"/>
      <c r="AE79" s="60"/>
      <c r="AF79" s="60"/>
      <c r="AG79" s="60"/>
      <c r="AH79" s="60"/>
      <c r="AI79" s="1"/>
      <c r="AJ79" s="1"/>
      <c r="AK79" s="1"/>
    </row>
    <row r="80" spans="1:37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156" t="e">
        <f t="shared" si="17"/>
        <v>#NUM!</v>
      </c>
      <c r="P80" s="208" t="e">
        <f t="shared" si="18"/>
        <v>#N/A</v>
      </c>
      <c r="Q80" s="156" t="e">
        <f t="shared" si="19"/>
        <v>#VALUE!</v>
      </c>
      <c r="R80" s="156" t="e">
        <f t="shared" si="20"/>
        <v>#VALUE!</v>
      </c>
      <c r="S80" s="156" t="e">
        <f t="shared" si="21"/>
        <v>#VALUE!</v>
      </c>
      <c r="T80" s="149" t="e">
        <f t="shared" si="22"/>
        <v>#VALUE!</v>
      </c>
      <c r="U80" s="157" t="e">
        <f t="shared" si="27"/>
        <v>#NUM!</v>
      </c>
      <c r="V80" s="149" t="e">
        <f t="shared" si="23"/>
        <v>#VALUE!</v>
      </c>
      <c r="W80" s="157" t="e">
        <f t="shared" si="24"/>
        <v>#NUM!</v>
      </c>
      <c r="X80" s="149" t="e">
        <f t="shared" si="25"/>
        <v>#VALUE!</v>
      </c>
      <c r="Y80" s="157" t="e">
        <f t="shared" si="26"/>
        <v>#NUM!</v>
      </c>
      <c r="Z80" s="3"/>
      <c r="AA80" s="60"/>
      <c r="AB80" s="60"/>
      <c r="AC80" s="60"/>
      <c r="AD80" s="60"/>
      <c r="AE80" s="60"/>
      <c r="AF80" s="60"/>
      <c r="AG80" s="60"/>
      <c r="AH80" s="60"/>
      <c r="AI80" s="1"/>
      <c r="AJ80" s="1"/>
      <c r="AK80" s="1"/>
    </row>
    <row r="81" spans="1:37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156" t="e">
        <f t="shared" si="17"/>
        <v>#NUM!</v>
      </c>
      <c r="P81" s="208" t="e">
        <f t="shared" si="18"/>
        <v>#N/A</v>
      </c>
      <c r="Q81" s="156" t="e">
        <f t="shared" si="19"/>
        <v>#VALUE!</v>
      </c>
      <c r="R81" s="156" t="e">
        <f t="shared" si="20"/>
        <v>#VALUE!</v>
      </c>
      <c r="S81" s="156" t="e">
        <f t="shared" si="21"/>
        <v>#VALUE!</v>
      </c>
      <c r="T81" s="149" t="e">
        <f t="shared" si="22"/>
        <v>#VALUE!</v>
      </c>
      <c r="U81" s="157" t="e">
        <f t="shared" si="27"/>
        <v>#NUM!</v>
      </c>
      <c r="V81" s="149" t="e">
        <f t="shared" si="23"/>
        <v>#VALUE!</v>
      </c>
      <c r="W81" s="157" t="e">
        <f t="shared" si="24"/>
        <v>#NUM!</v>
      </c>
      <c r="X81" s="149" t="e">
        <f t="shared" si="25"/>
        <v>#VALUE!</v>
      </c>
      <c r="Y81" s="157" t="e">
        <f t="shared" si="26"/>
        <v>#NUM!</v>
      </c>
      <c r="Z81" s="3"/>
      <c r="AA81" s="60"/>
      <c r="AB81" s="60"/>
      <c r="AC81" s="60"/>
      <c r="AD81" s="60"/>
      <c r="AE81" s="60"/>
      <c r="AF81" s="60"/>
      <c r="AG81" s="60"/>
      <c r="AH81" s="60"/>
      <c r="AI81" s="1"/>
      <c r="AJ81" s="1"/>
      <c r="AK81" s="1"/>
    </row>
    <row r="82" spans="1:37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156" t="e">
        <f t="shared" si="17"/>
        <v>#NUM!</v>
      </c>
      <c r="P82" s="208" t="e">
        <f t="shared" si="18"/>
        <v>#N/A</v>
      </c>
      <c r="Q82" s="156" t="e">
        <f t="shared" si="19"/>
        <v>#VALUE!</v>
      </c>
      <c r="R82" s="156" t="e">
        <f t="shared" si="20"/>
        <v>#VALUE!</v>
      </c>
      <c r="S82" s="156" t="e">
        <f t="shared" si="21"/>
        <v>#VALUE!</v>
      </c>
      <c r="T82" s="149" t="e">
        <f t="shared" si="22"/>
        <v>#VALUE!</v>
      </c>
      <c r="U82" s="157" t="e">
        <f t="shared" si="27"/>
        <v>#NUM!</v>
      </c>
      <c r="V82" s="149" t="e">
        <f t="shared" si="23"/>
        <v>#VALUE!</v>
      </c>
      <c r="W82" s="157" t="e">
        <f t="shared" si="24"/>
        <v>#NUM!</v>
      </c>
      <c r="X82" s="149" t="e">
        <f t="shared" si="25"/>
        <v>#VALUE!</v>
      </c>
      <c r="Y82" s="157" t="e">
        <f t="shared" si="26"/>
        <v>#NUM!</v>
      </c>
      <c r="Z82" s="3"/>
      <c r="AA82" s="60"/>
      <c r="AB82" s="60"/>
      <c r="AC82" s="60"/>
      <c r="AD82" s="60"/>
      <c r="AE82" s="60"/>
      <c r="AF82" s="60"/>
      <c r="AG82" s="60"/>
      <c r="AH82" s="60"/>
      <c r="AI82" s="1"/>
      <c r="AJ82" s="1"/>
      <c r="AK82" s="1"/>
    </row>
    <row r="83" spans="1:37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156" t="e">
        <f t="shared" si="17"/>
        <v>#NUM!</v>
      </c>
      <c r="P83" s="208" t="e">
        <f t="shared" si="18"/>
        <v>#N/A</v>
      </c>
      <c r="Q83" s="156" t="e">
        <f t="shared" si="19"/>
        <v>#VALUE!</v>
      </c>
      <c r="R83" s="156" t="e">
        <f t="shared" si="20"/>
        <v>#VALUE!</v>
      </c>
      <c r="S83" s="156" t="e">
        <f t="shared" si="21"/>
        <v>#VALUE!</v>
      </c>
      <c r="T83" s="149" t="e">
        <f t="shared" si="22"/>
        <v>#VALUE!</v>
      </c>
      <c r="U83" s="157" t="e">
        <f t="shared" si="27"/>
        <v>#NUM!</v>
      </c>
      <c r="V83" s="149" t="e">
        <f t="shared" si="23"/>
        <v>#VALUE!</v>
      </c>
      <c r="W83" s="157" t="e">
        <f t="shared" si="24"/>
        <v>#NUM!</v>
      </c>
      <c r="X83" s="149" t="e">
        <f t="shared" si="25"/>
        <v>#VALUE!</v>
      </c>
      <c r="Y83" s="157" t="e">
        <f t="shared" si="26"/>
        <v>#NUM!</v>
      </c>
      <c r="Z83" s="3"/>
      <c r="AA83" s="60"/>
      <c r="AB83" s="60"/>
      <c r="AC83" s="60"/>
      <c r="AD83" s="60"/>
      <c r="AE83" s="60"/>
      <c r="AF83" s="60"/>
      <c r="AG83" s="60"/>
      <c r="AH83" s="60"/>
      <c r="AI83" s="1"/>
      <c r="AJ83" s="1"/>
      <c r="AK83" s="1"/>
    </row>
    <row r="84" spans="1:37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156" t="e">
        <f t="shared" si="17"/>
        <v>#NUM!</v>
      </c>
      <c r="P84" s="208" t="e">
        <f t="shared" si="18"/>
        <v>#N/A</v>
      </c>
      <c r="Q84" s="156" t="e">
        <f t="shared" si="19"/>
        <v>#VALUE!</v>
      </c>
      <c r="R84" s="156" t="e">
        <f t="shared" si="20"/>
        <v>#VALUE!</v>
      </c>
      <c r="S84" s="156" t="e">
        <f t="shared" si="21"/>
        <v>#VALUE!</v>
      </c>
      <c r="T84" s="149" t="e">
        <f t="shared" si="22"/>
        <v>#VALUE!</v>
      </c>
      <c r="U84" s="157" t="e">
        <f t="shared" si="27"/>
        <v>#NUM!</v>
      </c>
      <c r="V84" s="149" t="e">
        <f t="shared" si="23"/>
        <v>#VALUE!</v>
      </c>
      <c r="W84" s="157" t="e">
        <f t="shared" si="24"/>
        <v>#NUM!</v>
      </c>
      <c r="X84" s="149" t="e">
        <f t="shared" si="25"/>
        <v>#VALUE!</v>
      </c>
      <c r="Y84" s="157" t="e">
        <f t="shared" si="26"/>
        <v>#NUM!</v>
      </c>
      <c r="Z84" s="3"/>
      <c r="AA84" s="60"/>
      <c r="AB84" s="60"/>
      <c r="AC84" s="60"/>
      <c r="AD84" s="60"/>
      <c r="AE84" s="60"/>
      <c r="AF84" s="60"/>
      <c r="AG84" s="60"/>
      <c r="AH84" s="60"/>
      <c r="AI84" s="1"/>
      <c r="AJ84" s="1"/>
      <c r="AK84" s="1"/>
    </row>
    <row r="85" spans="1:37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156" t="e">
        <f t="shared" si="17"/>
        <v>#NUM!</v>
      </c>
      <c r="P85" s="208" t="e">
        <f t="shared" si="18"/>
        <v>#N/A</v>
      </c>
      <c r="Q85" s="156" t="e">
        <f t="shared" si="19"/>
        <v>#VALUE!</v>
      </c>
      <c r="R85" s="156" t="e">
        <f t="shared" si="20"/>
        <v>#VALUE!</v>
      </c>
      <c r="S85" s="156" t="e">
        <f t="shared" si="21"/>
        <v>#VALUE!</v>
      </c>
      <c r="T85" s="149" t="e">
        <f t="shared" si="22"/>
        <v>#VALUE!</v>
      </c>
      <c r="U85" s="157" t="e">
        <f t="shared" si="27"/>
        <v>#NUM!</v>
      </c>
      <c r="V85" s="149" t="e">
        <f t="shared" si="23"/>
        <v>#VALUE!</v>
      </c>
      <c r="W85" s="157" t="e">
        <f t="shared" si="24"/>
        <v>#NUM!</v>
      </c>
      <c r="X85" s="149" t="e">
        <f t="shared" si="25"/>
        <v>#VALUE!</v>
      </c>
      <c r="Y85" s="157" t="e">
        <f t="shared" si="26"/>
        <v>#NUM!</v>
      </c>
      <c r="Z85" s="3"/>
      <c r="AA85" s="60"/>
      <c r="AB85" s="60"/>
      <c r="AC85" s="60"/>
      <c r="AD85" s="60"/>
      <c r="AE85" s="60"/>
      <c r="AF85" s="60"/>
      <c r="AG85" s="60"/>
      <c r="AH85" s="60"/>
      <c r="AI85" s="1"/>
      <c r="AJ85" s="1"/>
      <c r="AK85" s="1"/>
    </row>
    <row r="86" spans="1:37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156" t="e">
        <f t="shared" si="17"/>
        <v>#NUM!</v>
      </c>
      <c r="P86" s="208" t="e">
        <f t="shared" si="18"/>
        <v>#N/A</v>
      </c>
      <c r="Q86" s="156" t="e">
        <f t="shared" si="19"/>
        <v>#VALUE!</v>
      </c>
      <c r="R86" s="156" t="e">
        <f t="shared" si="20"/>
        <v>#VALUE!</v>
      </c>
      <c r="S86" s="156" t="e">
        <f t="shared" si="21"/>
        <v>#VALUE!</v>
      </c>
      <c r="T86" s="149" t="e">
        <f t="shared" si="22"/>
        <v>#VALUE!</v>
      </c>
      <c r="U86" s="157" t="e">
        <f t="shared" si="27"/>
        <v>#NUM!</v>
      </c>
      <c r="V86" s="149" t="e">
        <f t="shared" si="23"/>
        <v>#VALUE!</v>
      </c>
      <c r="W86" s="157" t="e">
        <f t="shared" si="24"/>
        <v>#NUM!</v>
      </c>
      <c r="X86" s="149" t="e">
        <f t="shared" si="25"/>
        <v>#VALUE!</v>
      </c>
      <c r="Y86" s="157" t="e">
        <f t="shared" si="26"/>
        <v>#NUM!</v>
      </c>
      <c r="Z86" s="3"/>
      <c r="AA86" s="60"/>
      <c r="AB86" s="60"/>
      <c r="AC86" s="60"/>
      <c r="AD86" s="60"/>
      <c r="AE86" s="60"/>
      <c r="AF86" s="60"/>
      <c r="AG86" s="60"/>
      <c r="AH86" s="60"/>
      <c r="AI86" s="1"/>
      <c r="AJ86" s="1"/>
      <c r="AK86" s="1"/>
    </row>
    <row r="87" spans="1:37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156" t="e">
        <f t="shared" si="17"/>
        <v>#NUM!</v>
      </c>
      <c r="P87" s="208" t="e">
        <f t="shared" si="18"/>
        <v>#N/A</v>
      </c>
      <c r="Q87" s="156" t="e">
        <f t="shared" si="19"/>
        <v>#VALUE!</v>
      </c>
      <c r="R87" s="156" t="e">
        <f t="shared" si="20"/>
        <v>#VALUE!</v>
      </c>
      <c r="S87" s="156" t="e">
        <f t="shared" si="21"/>
        <v>#VALUE!</v>
      </c>
      <c r="T87" s="149" t="e">
        <f t="shared" si="22"/>
        <v>#VALUE!</v>
      </c>
      <c r="U87" s="157" t="e">
        <f t="shared" si="27"/>
        <v>#NUM!</v>
      </c>
      <c r="V87" s="149" t="e">
        <f t="shared" si="23"/>
        <v>#VALUE!</v>
      </c>
      <c r="W87" s="157" t="e">
        <f t="shared" si="24"/>
        <v>#NUM!</v>
      </c>
      <c r="X87" s="149" t="e">
        <f t="shared" si="25"/>
        <v>#VALUE!</v>
      </c>
      <c r="Y87" s="157" t="e">
        <f t="shared" si="26"/>
        <v>#NUM!</v>
      </c>
      <c r="Z87" s="3"/>
      <c r="AA87" s="60"/>
      <c r="AB87" s="60"/>
      <c r="AC87" s="60"/>
      <c r="AD87" s="60"/>
      <c r="AE87" s="60"/>
      <c r="AF87" s="60"/>
      <c r="AG87" s="60"/>
      <c r="AH87" s="60"/>
      <c r="AI87" s="1"/>
      <c r="AJ87" s="1"/>
      <c r="AK87" s="1"/>
    </row>
    <row r="88" spans="1:37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156" t="e">
        <f t="shared" si="17"/>
        <v>#NUM!</v>
      </c>
      <c r="P88" s="208" t="e">
        <f t="shared" si="18"/>
        <v>#N/A</v>
      </c>
      <c r="Q88" s="156" t="e">
        <f t="shared" si="19"/>
        <v>#VALUE!</v>
      </c>
      <c r="R88" s="156" t="e">
        <f t="shared" si="20"/>
        <v>#VALUE!</v>
      </c>
      <c r="S88" s="156" t="e">
        <f t="shared" si="21"/>
        <v>#VALUE!</v>
      </c>
      <c r="T88" s="149" t="e">
        <f t="shared" si="22"/>
        <v>#VALUE!</v>
      </c>
      <c r="U88" s="157" t="e">
        <f t="shared" si="27"/>
        <v>#NUM!</v>
      </c>
      <c r="V88" s="149" t="e">
        <f t="shared" si="23"/>
        <v>#VALUE!</v>
      </c>
      <c r="W88" s="157" t="e">
        <f t="shared" si="24"/>
        <v>#NUM!</v>
      </c>
      <c r="X88" s="149" t="e">
        <f t="shared" si="25"/>
        <v>#VALUE!</v>
      </c>
      <c r="Y88" s="157" t="e">
        <f t="shared" si="26"/>
        <v>#NUM!</v>
      </c>
      <c r="Z88" s="3"/>
      <c r="AA88" s="60"/>
      <c r="AB88" s="60"/>
      <c r="AC88" s="60"/>
      <c r="AD88" s="60"/>
      <c r="AE88" s="60"/>
      <c r="AF88" s="60"/>
      <c r="AG88" s="60"/>
      <c r="AH88" s="60"/>
      <c r="AI88" s="1"/>
      <c r="AJ88" s="1"/>
      <c r="AK88" s="1"/>
    </row>
    <row r="89" spans="1:37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156" t="e">
        <f t="shared" si="17"/>
        <v>#NUM!</v>
      </c>
      <c r="P89" s="208" t="e">
        <f t="shared" si="18"/>
        <v>#N/A</v>
      </c>
      <c r="Q89" s="156" t="e">
        <f t="shared" si="19"/>
        <v>#VALUE!</v>
      </c>
      <c r="R89" s="156" t="e">
        <f t="shared" si="20"/>
        <v>#VALUE!</v>
      </c>
      <c r="S89" s="156" t="e">
        <f t="shared" si="21"/>
        <v>#VALUE!</v>
      </c>
      <c r="T89" s="149" t="e">
        <f t="shared" si="22"/>
        <v>#VALUE!</v>
      </c>
      <c r="U89" s="157" t="e">
        <f t="shared" si="27"/>
        <v>#NUM!</v>
      </c>
      <c r="V89" s="149" t="e">
        <f t="shared" si="23"/>
        <v>#VALUE!</v>
      </c>
      <c r="W89" s="157" t="e">
        <f t="shared" si="24"/>
        <v>#NUM!</v>
      </c>
      <c r="X89" s="149" t="e">
        <f t="shared" si="25"/>
        <v>#VALUE!</v>
      </c>
      <c r="Y89" s="157" t="e">
        <f t="shared" si="26"/>
        <v>#NUM!</v>
      </c>
      <c r="Z89" s="3"/>
      <c r="AA89" s="60"/>
      <c r="AB89" s="60"/>
      <c r="AC89" s="60"/>
      <c r="AD89" s="60"/>
      <c r="AE89" s="60"/>
      <c r="AF89" s="60"/>
      <c r="AG89" s="60"/>
      <c r="AH89" s="60"/>
      <c r="AI89" s="1"/>
      <c r="AJ89" s="1"/>
      <c r="AK89" s="1"/>
    </row>
    <row r="90" spans="1:37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156" t="e">
        <f t="shared" si="17"/>
        <v>#NUM!</v>
      </c>
      <c r="P90" s="208" t="e">
        <f t="shared" si="18"/>
        <v>#N/A</v>
      </c>
      <c r="Q90" s="156" t="e">
        <f t="shared" si="19"/>
        <v>#VALUE!</v>
      </c>
      <c r="R90" s="156" t="e">
        <f t="shared" si="20"/>
        <v>#VALUE!</v>
      </c>
      <c r="S90" s="156" t="e">
        <f t="shared" si="21"/>
        <v>#VALUE!</v>
      </c>
      <c r="T90" s="149" t="e">
        <f t="shared" si="22"/>
        <v>#VALUE!</v>
      </c>
      <c r="U90" s="157" t="e">
        <f t="shared" si="27"/>
        <v>#NUM!</v>
      </c>
      <c r="V90" s="149" t="e">
        <f t="shared" si="23"/>
        <v>#VALUE!</v>
      </c>
      <c r="W90" s="157" t="e">
        <f t="shared" si="24"/>
        <v>#NUM!</v>
      </c>
      <c r="X90" s="149" t="e">
        <f t="shared" si="25"/>
        <v>#VALUE!</v>
      </c>
      <c r="Y90" s="157" t="e">
        <f t="shared" si="26"/>
        <v>#NUM!</v>
      </c>
      <c r="Z90" s="3"/>
      <c r="AA90" s="60"/>
      <c r="AB90" s="60"/>
      <c r="AC90" s="60"/>
      <c r="AD90" s="60"/>
      <c r="AE90" s="60"/>
      <c r="AF90" s="60"/>
      <c r="AG90" s="60"/>
      <c r="AH90" s="60"/>
      <c r="AI90" s="1"/>
      <c r="AJ90" s="1"/>
      <c r="AK90" s="1"/>
    </row>
    <row r="91" spans="1:37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156" t="e">
        <f t="shared" si="17"/>
        <v>#NUM!</v>
      </c>
      <c r="P91" s="208" t="e">
        <f t="shared" si="18"/>
        <v>#N/A</v>
      </c>
      <c r="Q91" s="156" t="e">
        <f t="shared" si="19"/>
        <v>#VALUE!</v>
      </c>
      <c r="R91" s="156" t="e">
        <f t="shared" si="20"/>
        <v>#VALUE!</v>
      </c>
      <c r="S91" s="156" t="e">
        <f t="shared" si="21"/>
        <v>#VALUE!</v>
      </c>
      <c r="T91" s="149" t="e">
        <f t="shared" si="22"/>
        <v>#VALUE!</v>
      </c>
      <c r="U91" s="157" t="e">
        <f t="shared" si="27"/>
        <v>#NUM!</v>
      </c>
      <c r="V91" s="149" t="e">
        <f t="shared" si="23"/>
        <v>#VALUE!</v>
      </c>
      <c r="W91" s="157" t="e">
        <f t="shared" si="24"/>
        <v>#NUM!</v>
      </c>
      <c r="X91" s="149" t="e">
        <f t="shared" si="25"/>
        <v>#VALUE!</v>
      </c>
      <c r="Y91" s="157" t="e">
        <f t="shared" si="26"/>
        <v>#NUM!</v>
      </c>
      <c r="Z91" s="3"/>
      <c r="AA91" s="60"/>
      <c r="AB91" s="60"/>
      <c r="AC91" s="60"/>
      <c r="AD91" s="60"/>
      <c r="AE91" s="60"/>
      <c r="AF91" s="60"/>
      <c r="AG91" s="60"/>
      <c r="AH91" s="60"/>
      <c r="AI91" s="1"/>
      <c r="AJ91" s="1"/>
      <c r="AK91" s="1"/>
    </row>
    <row r="92" spans="1:37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156" t="e">
        <f t="shared" si="17"/>
        <v>#NUM!</v>
      </c>
      <c r="P92" s="208" t="e">
        <f t="shared" si="18"/>
        <v>#N/A</v>
      </c>
      <c r="Q92" s="156" t="e">
        <f t="shared" si="19"/>
        <v>#VALUE!</v>
      </c>
      <c r="R92" s="156" t="e">
        <f t="shared" si="20"/>
        <v>#VALUE!</v>
      </c>
      <c r="S92" s="156" t="e">
        <f t="shared" si="21"/>
        <v>#VALUE!</v>
      </c>
      <c r="T92" s="149" t="e">
        <f t="shared" si="22"/>
        <v>#VALUE!</v>
      </c>
      <c r="U92" s="157" t="e">
        <f t="shared" si="27"/>
        <v>#NUM!</v>
      </c>
      <c r="V92" s="149" t="e">
        <f t="shared" si="23"/>
        <v>#VALUE!</v>
      </c>
      <c r="W92" s="157" t="e">
        <f t="shared" si="24"/>
        <v>#NUM!</v>
      </c>
      <c r="X92" s="149" t="e">
        <f t="shared" si="25"/>
        <v>#VALUE!</v>
      </c>
      <c r="Y92" s="157" t="e">
        <f t="shared" si="26"/>
        <v>#NUM!</v>
      </c>
      <c r="Z92" s="3"/>
      <c r="AA92" s="60"/>
      <c r="AB92" s="60"/>
      <c r="AC92" s="60"/>
      <c r="AD92" s="60"/>
      <c r="AE92" s="60"/>
      <c r="AF92" s="60"/>
      <c r="AG92" s="60"/>
      <c r="AH92" s="60"/>
      <c r="AI92" s="1"/>
      <c r="AJ92" s="1"/>
      <c r="AK92" s="1"/>
    </row>
    <row r="93" spans="1:37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156" t="e">
        <f t="shared" si="17"/>
        <v>#NUM!</v>
      </c>
      <c r="P93" s="208" t="e">
        <f t="shared" si="18"/>
        <v>#N/A</v>
      </c>
      <c r="Q93" s="156" t="e">
        <f t="shared" si="19"/>
        <v>#VALUE!</v>
      </c>
      <c r="R93" s="156" t="e">
        <f t="shared" si="20"/>
        <v>#VALUE!</v>
      </c>
      <c r="S93" s="156" t="e">
        <f t="shared" si="21"/>
        <v>#VALUE!</v>
      </c>
      <c r="T93" s="149" t="e">
        <f t="shared" si="22"/>
        <v>#VALUE!</v>
      </c>
      <c r="U93" s="157" t="e">
        <f t="shared" si="27"/>
        <v>#NUM!</v>
      </c>
      <c r="V93" s="149" t="e">
        <f t="shared" si="23"/>
        <v>#VALUE!</v>
      </c>
      <c r="W93" s="157" t="e">
        <f t="shared" si="24"/>
        <v>#NUM!</v>
      </c>
      <c r="X93" s="149" t="e">
        <f t="shared" si="25"/>
        <v>#VALUE!</v>
      </c>
      <c r="Y93" s="157" t="e">
        <f t="shared" si="26"/>
        <v>#NUM!</v>
      </c>
      <c r="Z93" s="3"/>
      <c r="AA93" s="60"/>
      <c r="AB93" s="60"/>
      <c r="AC93" s="60"/>
      <c r="AD93" s="60"/>
      <c r="AE93" s="60"/>
      <c r="AF93" s="60"/>
      <c r="AG93" s="60"/>
      <c r="AH93" s="60"/>
      <c r="AI93" s="1"/>
      <c r="AJ93" s="1"/>
      <c r="AK93" s="1"/>
    </row>
    <row r="94" spans="1:37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156" t="e">
        <f t="shared" si="17"/>
        <v>#NUM!</v>
      </c>
      <c r="P94" s="208" t="e">
        <f t="shared" si="18"/>
        <v>#N/A</v>
      </c>
      <c r="Q94" s="156" t="e">
        <f t="shared" si="19"/>
        <v>#VALUE!</v>
      </c>
      <c r="R94" s="156" t="e">
        <f t="shared" si="20"/>
        <v>#VALUE!</v>
      </c>
      <c r="S94" s="156" t="e">
        <f t="shared" si="21"/>
        <v>#VALUE!</v>
      </c>
      <c r="T94" s="149" t="e">
        <f t="shared" si="22"/>
        <v>#VALUE!</v>
      </c>
      <c r="U94" s="157" t="e">
        <f t="shared" si="27"/>
        <v>#NUM!</v>
      </c>
      <c r="V94" s="149" t="e">
        <f t="shared" si="23"/>
        <v>#VALUE!</v>
      </c>
      <c r="W94" s="157" t="e">
        <f t="shared" si="24"/>
        <v>#NUM!</v>
      </c>
      <c r="X94" s="149" t="e">
        <f t="shared" si="25"/>
        <v>#VALUE!</v>
      </c>
      <c r="Y94" s="157" t="e">
        <f t="shared" si="26"/>
        <v>#NUM!</v>
      </c>
      <c r="Z94" s="3"/>
      <c r="AA94" s="60"/>
      <c r="AB94" s="60"/>
      <c r="AC94" s="60"/>
      <c r="AD94" s="60"/>
      <c r="AE94" s="60"/>
      <c r="AF94" s="60"/>
      <c r="AG94" s="60"/>
      <c r="AH94" s="60"/>
      <c r="AI94" s="1"/>
      <c r="AJ94" s="1"/>
      <c r="AK94" s="1"/>
    </row>
    <row r="95" spans="1:37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156" t="e">
        <f t="shared" si="17"/>
        <v>#NUM!</v>
      </c>
      <c r="P95" s="208" t="e">
        <f t="shared" si="18"/>
        <v>#N/A</v>
      </c>
      <c r="Q95" s="156" t="e">
        <f t="shared" si="19"/>
        <v>#VALUE!</v>
      </c>
      <c r="R95" s="156" t="e">
        <f t="shared" si="20"/>
        <v>#VALUE!</v>
      </c>
      <c r="S95" s="156" t="e">
        <f t="shared" si="21"/>
        <v>#VALUE!</v>
      </c>
      <c r="T95" s="149" t="e">
        <f t="shared" si="22"/>
        <v>#VALUE!</v>
      </c>
      <c r="U95" s="157" t="e">
        <f t="shared" si="27"/>
        <v>#NUM!</v>
      </c>
      <c r="V95" s="149" t="e">
        <f t="shared" si="23"/>
        <v>#VALUE!</v>
      </c>
      <c r="W95" s="157" t="e">
        <f t="shared" si="24"/>
        <v>#NUM!</v>
      </c>
      <c r="X95" s="149" t="e">
        <f t="shared" si="25"/>
        <v>#VALUE!</v>
      </c>
      <c r="Y95" s="157" t="e">
        <f t="shared" si="26"/>
        <v>#NUM!</v>
      </c>
      <c r="Z95" s="3"/>
      <c r="AA95" s="60"/>
      <c r="AB95" s="60"/>
      <c r="AC95" s="60"/>
      <c r="AD95" s="60"/>
      <c r="AE95" s="60"/>
      <c r="AF95" s="60"/>
      <c r="AG95" s="60"/>
      <c r="AH95" s="60"/>
      <c r="AI95" s="1"/>
      <c r="AJ95" s="1"/>
      <c r="AK95" s="1"/>
    </row>
    <row r="96" spans="1:37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156" t="e">
        <f t="shared" si="17"/>
        <v>#NUM!</v>
      </c>
      <c r="P96" s="208" t="e">
        <f t="shared" si="18"/>
        <v>#N/A</v>
      </c>
      <c r="Q96" s="156" t="e">
        <f t="shared" si="19"/>
        <v>#VALUE!</v>
      </c>
      <c r="R96" s="156" t="e">
        <f t="shared" si="20"/>
        <v>#VALUE!</v>
      </c>
      <c r="S96" s="156" t="e">
        <f t="shared" si="21"/>
        <v>#VALUE!</v>
      </c>
      <c r="T96" s="149" t="e">
        <f t="shared" si="22"/>
        <v>#VALUE!</v>
      </c>
      <c r="U96" s="157" t="e">
        <f t="shared" si="27"/>
        <v>#NUM!</v>
      </c>
      <c r="V96" s="149" t="e">
        <f t="shared" si="23"/>
        <v>#VALUE!</v>
      </c>
      <c r="W96" s="157" t="e">
        <f t="shared" si="24"/>
        <v>#NUM!</v>
      </c>
      <c r="X96" s="149" t="e">
        <f t="shared" si="25"/>
        <v>#VALUE!</v>
      </c>
      <c r="Y96" s="157" t="e">
        <f t="shared" si="26"/>
        <v>#NUM!</v>
      </c>
      <c r="Z96" s="3"/>
      <c r="AA96" s="60"/>
      <c r="AB96" s="60"/>
      <c r="AC96" s="60"/>
      <c r="AD96" s="60"/>
      <c r="AE96" s="60"/>
      <c r="AF96" s="60"/>
      <c r="AG96" s="60"/>
      <c r="AH96" s="60"/>
      <c r="AI96" s="1"/>
      <c r="AJ96" s="1"/>
      <c r="AK96" s="1"/>
    </row>
    <row r="97" spans="1:37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156" t="e">
        <f t="shared" si="17"/>
        <v>#NUM!</v>
      </c>
      <c r="P97" s="208" t="e">
        <f t="shared" si="18"/>
        <v>#N/A</v>
      </c>
      <c r="Q97" s="156" t="e">
        <f t="shared" si="19"/>
        <v>#VALUE!</v>
      </c>
      <c r="R97" s="156" t="e">
        <f t="shared" si="20"/>
        <v>#VALUE!</v>
      </c>
      <c r="S97" s="156" t="e">
        <f t="shared" si="21"/>
        <v>#VALUE!</v>
      </c>
      <c r="T97" s="149" t="e">
        <f t="shared" si="22"/>
        <v>#VALUE!</v>
      </c>
      <c r="U97" s="157" t="e">
        <f t="shared" si="27"/>
        <v>#NUM!</v>
      </c>
      <c r="V97" s="149" t="e">
        <f t="shared" si="23"/>
        <v>#VALUE!</v>
      </c>
      <c r="W97" s="157" t="e">
        <f t="shared" si="24"/>
        <v>#NUM!</v>
      </c>
      <c r="X97" s="149" t="e">
        <f t="shared" si="25"/>
        <v>#VALUE!</v>
      </c>
      <c r="Y97" s="157" t="e">
        <f t="shared" si="26"/>
        <v>#NUM!</v>
      </c>
      <c r="Z97" s="3"/>
      <c r="AA97" s="60"/>
      <c r="AB97" s="60"/>
      <c r="AC97" s="60"/>
      <c r="AD97" s="60"/>
      <c r="AE97" s="60"/>
      <c r="AF97" s="60"/>
      <c r="AG97" s="60"/>
      <c r="AH97" s="60"/>
      <c r="AI97" s="1"/>
      <c r="AJ97" s="1"/>
      <c r="AK97" s="1"/>
    </row>
    <row r="98" spans="1:37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156" t="e">
        <f t="shared" si="17"/>
        <v>#NUM!</v>
      </c>
      <c r="P98" s="208" t="e">
        <f t="shared" ref="P98:P102" si="28">SQRT(2*$I$16*$K$24)*SQRT((1/$I$1)+((O98-$I$10)^2/$I$7))</f>
        <v>#N/A</v>
      </c>
      <c r="Q98" s="156" t="e">
        <f t="shared" si="19"/>
        <v>#VALUE!</v>
      </c>
      <c r="R98" s="156" t="e">
        <f t="shared" si="20"/>
        <v>#VALUE!</v>
      </c>
      <c r="S98" s="156" t="e">
        <f t="shared" si="21"/>
        <v>#VALUE!</v>
      </c>
      <c r="T98" s="149" t="e">
        <f t="shared" si="22"/>
        <v>#VALUE!</v>
      </c>
      <c r="U98" s="157" t="e">
        <f t="shared" si="27"/>
        <v>#NUM!</v>
      </c>
      <c r="V98" s="149" t="e">
        <f t="shared" si="23"/>
        <v>#VALUE!</v>
      </c>
      <c r="W98" s="157" t="e">
        <f t="shared" si="24"/>
        <v>#NUM!</v>
      </c>
      <c r="X98" s="149" t="e">
        <f t="shared" si="25"/>
        <v>#VALUE!</v>
      </c>
      <c r="Y98" s="157" t="e">
        <f t="shared" si="26"/>
        <v>#NUM!</v>
      </c>
      <c r="Z98" s="3"/>
      <c r="AA98" s="60"/>
      <c r="AB98" s="60"/>
      <c r="AC98" s="60"/>
      <c r="AD98" s="60"/>
      <c r="AE98" s="60"/>
      <c r="AF98" s="60"/>
      <c r="AG98" s="60"/>
      <c r="AH98" s="60"/>
      <c r="AI98" s="1"/>
      <c r="AJ98" s="1"/>
      <c r="AK98" s="1"/>
    </row>
    <row r="99" spans="1:37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156" t="e">
        <f t="shared" si="17"/>
        <v>#NUM!</v>
      </c>
      <c r="P99" s="208" t="e">
        <f t="shared" si="28"/>
        <v>#N/A</v>
      </c>
      <c r="Q99" s="156" t="e">
        <f t="shared" si="19"/>
        <v>#VALUE!</v>
      </c>
      <c r="R99" s="156" t="e">
        <f t="shared" si="20"/>
        <v>#VALUE!</v>
      </c>
      <c r="S99" s="156" t="e">
        <f t="shared" si="21"/>
        <v>#VALUE!</v>
      </c>
      <c r="T99" s="149" t="e">
        <f t="shared" si="22"/>
        <v>#VALUE!</v>
      </c>
      <c r="U99" s="157" t="e">
        <f t="shared" si="27"/>
        <v>#NUM!</v>
      </c>
      <c r="V99" s="149" t="e">
        <f t="shared" si="23"/>
        <v>#VALUE!</v>
      </c>
      <c r="W99" s="157" t="e">
        <f t="shared" si="24"/>
        <v>#NUM!</v>
      </c>
      <c r="X99" s="149" t="e">
        <f t="shared" si="25"/>
        <v>#VALUE!</v>
      </c>
      <c r="Y99" s="157" t="e">
        <f t="shared" si="26"/>
        <v>#NUM!</v>
      </c>
      <c r="Z99" s="3"/>
      <c r="AA99" s="60"/>
      <c r="AB99" s="60"/>
      <c r="AC99" s="60"/>
      <c r="AD99" s="60"/>
      <c r="AE99" s="60"/>
      <c r="AF99" s="60"/>
      <c r="AG99" s="60"/>
      <c r="AH99" s="60"/>
      <c r="AI99" s="1"/>
      <c r="AJ99" s="1"/>
      <c r="AK99" s="1"/>
    </row>
    <row r="100" spans="1:37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156" t="e">
        <f t="shared" si="17"/>
        <v>#NUM!</v>
      </c>
      <c r="P100" s="208" t="e">
        <f t="shared" si="28"/>
        <v>#N/A</v>
      </c>
      <c r="Q100" s="156" t="e">
        <f t="shared" si="19"/>
        <v>#VALUE!</v>
      </c>
      <c r="R100" s="156" t="e">
        <f t="shared" si="20"/>
        <v>#VALUE!</v>
      </c>
      <c r="S100" s="156" t="e">
        <f t="shared" si="21"/>
        <v>#VALUE!</v>
      </c>
      <c r="T100" s="149" t="e">
        <f t="shared" si="22"/>
        <v>#VALUE!</v>
      </c>
      <c r="U100" s="157" t="e">
        <f t="shared" si="27"/>
        <v>#NUM!</v>
      </c>
      <c r="V100" s="149" t="e">
        <f t="shared" si="23"/>
        <v>#VALUE!</v>
      </c>
      <c r="W100" s="157" t="e">
        <f t="shared" si="24"/>
        <v>#NUM!</v>
      </c>
      <c r="X100" s="149" t="e">
        <f t="shared" si="25"/>
        <v>#VALUE!</v>
      </c>
      <c r="Y100" s="157" t="e">
        <f t="shared" si="26"/>
        <v>#NUM!</v>
      </c>
      <c r="Z100" s="3"/>
      <c r="AA100" s="60"/>
      <c r="AB100" s="60"/>
      <c r="AC100" s="60"/>
      <c r="AD100" s="60"/>
      <c r="AE100" s="60"/>
      <c r="AF100" s="60"/>
      <c r="AG100" s="60"/>
      <c r="AH100" s="60"/>
      <c r="AI100" s="1"/>
      <c r="AJ100" s="1"/>
      <c r="AK100" s="1"/>
    </row>
    <row r="101" spans="1:37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156" t="e">
        <f t="shared" si="17"/>
        <v>#NUM!</v>
      </c>
      <c r="P101" s="208" t="e">
        <f t="shared" si="28"/>
        <v>#N/A</v>
      </c>
      <c r="Q101" s="156" t="e">
        <f t="shared" si="19"/>
        <v>#VALUE!</v>
      </c>
      <c r="R101" s="156" t="e">
        <f t="shared" si="20"/>
        <v>#VALUE!</v>
      </c>
      <c r="S101" s="156" t="e">
        <f t="shared" si="21"/>
        <v>#VALUE!</v>
      </c>
      <c r="T101" s="149" t="e">
        <f t="shared" si="22"/>
        <v>#VALUE!</v>
      </c>
      <c r="U101" s="157" t="e">
        <f t="shared" si="27"/>
        <v>#NUM!</v>
      </c>
      <c r="V101" s="149" t="e">
        <f t="shared" si="23"/>
        <v>#VALUE!</v>
      </c>
      <c r="W101" s="157" t="e">
        <f t="shared" si="24"/>
        <v>#NUM!</v>
      </c>
      <c r="X101" s="149" t="e">
        <f t="shared" si="25"/>
        <v>#VALUE!</v>
      </c>
      <c r="Y101" s="157" t="e">
        <f t="shared" si="26"/>
        <v>#NUM!</v>
      </c>
      <c r="Z101" s="3"/>
      <c r="AA101" s="60"/>
      <c r="AB101" s="60"/>
      <c r="AC101" s="60"/>
      <c r="AD101" s="60"/>
      <c r="AE101" s="60"/>
      <c r="AF101" s="60"/>
      <c r="AG101" s="60"/>
      <c r="AH101" s="60"/>
      <c r="AI101" s="1"/>
      <c r="AJ101" s="1"/>
      <c r="AK101" s="1"/>
    </row>
    <row r="102" spans="1:37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156" t="e">
        <f t="shared" si="17"/>
        <v>#NUM!</v>
      </c>
      <c r="P102" s="208" t="e">
        <f t="shared" si="28"/>
        <v>#N/A</v>
      </c>
      <c r="Q102" s="156" t="e">
        <f t="shared" si="19"/>
        <v>#VALUE!</v>
      </c>
      <c r="R102" s="156" t="e">
        <f t="shared" si="20"/>
        <v>#VALUE!</v>
      </c>
      <c r="S102" s="156" t="e">
        <f t="shared" si="21"/>
        <v>#VALUE!</v>
      </c>
      <c r="T102" s="149" t="e">
        <f t="shared" si="22"/>
        <v>#VALUE!</v>
      </c>
      <c r="U102" s="157" t="e">
        <f t="shared" si="27"/>
        <v>#NUM!</v>
      </c>
      <c r="V102" s="149" t="e">
        <f t="shared" si="23"/>
        <v>#VALUE!</v>
      </c>
      <c r="W102" s="157" t="e">
        <f t="shared" si="24"/>
        <v>#NUM!</v>
      </c>
      <c r="X102" s="149" t="e">
        <f t="shared" si="25"/>
        <v>#VALUE!</v>
      </c>
      <c r="Y102" s="157" t="e">
        <f t="shared" si="26"/>
        <v>#NUM!</v>
      </c>
      <c r="Z102" s="3"/>
      <c r="AA102" s="60"/>
      <c r="AB102" s="60"/>
      <c r="AC102" s="60"/>
      <c r="AD102" s="60"/>
      <c r="AE102" s="60"/>
      <c r="AF102" s="60"/>
      <c r="AG102" s="60"/>
      <c r="AH102" s="60"/>
      <c r="AI102" s="1"/>
      <c r="AJ102" s="1"/>
      <c r="AK102" s="1"/>
    </row>
    <row r="103" spans="1:37" x14ac:dyDescent="0.2"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2"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2"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x14ac:dyDescent="0.2"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2"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x14ac:dyDescent="0.2"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2"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"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x14ac:dyDescent="0.2"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x14ac:dyDescent="0.2"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21:37" x14ac:dyDescent="0.2"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21:37" x14ac:dyDescent="0.2"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21:37" x14ac:dyDescent="0.2"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21:37" x14ac:dyDescent="0.2"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21:37" x14ac:dyDescent="0.2"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21:37" x14ac:dyDescent="0.2"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21:37" x14ac:dyDescent="0.2"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21:37" x14ac:dyDescent="0.2"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21:37" x14ac:dyDescent="0.2"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21:37" x14ac:dyDescent="0.2"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21:37" x14ac:dyDescent="0.2"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</sheetData>
  <mergeCells count="3">
    <mergeCell ref="T1:U1"/>
    <mergeCell ref="V1:W1"/>
    <mergeCell ref="X1:Y1"/>
  </mergeCells>
  <pageMargins left="0.75" right="0.75" top="1" bottom="1" header="0.5" footer="0.5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3"/>
  <sheetViews>
    <sheetView zoomScale="75" workbookViewId="0">
      <selection activeCell="J14" sqref="J14"/>
    </sheetView>
  </sheetViews>
  <sheetFormatPr defaultRowHeight="12.75" x14ac:dyDescent="0.2"/>
  <cols>
    <col min="1" max="1" width="12.140625" customWidth="1"/>
    <col min="2" max="2" width="13.7109375" bestFit="1" customWidth="1"/>
    <col min="3" max="7" width="9" bestFit="1" customWidth="1"/>
    <col min="8" max="8" width="15.28515625" customWidth="1"/>
    <col min="9" max="10" width="12.7109375" customWidth="1"/>
    <col min="11" max="11" width="15.42578125" customWidth="1"/>
    <col min="12" max="12" width="12.7109375" customWidth="1"/>
    <col min="13" max="13" width="10.5703125" bestFit="1" customWidth="1"/>
    <col min="14" max="19" width="13.140625" customWidth="1"/>
    <col min="20" max="25" width="9" customWidth="1"/>
    <col min="26" max="26" width="26.85546875" customWidth="1"/>
    <col min="27" max="27" width="14.85546875" customWidth="1"/>
    <col min="28" max="28" width="12.42578125" customWidth="1"/>
    <col min="29" max="29" width="16.7109375" customWidth="1"/>
    <col min="31" max="31" width="16.42578125" customWidth="1"/>
    <col min="32" max="32" width="11.28515625" customWidth="1"/>
    <col min="33" max="33" width="13" customWidth="1"/>
    <col min="34" max="34" width="13.42578125" customWidth="1"/>
  </cols>
  <sheetData>
    <row r="1" spans="1:37" ht="13.5" thickBot="1" x14ac:dyDescent="0.25">
      <c r="A1" s="152" t="s">
        <v>27</v>
      </c>
      <c r="B1" s="152"/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153" t="s">
        <v>33</v>
      </c>
      <c r="I1" s="154">
        <f>COUNT(C:C)</f>
        <v>0</v>
      </c>
      <c r="J1" s="3"/>
      <c r="K1" s="3"/>
      <c r="L1" s="3"/>
      <c r="M1" s="60" t="s">
        <v>28</v>
      </c>
      <c r="N1" s="60" t="s">
        <v>34</v>
      </c>
      <c r="O1" s="60" t="s">
        <v>28</v>
      </c>
      <c r="P1" s="60" t="s">
        <v>35</v>
      </c>
      <c r="Q1" s="60" t="s">
        <v>36</v>
      </c>
      <c r="R1" s="60" t="s">
        <v>37</v>
      </c>
      <c r="S1" s="60" t="s">
        <v>38</v>
      </c>
      <c r="T1" s="229" t="s">
        <v>39</v>
      </c>
      <c r="U1" s="229"/>
      <c r="V1" s="229" t="s">
        <v>40</v>
      </c>
      <c r="W1" s="229"/>
      <c r="X1" s="229" t="s">
        <v>41</v>
      </c>
      <c r="Y1" s="229"/>
      <c r="Z1" s="3" t="s">
        <v>42</v>
      </c>
      <c r="AA1" s="3"/>
      <c r="AB1" s="3"/>
      <c r="AC1" s="3"/>
      <c r="AD1" s="3"/>
      <c r="AE1" s="3"/>
      <c r="AF1" s="3"/>
      <c r="AG1" s="3"/>
      <c r="AH1" s="3"/>
      <c r="AI1" s="1"/>
      <c r="AJ1" s="1"/>
      <c r="AK1" s="1"/>
    </row>
    <row r="2" spans="1:37" ht="13.5" thickBot="1" x14ac:dyDescent="0.25">
      <c r="A2" s="49">
        <f>+Results!F23</f>
        <v>0</v>
      </c>
      <c r="B2" s="49" t="str">
        <f>+Results!E23</f>
        <v>Statisk</v>
      </c>
      <c r="C2" s="50" t="e">
        <f t="shared" ref="C2:D5" si="0">LOG(A2)</f>
        <v>#NUM!</v>
      </c>
      <c r="D2" s="50" t="e">
        <f t="shared" si="0"/>
        <v>#VALUE!</v>
      </c>
      <c r="E2" s="50" t="e">
        <f t="shared" ref="E2:F5" si="1">+C2^2</f>
        <v>#NUM!</v>
      </c>
      <c r="F2" s="50" t="e">
        <f t="shared" si="1"/>
        <v>#VALUE!</v>
      </c>
      <c r="G2" s="3" t="e">
        <f>+C2*D2</f>
        <v>#NUM!</v>
      </c>
      <c r="H2" s="155" t="s">
        <v>43</v>
      </c>
      <c r="I2" s="56" t="e">
        <f>SUM(C:C)</f>
        <v>#NUM!</v>
      </c>
      <c r="J2" s="50"/>
      <c r="K2" s="50"/>
      <c r="L2" s="50"/>
      <c r="M2" s="150" t="e">
        <f t="shared" ref="M2:M19" si="2">+C2</f>
        <v>#NUM!</v>
      </c>
      <c r="N2" s="156" t="e">
        <f t="shared" ref="N2:N19" si="3">+$I$13+$I$12*M2</f>
        <v>#VALUE!</v>
      </c>
      <c r="O2" s="156" t="e">
        <f t="shared" ref="O2:O65" si="4">LOG($I$19+($I$20-$I$19)*(ROW()-2)/100)</f>
        <v>#NUM!</v>
      </c>
      <c r="P2" s="208" t="e">
        <f t="shared" ref="P2:P33" si="5">SQRT(2*$I$16*$K$24)*SQRT((1/$I$1)+((O2-$I$10)^2/$I$7))</f>
        <v>#N/A</v>
      </c>
      <c r="Q2" s="156" t="e">
        <f t="shared" ref="Q2:Q65" si="6">+$I$13+$I$12*O2</f>
        <v>#VALUE!</v>
      </c>
      <c r="R2" s="156" t="e">
        <f t="shared" ref="R2:R65" si="7">+$I$13+$I$12*O2-P2</f>
        <v>#VALUE!</v>
      </c>
      <c r="S2" s="156" t="e">
        <f t="shared" ref="S2:S65" si="8">+$I$13+$I$12*O2+P2</f>
        <v>#VALUE!</v>
      </c>
      <c r="T2" s="149" t="e">
        <f t="shared" ref="T2:T65" si="9">10^Q2</f>
        <v>#VALUE!</v>
      </c>
      <c r="U2" s="157" t="e">
        <f>10^$O2</f>
        <v>#NUM!</v>
      </c>
      <c r="V2" s="149" t="e">
        <f t="shared" ref="V2:V65" si="10">10^R2</f>
        <v>#VALUE!</v>
      </c>
      <c r="W2" s="157" t="e">
        <f t="shared" ref="W2:W65" si="11">10^$O2</f>
        <v>#NUM!</v>
      </c>
      <c r="X2" s="149" t="e">
        <f t="shared" ref="X2:X65" si="12">10^S2</f>
        <v>#VALUE!</v>
      </c>
      <c r="Y2" s="157" t="e">
        <f t="shared" ref="Y2:Y65" si="13">10^$O2</f>
        <v>#NUM!</v>
      </c>
      <c r="Z2" s="3"/>
      <c r="AA2" s="3"/>
      <c r="AB2" s="3"/>
      <c r="AC2" s="3"/>
      <c r="AD2" s="3"/>
      <c r="AE2" s="3"/>
      <c r="AF2" s="3"/>
      <c r="AG2" s="3"/>
      <c r="AH2" s="3"/>
      <c r="AI2" s="1"/>
      <c r="AJ2" s="1"/>
      <c r="AK2" s="1"/>
    </row>
    <row r="3" spans="1:37" x14ac:dyDescent="0.2">
      <c r="A3" s="49">
        <f>+Results!F24</f>
        <v>0</v>
      </c>
      <c r="B3" s="49" t="str">
        <f>+Results!E24</f>
        <v>Statisk</v>
      </c>
      <c r="C3" s="50" t="e">
        <f t="shared" si="0"/>
        <v>#NUM!</v>
      </c>
      <c r="D3" s="50" t="e">
        <f t="shared" si="0"/>
        <v>#VALUE!</v>
      </c>
      <c r="E3" s="50" t="e">
        <f t="shared" si="1"/>
        <v>#NUM!</v>
      </c>
      <c r="F3" s="50" t="e">
        <f t="shared" si="1"/>
        <v>#VALUE!</v>
      </c>
      <c r="G3" s="3" t="e">
        <f t="shared" ref="G3:G5" si="14">+C3*D3</f>
        <v>#NUM!</v>
      </c>
      <c r="H3" s="158" t="s">
        <v>44</v>
      </c>
      <c r="I3" s="56" t="e">
        <f>SUM(D:D)</f>
        <v>#VALUE!</v>
      </c>
      <c r="J3" s="50"/>
      <c r="K3" s="50"/>
      <c r="L3" s="50"/>
      <c r="M3" s="150" t="e">
        <f t="shared" si="2"/>
        <v>#NUM!</v>
      </c>
      <c r="N3" s="156" t="e">
        <f t="shared" si="3"/>
        <v>#VALUE!</v>
      </c>
      <c r="O3" s="156" t="e">
        <f t="shared" si="4"/>
        <v>#NUM!</v>
      </c>
      <c r="P3" s="208" t="e">
        <f t="shared" si="5"/>
        <v>#N/A</v>
      </c>
      <c r="Q3" s="156" t="e">
        <f t="shared" si="6"/>
        <v>#VALUE!</v>
      </c>
      <c r="R3" s="156" t="e">
        <f t="shared" si="7"/>
        <v>#VALUE!</v>
      </c>
      <c r="S3" s="156" t="e">
        <f t="shared" si="8"/>
        <v>#VALUE!</v>
      </c>
      <c r="T3" s="149" t="e">
        <f t="shared" si="9"/>
        <v>#VALUE!</v>
      </c>
      <c r="U3" s="157" t="e">
        <f t="shared" ref="U3:U66" si="15">10^O3</f>
        <v>#NUM!</v>
      </c>
      <c r="V3" s="149" t="e">
        <f t="shared" si="10"/>
        <v>#VALUE!</v>
      </c>
      <c r="W3" s="157" t="e">
        <f t="shared" si="11"/>
        <v>#NUM!</v>
      </c>
      <c r="X3" s="149" t="e">
        <f t="shared" si="12"/>
        <v>#VALUE!</v>
      </c>
      <c r="Y3" s="157" t="e">
        <f t="shared" si="13"/>
        <v>#NUM!</v>
      </c>
      <c r="Z3" s="159" t="s">
        <v>45</v>
      </c>
      <c r="AA3" s="159"/>
      <c r="AB3" s="3"/>
      <c r="AC3" s="3"/>
      <c r="AD3" s="3"/>
      <c r="AE3" s="3"/>
      <c r="AF3" s="3"/>
      <c r="AG3" s="3"/>
      <c r="AH3" s="3"/>
      <c r="AI3" s="1"/>
      <c r="AJ3" s="1"/>
      <c r="AK3" s="1"/>
    </row>
    <row r="4" spans="1:37" x14ac:dyDescent="0.2">
      <c r="A4" s="49">
        <f>+Results!F25</f>
        <v>0</v>
      </c>
      <c r="B4" s="49" t="str">
        <f>+Results!E25</f>
        <v>Statisk</v>
      </c>
      <c r="C4" s="50" t="e">
        <f t="shared" si="0"/>
        <v>#NUM!</v>
      </c>
      <c r="D4" s="50" t="e">
        <f t="shared" si="0"/>
        <v>#VALUE!</v>
      </c>
      <c r="E4" s="50" t="e">
        <f t="shared" si="1"/>
        <v>#NUM!</v>
      </c>
      <c r="F4" s="50" t="e">
        <f t="shared" si="1"/>
        <v>#VALUE!</v>
      </c>
      <c r="G4" s="3" t="e">
        <f t="shared" si="14"/>
        <v>#NUM!</v>
      </c>
      <c r="H4" s="158" t="s">
        <v>46</v>
      </c>
      <c r="I4" s="56" t="e">
        <f>SUM(E:E)</f>
        <v>#NUM!</v>
      </c>
      <c r="J4" s="50"/>
      <c r="K4" s="50"/>
      <c r="L4" s="50"/>
      <c r="M4" s="150" t="e">
        <f t="shared" si="2"/>
        <v>#NUM!</v>
      </c>
      <c r="N4" s="156" t="e">
        <f t="shared" si="3"/>
        <v>#VALUE!</v>
      </c>
      <c r="O4" s="156" t="e">
        <f t="shared" si="4"/>
        <v>#NUM!</v>
      </c>
      <c r="P4" s="208" t="e">
        <f t="shared" si="5"/>
        <v>#N/A</v>
      </c>
      <c r="Q4" s="156" t="e">
        <f t="shared" si="6"/>
        <v>#VALUE!</v>
      </c>
      <c r="R4" s="156" t="e">
        <f t="shared" si="7"/>
        <v>#VALUE!</v>
      </c>
      <c r="S4" s="156" t="e">
        <f t="shared" si="8"/>
        <v>#VALUE!</v>
      </c>
      <c r="T4" s="149" t="e">
        <f t="shared" si="9"/>
        <v>#VALUE!</v>
      </c>
      <c r="U4" s="157" t="e">
        <f t="shared" si="15"/>
        <v>#NUM!</v>
      </c>
      <c r="V4" s="149" t="e">
        <f t="shared" si="10"/>
        <v>#VALUE!</v>
      </c>
      <c r="W4" s="157" t="e">
        <f t="shared" si="11"/>
        <v>#NUM!</v>
      </c>
      <c r="X4" s="149" t="e">
        <f t="shared" si="12"/>
        <v>#VALUE!</v>
      </c>
      <c r="Y4" s="157" t="e">
        <f t="shared" si="13"/>
        <v>#NUM!</v>
      </c>
      <c r="Z4" s="160" t="s">
        <v>47</v>
      </c>
      <c r="AA4" s="160">
        <v>0.88244046806828758</v>
      </c>
      <c r="AB4" s="3"/>
      <c r="AC4" s="3"/>
      <c r="AD4" s="3"/>
      <c r="AE4" s="3"/>
      <c r="AF4" s="3"/>
      <c r="AG4" s="3"/>
      <c r="AH4" s="3"/>
      <c r="AI4" s="1"/>
      <c r="AJ4" s="1"/>
      <c r="AK4" s="1"/>
    </row>
    <row r="5" spans="1:37" x14ac:dyDescent="0.2">
      <c r="A5" s="49">
        <f>+Results!F26</f>
        <v>0</v>
      </c>
      <c r="B5" s="49">
        <f>+Results!E26</f>
        <v>0</v>
      </c>
      <c r="C5" s="50" t="e">
        <f t="shared" si="0"/>
        <v>#NUM!</v>
      </c>
      <c r="D5" s="50" t="e">
        <f t="shared" si="0"/>
        <v>#NUM!</v>
      </c>
      <c r="E5" s="50" t="e">
        <f t="shared" si="1"/>
        <v>#NUM!</v>
      </c>
      <c r="F5" s="50" t="e">
        <f t="shared" si="1"/>
        <v>#NUM!</v>
      </c>
      <c r="G5" s="3" t="e">
        <f t="shared" si="14"/>
        <v>#NUM!</v>
      </c>
      <c r="H5" s="158" t="s">
        <v>48</v>
      </c>
      <c r="I5" s="56" t="e">
        <f>SUM(F:F)</f>
        <v>#VALUE!</v>
      </c>
      <c r="J5" s="50"/>
      <c r="K5" s="50"/>
      <c r="L5" s="50"/>
      <c r="M5" s="150" t="e">
        <f t="shared" si="2"/>
        <v>#NUM!</v>
      </c>
      <c r="N5" s="156" t="e">
        <f t="shared" si="3"/>
        <v>#VALUE!</v>
      </c>
      <c r="O5" s="156" t="e">
        <f t="shared" si="4"/>
        <v>#NUM!</v>
      </c>
      <c r="P5" s="208" t="e">
        <f t="shared" si="5"/>
        <v>#N/A</v>
      </c>
      <c r="Q5" s="156" t="e">
        <f t="shared" si="6"/>
        <v>#VALUE!</v>
      </c>
      <c r="R5" s="156" t="e">
        <f t="shared" si="7"/>
        <v>#VALUE!</v>
      </c>
      <c r="S5" s="156" t="e">
        <f t="shared" si="8"/>
        <v>#VALUE!</v>
      </c>
      <c r="T5" s="149" t="e">
        <f t="shared" si="9"/>
        <v>#VALUE!</v>
      </c>
      <c r="U5" s="157" t="e">
        <f t="shared" si="15"/>
        <v>#NUM!</v>
      </c>
      <c r="V5" s="149" t="e">
        <f t="shared" si="10"/>
        <v>#VALUE!</v>
      </c>
      <c r="W5" s="157" t="e">
        <f t="shared" si="11"/>
        <v>#NUM!</v>
      </c>
      <c r="X5" s="149" t="e">
        <f t="shared" si="12"/>
        <v>#VALUE!</v>
      </c>
      <c r="Y5" s="157" t="e">
        <f t="shared" si="13"/>
        <v>#NUM!</v>
      </c>
      <c r="Z5" s="160" t="s">
        <v>49</v>
      </c>
      <c r="AA5" s="160">
        <v>0.77870117968457842</v>
      </c>
      <c r="AB5" s="3"/>
      <c r="AC5" s="3"/>
      <c r="AD5" s="3"/>
      <c r="AE5" s="3"/>
      <c r="AF5" s="3"/>
      <c r="AG5" s="3"/>
      <c r="AH5" s="3"/>
      <c r="AI5" s="1"/>
      <c r="AJ5" s="1"/>
      <c r="AK5" s="1"/>
    </row>
    <row r="6" spans="1:37" x14ac:dyDescent="0.2">
      <c r="A6" s="49"/>
      <c r="B6" s="49"/>
      <c r="C6" s="50"/>
      <c r="D6" s="50"/>
      <c r="E6" s="50"/>
      <c r="F6" s="50"/>
      <c r="G6" s="3"/>
      <c r="H6" s="158" t="s">
        <v>50</v>
      </c>
      <c r="I6" s="56" t="e">
        <f>SUM(G:G)</f>
        <v>#NUM!</v>
      </c>
      <c r="J6" s="50"/>
      <c r="K6" s="50"/>
      <c r="L6" s="50"/>
      <c r="M6" s="150">
        <f t="shared" si="2"/>
        <v>0</v>
      </c>
      <c r="N6" s="156" t="e">
        <f t="shared" si="3"/>
        <v>#VALUE!</v>
      </c>
      <c r="O6" s="156" t="e">
        <f t="shared" si="4"/>
        <v>#NUM!</v>
      </c>
      <c r="P6" s="208" t="e">
        <f t="shared" si="5"/>
        <v>#N/A</v>
      </c>
      <c r="Q6" s="156" t="e">
        <f t="shared" si="6"/>
        <v>#VALUE!</v>
      </c>
      <c r="R6" s="156" t="e">
        <f t="shared" si="7"/>
        <v>#VALUE!</v>
      </c>
      <c r="S6" s="156" t="e">
        <f t="shared" si="8"/>
        <v>#VALUE!</v>
      </c>
      <c r="T6" s="149" t="e">
        <f t="shared" si="9"/>
        <v>#VALUE!</v>
      </c>
      <c r="U6" s="157" t="e">
        <f t="shared" si="15"/>
        <v>#NUM!</v>
      </c>
      <c r="V6" s="149" t="e">
        <f t="shared" si="10"/>
        <v>#VALUE!</v>
      </c>
      <c r="W6" s="157" t="e">
        <f t="shared" si="11"/>
        <v>#NUM!</v>
      </c>
      <c r="X6" s="149" t="e">
        <f t="shared" si="12"/>
        <v>#VALUE!</v>
      </c>
      <c r="Y6" s="157" t="e">
        <f t="shared" si="13"/>
        <v>#NUM!</v>
      </c>
      <c r="Z6" s="160" t="s">
        <v>51</v>
      </c>
      <c r="AA6" s="160">
        <v>0.75103882714515069</v>
      </c>
      <c r="AB6" s="3"/>
      <c r="AC6" s="3"/>
      <c r="AD6" s="3"/>
      <c r="AE6" s="3"/>
      <c r="AF6" s="3"/>
      <c r="AG6" s="3"/>
      <c r="AH6" s="3"/>
      <c r="AI6" s="1"/>
      <c r="AJ6" s="1"/>
      <c r="AK6" s="1"/>
    </row>
    <row r="7" spans="1:37" x14ac:dyDescent="0.2">
      <c r="A7" s="49"/>
      <c r="B7" s="49"/>
      <c r="C7" s="50"/>
      <c r="D7" s="50"/>
      <c r="E7" s="50"/>
      <c r="F7" s="50"/>
      <c r="G7" s="3"/>
      <c r="H7" s="155" t="s">
        <v>52</v>
      </c>
      <c r="I7" s="161" t="e">
        <f>+I4-I2^2/$I$1</f>
        <v>#NUM!</v>
      </c>
      <c r="J7" s="3"/>
      <c r="K7" s="3"/>
      <c r="L7" s="3"/>
      <c r="M7" s="150">
        <f t="shared" si="2"/>
        <v>0</v>
      </c>
      <c r="N7" s="156" t="e">
        <f t="shared" si="3"/>
        <v>#VALUE!</v>
      </c>
      <c r="O7" s="156" t="e">
        <f t="shared" si="4"/>
        <v>#NUM!</v>
      </c>
      <c r="P7" s="208" t="e">
        <f t="shared" si="5"/>
        <v>#N/A</v>
      </c>
      <c r="Q7" s="156" t="e">
        <f t="shared" si="6"/>
        <v>#VALUE!</v>
      </c>
      <c r="R7" s="156" t="e">
        <f t="shared" si="7"/>
        <v>#VALUE!</v>
      </c>
      <c r="S7" s="156" t="e">
        <f t="shared" si="8"/>
        <v>#VALUE!</v>
      </c>
      <c r="T7" s="149" t="e">
        <f t="shared" si="9"/>
        <v>#VALUE!</v>
      </c>
      <c r="U7" s="157" t="e">
        <f t="shared" si="15"/>
        <v>#NUM!</v>
      </c>
      <c r="V7" s="149" t="e">
        <f t="shared" si="10"/>
        <v>#VALUE!</v>
      </c>
      <c r="W7" s="157" t="e">
        <f t="shared" si="11"/>
        <v>#NUM!</v>
      </c>
      <c r="X7" s="149" t="e">
        <f t="shared" si="12"/>
        <v>#VALUE!</v>
      </c>
      <c r="Y7" s="157" t="e">
        <f t="shared" si="13"/>
        <v>#NUM!</v>
      </c>
      <c r="Z7" s="160" t="s">
        <v>53</v>
      </c>
      <c r="AA7" s="160">
        <v>4.8757093884921039</v>
      </c>
      <c r="AB7" s="3"/>
      <c r="AC7" s="3"/>
      <c r="AD7" s="3"/>
      <c r="AE7" s="3"/>
      <c r="AF7" s="3"/>
      <c r="AG7" s="3"/>
      <c r="AH7" s="3"/>
      <c r="AI7" s="1"/>
      <c r="AJ7" s="1"/>
      <c r="AK7" s="1"/>
    </row>
    <row r="8" spans="1:37" ht="15" thickBot="1" x14ac:dyDescent="0.3">
      <c r="A8" s="49"/>
      <c r="B8" s="49"/>
      <c r="C8" s="50"/>
      <c r="D8" s="50"/>
      <c r="E8" s="50"/>
      <c r="F8" s="50"/>
      <c r="G8" s="3"/>
      <c r="H8" s="158" t="s">
        <v>118</v>
      </c>
      <c r="I8" s="162" t="e">
        <f>+I5-I3^2/$I$1</f>
        <v>#VALUE!</v>
      </c>
      <c r="J8" s="148"/>
      <c r="K8" s="148"/>
      <c r="L8" s="148"/>
      <c r="M8" s="150">
        <f t="shared" si="2"/>
        <v>0</v>
      </c>
      <c r="N8" s="156" t="e">
        <f t="shared" si="3"/>
        <v>#VALUE!</v>
      </c>
      <c r="O8" s="156" t="e">
        <f t="shared" si="4"/>
        <v>#NUM!</v>
      </c>
      <c r="P8" s="208" t="e">
        <f t="shared" si="5"/>
        <v>#N/A</v>
      </c>
      <c r="Q8" s="156" t="e">
        <f t="shared" si="6"/>
        <v>#VALUE!</v>
      </c>
      <c r="R8" s="156" t="e">
        <f t="shared" si="7"/>
        <v>#VALUE!</v>
      </c>
      <c r="S8" s="156" t="e">
        <f t="shared" si="8"/>
        <v>#VALUE!</v>
      </c>
      <c r="T8" s="149" t="e">
        <f t="shared" si="9"/>
        <v>#VALUE!</v>
      </c>
      <c r="U8" s="157" t="e">
        <f t="shared" si="15"/>
        <v>#NUM!</v>
      </c>
      <c r="V8" s="149" t="e">
        <f t="shared" si="10"/>
        <v>#VALUE!</v>
      </c>
      <c r="W8" s="157" t="e">
        <f t="shared" si="11"/>
        <v>#NUM!</v>
      </c>
      <c r="X8" s="149" t="e">
        <f t="shared" si="12"/>
        <v>#VALUE!</v>
      </c>
      <c r="Y8" s="157" t="e">
        <f t="shared" si="13"/>
        <v>#NUM!</v>
      </c>
      <c r="Z8" s="163" t="s">
        <v>54</v>
      </c>
      <c r="AA8" s="163">
        <v>10</v>
      </c>
      <c r="AB8" s="3"/>
      <c r="AC8" s="3"/>
      <c r="AD8" s="3"/>
      <c r="AE8" s="3"/>
      <c r="AF8" s="3"/>
      <c r="AG8" s="3"/>
      <c r="AH8" s="3"/>
      <c r="AI8" s="1"/>
      <c r="AJ8" s="1"/>
      <c r="AK8" s="1"/>
    </row>
    <row r="9" spans="1:37" ht="13.5" thickBot="1" x14ac:dyDescent="0.25">
      <c r="A9" s="49"/>
      <c r="B9" s="49"/>
      <c r="C9" s="50"/>
      <c r="D9" s="50"/>
      <c r="E9" s="50"/>
      <c r="F9" s="50"/>
      <c r="G9" s="3"/>
      <c r="H9" s="164" t="s">
        <v>55</v>
      </c>
      <c r="I9" s="165" t="e">
        <f>+I6-I2*I3/$I$1</f>
        <v>#NUM!</v>
      </c>
      <c r="J9" s="3"/>
      <c r="K9" s="3"/>
      <c r="L9" s="3"/>
      <c r="M9" s="150">
        <f t="shared" si="2"/>
        <v>0</v>
      </c>
      <c r="N9" s="156" t="e">
        <f t="shared" si="3"/>
        <v>#VALUE!</v>
      </c>
      <c r="O9" s="156" t="e">
        <f t="shared" si="4"/>
        <v>#NUM!</v>
      </c>
      <c r="P9" s="208" t="e">
        <f t="shared" si="5"/>
        <v>#N/A</v>
      </c>
      <c r="Q9" s="156" t="e">
        <f t="shared" si="6"/>
        <v>#VALUE!</v>
      </c>
      <c r="R9" s="156" t="e">
        <f t="shared" si="7"/>
        <v>#VALUE!</v>
      </c>
      <c r="S9" s="156" t="e">
        <f t="shared" si="8"/>
        <v>#VALUE!</v>
      </c>
      <c r="T9" s="149" t="e">
        <f t="shared" si="9"/>
        <v>#VALUE!</v>
      </c>
      <c r="U9" s="157" t="e">
        <f t="shared" si="15"/>
        <v>#NUM!</v>
      </c>
      <c r="V9" s="149" t="e">
        <f t="shared" si="10"/>
        <v>#VALUE!</v>
      </c>
      <c r="W9" s="157" t="e">
        <f t="shared" si="11"/>
        <v>#NUM!</v>
      </c>
      <c r="X9" s="149" t="e">
        <f t="shared" si="12"/>
        <v>#VALUE!</v>
      </c>
      <c r="Y9" s="157" t="e">
        <f t="shared" si="13"/>
        <v>#NUM!</v>
      </c>
      <c r="Z9" s="3"/>
      <c r="AA9" s="3"/>
      <c r="AB9" s="3"/>
      <c r="AC9" s="3"/>
      <c r="AD9" s="3"/>
      <c r="AE9" s="3"/>
      <c r="AF9" s="3"/>
      <c r="AG9" s="3"/>
      <c r="AH9" s="3"/>
      <c r="AI9" s="1"/>
      <c r="AJ9" s="1"/>
      <c r="AK9" s="1"/>
    </row>
    <row r="10" spans="1:37" ht="13.5" thickBot="1" x14ac:dyDescent="0.25">
      <c r="A10" s="49"/>
      <c r="B10" s="49"/>
      <c r="C10" s="50"/>
      <c r="D10" s="50"/>
      <c r="E10" s="50"/>
      <c r="F10" s="50"/>
      <c r="G10" s="3"/>
      <c r="H10" s="166" t="s">
        <v>56</v>
      </c>
      <c r="I10" s="154" t="e">
        <f>+I2/$I$1</f>
        <v>#NUM!</v>
      </c>
      <c r="J10" s="3"/>
      <c r="K10" s="3"/>
      <c r="L10" s="3"/>
      <c r="M10" s="150">
        <f t="shared" si="2"/>
        <v>0</v>
      </c>
      <c r="N10" s="156" t="e">
        <f t="shared" si="3"/>
        <v>#VALUE!</v>
      </c>
      <c r="O10" s="156" t="e">
        <f t="shared" si="4"/>
        <v>#NUM!</v>
      </c>
      <c r="P10" s="208" t="e">
        <f t="shared" si="5"/>
        <v>#N/A</v>
      </c>
      <c r="Q10" s="156" t="e">
        <f t="shared" si="6"/>
        <v>#VALUE!</v>
      </c>
      <c r="R10" s="156" t="e">
        <f t="shared" si="7"/>
        <v>#VALUE!</v>
      </c>
      <c r="S10" s="156" t="e">
        <f t="shared" si="8"/>
        <v>#VALUE!</v>
      </c>
      <c r="T10" s="149" t="e">
        <f t="shared" si="9"/>
        <v>#VALUE!</v>
      </c>
      <c r="U10" s="157" t="e">
        <f t="shared" si="15"/>
        <v>#NUM!</v>
      </c>
      <c r="V10" s="149" t="e">
        <f t="shared" si="10"/>
        <v>#VALUE!</v>
      </c>
      <c r="W10" s="157" t="e">
        <f t="shared" si="11"/>
        <v>#NUM!</v>
      </c>
      <c r="X10" s="149" t="e">
        <f t="shared" si="12"/>
        <v>#VALUE!</v>
      </c>
      <c r="Y10" s="157" t="e">
        <f t="shared" si="13"/>
        <v>#NUM!</v>
      </c>
      <c r="Z10" s="3" t="s">
        <v>57</v>
      </c>
      <c r="AA10" s="3"/>
      <c r="AB10" s="3"/>
      <c r="AC10" s="3"/>
      <c r="AD10" s="3"/>
      <c r="AE10" s="3"/>
      <c r="AF10" s="3"/>
      <c r="AG10" s="3"/>
      <c r="AH10" s="3"/>
      <c r="AI10" s="1"/>
      <c r="AJ10" s="1"/>
      <c r="AK10" s="1"/>
    </row>
    <row r="11" spans="1:37" x14ac:dyDescent="0.2">
      <c r="A11" s="50"/>
      <c r="B11" s="49"/>
      <c r="C11" s="50"/>
      <c r="D11" s="50"/>
      <c r="E11" s="50"/>
      <c r="F11" s="50"/>
      <c r="G11" s="3"/>
      <c r="H11" s="158" t="s">
        <v>58</v>
      </c>
      <c r="I11" s="56" t="e">
        <f>+I3/$I$1</f>
        <v>#VALUE!</v>
      </c>
      <c r="J11" s="50"/>
      <c r="K11" s="50"/>
      <c r="L11" s="50"/>
      <c r="M11" s="150">
        <f t="shared" si="2"/>
        <v>0</v>
      </c>
      <c r="N11" s="156" t="e">
        <f t="shared" si="3"/>
        <v>#VALUE!</v>
      </c>
      <c r="O11" s="156" t="e">
        <f t="shared" si="4"/>
        <v>#NUM!</v>
      </c>
      <c r="P11" s="208" t="e">
        <f t="shared" si="5"/>
        <v>#N/A</v>
      </c>
      <c r="Q11" s="156" t="e">
        <f t="shared" si="6"/>
        <v>#VALUE!</v>
      </c>
      <c r="R11" s="156" t="e">
        <f t="shared" si="7"/>
        <v>#VALUE!</v>
      </c>
      <c r="S11" s="156" t="e">
        <f t="shared" si="8"/>
        <v>#VALUE!</v>
      </c>
      <c r="T11" s="149" t="e">
        <f t="shared" si="9"/>
        <v>#VALUE!</v>
      </c>
      <c r="U11" s="157" t="e">
        <f t="shared" si="15"/>
        <v>#NUM!</v>
      </c>
      <c r="V11" s="149" t="e">
        <f t="shared" si="10"/>
        <v>#VALUE!</v>
      </c>
      <c r="W11" s="157" t="e">
        <f t="shared" si="11"/>
        <v>#NUM!</v>
      </c>
      <c r="X11" s="149" t="e">
        <f t="shared" si="12"/>
        <v>#VALUE!</v>
      </c>
      <c r="Y11" s="157" t="e">
        <f t="shared" si="13"/>
        <v>#NUM!</v>
      </c>
      <c r="Z11" s="167"/>
      <c r="AA11" s="167" t="s">
        <v>59</v>
      </c>
      <c r="AB11" s="167" t="s">
        <v>60</v>
      </c>
      <c r="AC11" s="167" t="s">
        <v>61</v>
      </c>
      <c r="AD11" s="167" t="s">
        <v>62</v>
      </c>
      <c r="AE11" s="167" t="s">
        <v>63</v>
      </c>
      <c r="AF11" s="3"/>
      <c r="AG11" s="3"/>
      <c r="AH11" s="3"/>
      <c r="AI11" s="1"/>
      <c r="AJ11" s="1"/>
      <c r="AK11" s="1"/>
    </row>
    <row r="12" spans="1:37" x14ac:dyDescent="0.2">
      <c r="A12" s="50"/>
      <c r="B12" s="49"/>
      <c r="C12" s="50"/>
      <c r="D12" s="50"/>
      <c r="E12" s="50"/>
      <c r="F12" s="50"/>
      <c r="G12" s="3"/>
      <c r="H12" s="158" t="s">
        <v>64</v>
      </c>
      <c r="I12" s="161" t="e">
        <f>+I9/I7</f>
        <v>#NUM!</v>
      </c>
      <c r="J12" s="168" t="e">
        <f>+I12</f>
        <v>#NUM!</v>
      </c>
      <c r="K12" s="168" t="e">
        <f>1/J12</f>
        <v>#NUM!</v>
      </c>
      <c r="L12" s="3"/>
      <c r="M12" s="150">
        <f t="shared" si="2"/>
        <v>0</v>
      </c>
      <c r="N12" s="156" t="e">
        <f t="shared" si="3"/>
        <v>#VALUE!</v>
      </c>
      <c r="O12" s="156" t="e">
        <f t="shared" si="4"/>
        <v>#NUM!</v>
      </c>
      <c r="P12" s="208" t="e">
        <f t="shared" si="5"/>
        <v>#N/A</v>
      </c>
      <c r="Q12" s="156" t="e">
        <f t="shared" si="6"/>
        <v>#VALUE!</v>
      </c>
      <c r="R12" s="156" t="e">
        <f t="shared" si="7"/>
        <v>#VALUE!</v>
      </c>
      <c r="S12" s="156" t="e">
        <f t="shared" si="8"/>
        <v>#VALUE!</v>
      </c>
      <c r="T12" s="149" t="e">
        <f t="shared" si="9"/>
        <v>#VALUE!</v>
      </c>
      <c r="U12" s="157" t="e">
        <f t="shared" si="15"/>
        <v>#NUM!</v>
      </c>
      <c r="V12" s="149" t="e">
        <f t="shared" si="10"/>
        <v>#VALUE!</v>
      </c>
      <c r="W12" s="157" t="e">
        <f t="shared" si="11"/>
        <v>#NUM!</v>
      </c>
      <c r="X12" s="149" t="e">
        <f t="shared" si="12"/>
        <v>#VALUE!</v>
      </c>
      <c r="Y12" s="157" t="e">
        <f t="shared" si="13"/>
        <v>#NUM!</v>
      </c>
      <c r="Z12" s="160" t="s">
        <v>65</v>
      </c>
      <c r="AA12" s="160">
        <v>1</v>
      </c>
      <c r="AB12" s="160">
        <v>669.20217667916086</v>
      </c>
      <c r="AC12" s="160">
        <v>669.20217667916086</v>
      </c>
      <c r="AD12" s="160">
        <v>28.150215299826005</v>
      </c>
      <c r="AE12" s="160">
        <v>7.2341618680963758E-4</v>
      </c>
      <c r="AF12" s="3"/>
      <c r="AG12" s="3"/>
      <c r="AH12" s="3"/>
      <c r="AI12" s="1"/>
      <c r="AJ12" s="1"/>
      <c r="AK12" s="1"/>
    </row>
    <row r="13" spans="1:37" x14ac:dyDescent="0.2">
      <c r="A13" s="50"/>
      <c r="B13" s="49"/>
      <c r="C13" s="50"/>
      <c r="D13" s="50"/>
      <c r="E13" s="50"/>
      <c r="F13" s="50"/>
      <c r="G13" s="3"/>
      <c r="H13" s="158" t="s">
        <v>66</v>
      </c>
      <c r="I13" s="56" t="e">
        <f>+I11-I12*I10</f>
        <v>#VALUE!</v>
      </c>
      <c r="J13" s="192" t="e">
        <f>10^I13</f>
        <v>#VALUE!</v>
      </c>
      <c r="K13" s="187" t="e">
        <f>+J13^J12</f>
        <v>#VALUE!</v>
      </c>
      <c r="L13" s="50"/>
      <c r="M13" s="150">
        <f t="shared" si="2"/>
        <v>0</v>
      </c>
      <c r="N13" s="156" t="e">
        <f t="shared" si="3"/>
        <v>#VALUE!</v>
      </c>
      <c r="O13" s="156" t="e">
        <f t="shared" si="4"/>
        <v>#NUM!</v>
      </c>
      <c r="P13" s="208" t="e">
        <f t="shared" si="5"/>
        <v>#N/A</v>
      </c>
      <c r="Q13" s="156" t="e">
        <f t="shared" si="6"/>
        <v>#VALUE!</v>
      </c>
      <c r="R13" s="156" t="e">
        <f t="shared" si="7"/>
        <v>#VALUE!</v>
      </c>
      <c r="S13" s="156" t="e">
        <f t="shared" si="8"/>
        <v>#VALUE!</v>
      </c>
      <c r="T13" s="149" t="e">
        <f t="shared" si="9"/>
        <v>#VALUE!</v>
      </c>
      <c r="U13" s="157" t="e">
        <f t="shared" si="15"/>
        <v>#NUM!</v>
      </c>
      <c r="V13" s="149" t="e">
        <f t="shared" si="10"/>
        <v>#VALUE!</v>
      </c>
      <c r="W13" s="157" t="e">
        <f t="shared" si="11"/>
        <v>#NUM!</v>
      </c>
      <c r="X13" s="149" t="e">
        <f t="shared" si="12"/>
        <v>#VALUE!</v>
      </c>
      <c r="Y13" s="157" t="e">
        <f t="shared" si="13"/>
        <v>#NUM!</v>
      </c>
      <c r="Z13" s="160" t="s">
        <v>67</v>
      </c>
      <c r="AA13" s="160">
        <v>8</v>
      </c>
      <c r="AB13" s="160">
        <v>190.18033632824034</v>
      </c>
      <c r="AC13" s="160">
        <v>23.772542041030043</v>
      </c>
      <c r="AD13" s="160"/>
      <c r="AE13" s="160"/>
      <c r="AF13" s="3"/>
      <c r="AG13" s="3"/>
      <c r="AH13" s="3"/>
      <c r="AI13" s="1"/>
      <c r="AJ13" s="1"/>
      <c r="AK13" s="1"/>
    </row>
    <row r="14" spans="1:37" ht="13.5" thickBot="1" x14ac:dyDescent="0.25">
      <c r="A14" s="50"/>
      <c r="B14" s="49"/>
      <c r="C14" s="50"/>
      <c r="D14" s="50"/>
      <c r="E14" s="50"/>
      <c r="F14" s="50"/>
      <c r="G14" s="3"/>
      <c r="H14" s="170" t="s">
        <v>68</v>
      </c>
      <c r="I14" s="57" t="e">
        <f>+I9^2/(I7*I8)</f>
        <v>#NUM!</v>
      </c>
      <c r="J14" s="3" t="e">
        <f>"(X="&amp;TEXT(J13,"0.00E+0")&amp;"Y^"&amp;TEXT(J12,"0.00")&amp;")"</f>
        <v>#VALUE!</v>
      </c>
      <c r="K14" s="50"/>
      <c r="L14" s="50"/>
      <c r="M14" s="150">
        <f t="shared" si="2"/>
        <v>0</v>
      </c>
      <c r="N14" s="156" t="e">
        <f t="shared" si="3"/>
        <v>#VALUE!</v>
      </c>
      <c r="O14" s="156" t="e">
        <f t="shared" si="4"/>
        <v>#NUM!</v>
      </c>
      <c r="P14" s="208" t="e">
        <f t="shared" si="5"/>
        <v>#N/A</v>
      </c>
      <c r="Q14" s="156" t="e">
        <f t="shared" si="6"/>
        <v>#VALUE!</v>
      </c>
      <c r="R14" s="156" t="e">
        <f t="shared" si="7"/>
        <v>#VALUE!</v>
      </c>
      <c r="S14" s="156" t="e">
        <f t="shared" si="8"/>
        <v>#VALUE!</v>
      </c>
      <c r="T14" s="149" t="e">
        <f t="shared" si="9"/>
        <v>#VALUE!</v>
      </c>
      <c r="U14" s="157" t="e">
        <f t="shared" si="15"/>
        <v>#NUM!</v>
      </c>
      <c r="V14" s="149" t="e">
        <f t="shared" si="10"/>
        <v>#VALUE!</v>
      </c>
      <c r="W14" s="157" t="e">
        <f t="shared" si="11"/>
        <v>#NUM!</v>
      </c>
      <c r="X14" s="149" t="e">
        <f t="shared" si="12"/>
        <v>#VALUE!</v>
      </c>
      <c r="Y14" s="157" t="e">
        <f t="shared" si="13"/>
        <v>#NUM!</v>
      </c>
      <c r="Z14" s="163" t="s">
        <v>69</v>
      </c>
      <c r="AA14" s="163">
        <v>9</v>
      </c>
      <c r="AB14" s="163">
        <v>859.38251300740126</v>
      </c>
      <c r="AC14" s="163"/>
      <c r="AD14" s="163"/>
      <c r="AE14" s="163"/>
      <c r="AF14" s="3"/>
      <c r="AG14" s="3"/>
      <c r="AH14" s="3"/>
      <c r="AI14" s="1"/>
      <c r="AJ14" s="1"/>
      <c r="AK14" s="1"/>
    </row>
    <row r="15" spans="1:37" ht="13.5" thickBot="1" x14ac:dyDescent="0.25">
      <c r="A15" s="50"/>
      <c r="B15" s="49"/>
      <c r="C15" s="50"/>
      <c r="D15" s="50"/>
      <c r="E15" s="50"/>
      <c r="F15" s="50"/>
      <c r="G15" s="3"/>
      <c r="H15" s="3" t="s">
        <v>70</v>
      </c>
      <c r="I15" s="50" t="e">
        <f>VLOOKUP($J$24,$H$33:$J$69,2)</f>
        <v>#N/A</v>
      </c>
      <c r="J15" s="50"/>
      <c r="K15" s="50"/>
      <c r="L15" s="50"/>
      <c r="M15" s="150">
        <f t="shared" si="2"/>
        <v>0</v>
      </c>
      <c r="N15" s="156" t="e">
        <f t="shared" si="3"/>
        <v>#VALUE!</v>
      </c>
      <c r="O15" s="156" t="e">
        <f t="shared" si="4"/>
        <v>#NUM!</v>
      </c>
      <c r="P15" s="208" t="e">
        <f t="shared" si="5"/>
        <v>#N/A</v>
      </c>
      <c r="Q15" s="156" t="e">
        <f t="shared" si="6"/>
        <v>#VALUE!</v>
      </c>
      <c r="R15" s="156" t="e">
        <f t="shared" si="7"/>
        <v>#VALUE!</v>
      </c>
      <c r="S15" s="156" t="e">
        <f t="shared" si="8"/>
        <v>#VALUE!</v>
      </c>
      <c r="T15" s="149" t="e">
        <f t="shared" si="9"/>
        <v>#VALUE!</v>
      </c>
      <c r="U15" s="157" t="e">
        <f t="shared" si="15"/>
        <v>#NUM!</v>
      </c>
      <c r="V15" s="149" t="e">
        <f t="shared" si="10"/>
        <v>#VALUE!</v>
      </c>
      <c r="W15" s="157" t="e">
        <f t="shared" si="11"/>
        <v>#NUM!</v>
      </c>
      <c r="X15" s="149" t="e">
        <f t="shared" si="12"/>
        <v>#VALUE!</v>
      </c>
      <c r="Y15" s="157" t="e">
        <f t="shared" si="13"/>
        <v>#NUM!</v>
      </c>
      <c r="Z15" s="3"/>
      <c r="AA15" s="3"/>
      <c r="AB15" s="3"/>
      <c r="AC15" s="3"/>
      <c r="AD15" s="3"/>
      <c r="AE15" s="3"/>
      <c r="AF15" s="3"/>
      <c r="AG15" s="3"/>
      <c r="AH15" s="3"/>
      <c r="AI15" s="1"/>
      <c r="AJ15" s="1"/>
      <c r="AK15" s="1"/>
    </row>
    <row r="16" spans="1:37" x14ac:dyDescent="0.2">
      <c r="A16" s="50"/>
      <c r="B16" s="49"/>
      <c r="C16" s="50"/>
      <c r="D16" s="50"/>
      <c r="E16" s="187"/>
      <c r="F16" s="50"/>
      <c r="G16" s="3"/>
      <c r="H16" s="3" t="s">
        <v>71</v>
      </c>
      <c r="I16" s="50" t="e">
        <f>VLOOKUP($J$24,$H$33:$J$69,3)</f>
        <v>#N/A</v>
      </c>
      <c r="J16" s="50"/>
      <c r="K16" s="50"/>
      <c r="L16" s="50"/>
      <c r="M16" s="150">
        <f t="shared" si="2"/>
        <v>0</v>
      </c>
      <c r="N16" s="156" t="e">
        <f t="shared" si="3"/>
        <v>#VALUE!</v>
      </c>
      <c r="O16" s="156" t="e">
        <f t="shared" si="4"/>
        <v>#NUM!</v>
      </c>
      <c r="P16" s="208" t="e">
        <f t="shared" si="5"/>
        <v>#N/A</v>
      </c>
      <c r="Q16" s="156" t="e">
        <f t="shared" si="6"/>
        <v>#VALUE!</v>
      </c>
      <c r="R16" s="156" t="e">
        <f t="shared" si="7"/>
        <v>#VALUE!</v>
      </c>
      <c r="S16" s="156" t="e">
        <f t="shared" si="8"/>
        <v>#VALUE!</v>
      </c>
      <c r="T16" s="149" t="e">
        <f t="shared" si="9"/>
        <v>#VALUE!</v>
      </c>
      <c r="U16" s="157" t="e">
        <f t="shared" si="15"/>
        <v>#NUM!</v>
      </c>
      <c r="V16" s="149" t="e">
        <f t="shared" si="10"/>
        <v>#VALUE!</v>
      </c>
      <c r="W16" s="157" t="e">
        <f t="shared" si="11"/>
        <v>#NUM!</v>
      </c>
      <c r="X16" s="149" t="e">
        <f t="shared" si="12"/>
        <v>#VALUE!</v>
      </c>
      <c r="Y16" s="157" t="e">
        <f t="shared" si="13"/>
        <v>#NUM!</v>
      </c>
      <c r="Z16" s="167"/>
      <c r="AA16" s="167" t="s">
        <v>72</v>
      </c>
      <c r="AB16" s="167" t="s">
        <v>53</v>
      </c>
      <c r="AC16" s="167" t="s">
        <v>73</v>
      </c>
      <c r="AD16" s="167" t="s">
        <v>74</v>
      </c>
      <c r="AE16" s="167" t="s">
        <v>75</v>
      </c>
      <c r="AF16" s="167" t="s">
        <v>76</v>
      </c>
      <c r="AG16" s="167" t="s">
        <v>77</v>
      </c>
      <c r="AH16" s="167" t="s">
        <v>78</v>
      </c>
      <c r="AI16" s="1"/>
      <c r="AJ16" s="1"/>
      <c r="AK16" s="1"/>
    </row>
    <row r="17" spans="1:37" x14ac:dyDescent="0.2">
      <c r="A17" s="50"/>
      <c r="B17" s="49"/>
      <c r="C17" s="50"/>
      <c r="D17" s="50"/>
      <c r="E17" s="50"/>
      <c r="F17" s="50"/>
      <c r="G17" s="3"/>
      <c r="H17" s="3" t="s">
        <v>79</v>
      </c>
      <c r="I17" s="3" t="e">
        <f>+I15*SQRT($K$24/$I$7)</f>
        <v>#N/A</v>
      </c>
      <c r="J17" s="3" t="e">
        <f>+I12+I17</f>
        <v>#NUM!</v>
      </c>
      <c r="K17" s="3" t="e">
        <f>+I12-I17</f>
        <v>#NUM!</v>
      </c>
      <c r="L17" s="3"/>
      <c r="M17" s="150">
        <f t="shared" si="2"/>
        <v>0</v>
      </c>
      <c r="N17" s="156" t="e">
        <f t="shared" si="3"/>
        <v>#VALUE!</v>
      </c>
      <c r="O17" s="156" t="e">
        <f t="shared" si="4"/>
        <v>#NUM!</v>
      </c>
      <c r="P17" s="208" t="e">
        <f t="shared" si="5"/>
        <v>#N/A</v>
      </c>
      <c r="Q17" s="156" t="e">
        <f t="shared" si="6"/>
        <v>#VALUE!</v>
      </c>
      <c r="R17" s="156" t="e">
        <f t="shared" si="7"/>
        <v>#VALUE!</v>
      </c>
      <c r="S17" s="156" t="e">
        <f t="shared" si="8"/>
        <v>#VALUE!</v>
      </c>
      <c r="T17" s="149" t="e">
        <f t="shared" si="9"/>
        <v>#VALUE!</v>
      </c>
      <c r="U17" s="157" t="e">
        <f t="shared" si="15"/>
        <v>#NUM!</v>
      </c>
      <c r="V17" s="149" t="e">
        <f t="shared" si="10"/>
        <v>#VALUE!</v>
      </c>
      <c r="W17" s="157" t="e">
        <f t="shared" si="11"/>
        <v>#NUM!</v>
      </c>
      <c r="X17" s="149" t="e">
        <f t="shared" si="12"/>
        <v>#VALUE!</v>
      </c>
      <c r="Y17" s="157" t="e">
        <f t="shared" si="13"/>
        <v>#NUM!</v>
      </c>
      <c r="Z17" s="160" t="s">
        <v>80</v>
      </c>
      <c r="AA17" s="160">
        <v>86.958826444998394</v>
      </c>
      <c r="AB17" s="160">
        <v>2.9348406973796441</v>
      </c>
      <c r="AC17" s="160">
        <v>29.629828468250114</v>
      </c>
      <c r="AD17" s="160">
        <v>1.824742265606886E-9</v>
      </c>
      <c r="AE17" s="160">
        <v>80.1910672841029</v>
      </c>
      <c r="AF17" s="160">
        <v>93.726585605893888</v>
      </c>
      <c r="AG17" s="160">
        <v>80.1910672841029</v>
      </c>
      <c r="AH17" s="160">
        <v>93.726585605893888</v>
      </c>
      <c r="AI17" s="1"/>
      <c r="AJ17" s="1"/>
      <c r="AK17" s="1"/>
    </row>
    <row r="18" spans="1:37" ht="13.5" thickBot="1" x14ac:dyDescent="0.25">
      <c r="A18" s="50"/>
      <c r="B18" s="49"/>
      <c r="C18" s="50"/>
      <c r="D18" s="50"/>
      <c r="E18" s="50"/>
      <c r="F18" s="50"/>
      <c r="G18" s="3"/>
      <c r="H18" s="3" t="s">
        <v>81</v>
      </c>
      <c r="I18" s="3" t="e">
        <f>+I15*SQRT(K24/I1)</f>
        <v>#N/A</v>
      </c>
      <c r="J18" s="50" t="e">
        <f>+I13-I18</f>
        <v>#VALUE!</v>
      </c>
      <c r="K18" s="50" t="e">
        <f>+I13+I18</f>
        <v>#VALUE!</v>
      </c>
      <c r="L18" s="3"/>
      <c r="M18" s="150">
        <f t="shared" si="2"/>
        <v>0</v>
      </c>
      <c r="N18" s="156" t="e">
        <f t="shared" si="3"/>
        <v>#VALUE!</v>
      </c>
      <c r="O18" s="156" t="e">
        <f t="shared" si="4"/>
        <v>#NUM!</v>
      </c>
      <c r="P18" s="208" t="e">
        <f t="shared" si="5"/>
        <v>#N/A</v>
      </c>
      <c r="Q18" s="156" t="e">
        <f t="shared" si="6"/>
        <v>#VALUE!</v>
      </c>
      <c r="R18" s="156" t="e">
        <f t="shared" si="7"/>
        <v>#VALUE!</v>
      </c>
      <c r="S18" s="156" t="e">
        <f t="shared" si="8"/>
        <v>#VALUE!</v>
      </c>
      <c r="T18" s="149" t="e">
        <f t="shared" si="9"/>
        <v>#VALUE!</v>
      </c>
      <c r="U18" s="157" t="e">
        <f t="shared" si="15"/>
        <v>#NUM!</v>
      </c>
      <c r="V18" s="149" t="e">
        <f t="shared" si="10"/>
        <v>#VALUE!</v>
      </c>
      <c r="W18" s="157" t="e">
        <f t="shared" si="11"/>
        <v>#NUM!</v>
      </c>
      <c r="X18" s="149" t="e">
        <f t="shared" si="12"/>
        <v>#VALUE!</v>
      </c>
      <c r="Y18" s="157" t="e">
        <f t="shared" si="13"/>
        <v>#NUM!</v>
      </c>
      <c r="Z18" s="163" t="s">
        <v>82</v>
      </c>
      <c r="AA18" s="163">
        <v>-3.9353116272950031E-4</v>
      </c>
      <c r="AB18" s="163">
        <v>7.4171706023342889E-5</v>
      </c>
      <c r="AC18" s="163">
        <v>-5.3056776475607892</v>
      </c>
      <c r="AD18" s="163">
        <v>7.2341618680962284E-4</v>
      </c>
      <c r="AE18" s="163">
        <v>-5.645715341428152E-4</v>
      </c>
      <c r="AF18" s="163">
        <v>-2.2249079131618545E-4</v>
      </c>
      <c r="AG18" s="163">
        <v>-5.645715341428152E-4</v>
      </c>
      <c r="AH18" s="163">
        <v>-2.2249079131618545E-4</v>
      </c>
      <c r="AI18" s="1"/>
      <c r="AJ18" s="1"/>
      <c r="AK18" s="1"/>
    </row>
    <row r="19" spans="1:37" x14ac:dyDescent="0.2">
      <c r="A19" s="50"/>
      <c r="B19" s="49"/>
      <c r="C19" s="50"/>
      <c r="D19" s="50"/>
      <c r="E19" s="50"/>
      <c r="F19" s="50"/>
      <c r="G19" s="3"/>
      <c r="H19" s="3" t="s">
        <v>83</v>
      </c>
      <c r="I19" s="3">
        <f>MIN(A:A)</f>
        <v>0</v>
      </c>
      <c r="J19" s="148"/>
      <c r="K19" s="148"/>
      <c r="L19" s="148"/>
      <c r="M19" s="150">
        <f t="shared" si="2"/>
        <v>0</v>
      </c>
      <c r="N19" s="156" t="e">
        <f t="shared" si="3"/>
        <v>#VALUE!</v>
      </c>
      <c r="O19" s="156" t="e">
        <f t="shared" si="4"/>
        <v>#NUM!</v>
      </c>
      <c r="P19" s="208" t="e">
        <f t="shared" si="5"/>
        <v>#N/A</v>
      </c>
      <c r="Q19" s="156" t="e">
        <f t="shared" si="6"/>
        <v>#VALUE!</v>
      </c>
      <c r="R19" s="156" t="e">
        <f t="shared" si="7"/>
        <v>#VALUE!</v>
      </c>
      <c r="S19" s="156" t="e">
        <f t="shared" si="8"/>
        <v>#VALUE!</v>
      </c>
      <c r="T19" s="149" t="e">
        <f t="shared" si="9"/>
        <v>#VALUE!</v>
      </c>
      <c r="U19" s="157" t="e">
        <f t="shared" si="15"/>
        <v>#NUM!</v>
      </c>
      <c r="V19" s="149" t="e">
        <f t="shared" si="10"/>
        <v>#VALUE!</v>
      </c>
      <c r="W19" s="157" t="e">
        <f t="shared" si="11"/>
        <v>#NUM!</v>
      </c>
      <c r="X19" s="149" t="e">
        <f t="shared" si="12"/>
        <v>#VALUE!</v>
      </c>
      <c r="Y19" s="157" t="e">
        <f t="shared" si="13"/>
        <v>#NUM!</v>
      </c>
      <c r="Z19" s="3"/>
      <c r="AA19" s="3"/>
      <c r="AB19" s="3"/>
      <c r="AC19" s="3"/>
      <c r="AD19" s="3"/>
      <c r="AE19" s="3"/>
      <c r="AF19" s="3"/>
      <c r="AG19" s="3"/>
      <c r="AH19" s="3"/>
      <c r="AI19" s="1"/>
      <c r="AJ19" s="1"/>
      <c r="AK19" s="1"/>
    </row>
    <row r="20" spans="1:37" ht="13.5" thickBot="1" x14ac:dyDescent="0.25">
      <c r="A20" s="50"/>
      <c r="B20" s="49"/>
      <c r="C20" s="50"/>
      <c r="D20" s="50"/>
      <c r="E20" s="50"/>
      <c r="F20" s="50"/>
      <c r="G20" s="3"/>
      <c r="H20" s="3" t="s">
        <v>84</v>
      </c>
      <c r="I20" s="3">
        <f>MAX(A:A)</f>
        <v>0</v>
      </c>
      <c r="J20" s="3"/>
      <c r="K20" s="3"/>
      <c r="L20" s="3"/>
      <c r="M20" s="60"/>
      <c r="N20" s="60"/>
      <c r="O20" s="156" t="e">
        <f t="shared" si="4"/>
        <v>#NUM!</v>
      </c>
      <c r="P20" s="208" t="e">
        <f t="shared" si="5"/>
        <v>#N/A</v>
      </c>
      <c r="Q20" s="156" t="e">
        <f t="shared" si="6"/>
        <v>#VALUE!</v>
      </c>
      <c r="R20" s="156" t="e">
        <f t="shared" si="7"/>
        <v>#VALUE!</v>
      </c>
      <c r="S20" s="156" t="e">
        <f t="shared" si="8"/>
        <v>#VALUE!</v>
      </c>
      <c r="T20" s="149" t="e">
        <f t="shared" si="9"/>
        <v>#VALUE!</v>
      </c>
      <c r="U20" s="157" t="e">
        <f t="shared" si="15"/>
        <v>#NUM!</v>
      </c>
      <c r="V20" s="149" t="e">
        <f t="shared" si="10"/>
        <v>#VALUE!</v>
      </c>
      <c r="W20" s="157" t="e">
        <f t="shared" si="11"/>
        <v>#NUM!</v>
      </c>
      <c r="X20" s="149" t="e">
        <f t="shared" si="12"/>
        <v>#VALUE!</v>
      </c>
      <c r="Y20" s="157" t="e">
        <f t="shared" si="13"/>
        <v>#NUM!</v>
      </c>
      <c r="Z20" s="3"/>
      <c r="AA20" s="3"/>
      <c r="AB20" s="3"/>
      <c r="AC20" s="3"/>
      <c r="AD20" s="3"/>
      <c r="AE20" s="3"/>
      <c r="AF20" s="3"/>
      <c r="AG20" s="3"/>
      <c r="AH20" s="3"/>
      <c r="AI20" s="1"/>
      <c r="AJ20" s="1"/>
      <c r="AK20" s="1"/>
    </row>
    <row r="21" spans="1:37" ht="13.5" thickBot="1" x14ac:dyDescent="0.25">
      <c r="A21" s="50"/>
      <c r="B21" s="49"/>
      <c r="C21" s="50"/>
      <c r="D21" s="50"/>
      <c r="E21" s="50"/>
      <c r="F21" s="50"/>
      <c r="G21" s="3"/>
      <c r="H21" s="171" t="s">
        <v>85</v>
      </c>
      <c r="I21" s="172"/>
      <c r="J21" s="3"/>
      <c r="K21" s="3"/>
      <c r="L21" s="3"/>
      <c r="M21" s="60"/>
      <c r="N21" s="60"/>
      <c r="O21" s="156" t="e">
        <f t="shared" si="4"/>
        <v>#NUM!</v>
      </c>
      <c r="P21" s="208" t="e">
        <f t="shared" si="5"/>
        <v>#N/A</v>
      </c>
      <c r="Q21" s="156" t="e">
        <f t="shared" si="6"/>
        <v>#VALUE!</v>
      </c>
      <c r="R21" s="156" t="e">
        <f t="shared" si="7"/>
        <v>#VALUE!</v>
      </c>
      <c r="S21" s="156" t="e">
        <f t="shared" si="8"/>
        <v>#VALUE!</v>
      </c>
      <c r="T21" s="149" t="e">
        <f t="shared" si="9"/>
        <v>#VALUE!</v>
      </c>
      <c r="U21" s="157" t="e">
        <f t="shared" si="15"/>
        <v>#NUM!</v>
      </c>
      <c r="V21" s="149" t="e">
        <f t="shared" si="10"/>
        <v>#VALUE!</v>
      </c>
      <c r="W21" s="157" t="e">
        <f t="shared" si="11"/>
        <v>#NUM!</v>
      </c>
      <c r="X21" s="149" t="e">
        <f t="shared" si="12"/>
        <v>#VALUE!</v>
      </c>
      <c r="Y21" s="157" t="e">
        <f t="shared" si="13"/>
        <v>#NUM!</v>
      </c>
      <c r="Z21" s="3"/>
      <c r="AA21" s="3"/>
      <c r="AB21" s="3"/>
      <c r="AC21" s="3"/>
      <c r="AD21" s="3"/>
      <c r="AE21" s="3"/>
      <c r="AF21" s="3"/>
      <c r="AG21" s="3"/>
      <c r="AH21" s="3"/>
      <c r="AI21" s="1"/>
      <c r="AJ21" s="1"/>
      <c r="AK21" s="1"/>
    </row>
    <row r="22" spans="1:37" ht="15" x14ac:dyDescent="0.2">
      <c r="A22" s="50"/>
      <c r="B22" s="49"/>
      <c r="C22" s="50"/>
      <c r="D22" s="50"/>
      <c r="E22" s="50"/>
      <c r="F22" s="50"/>
      <c r="G22" s="3"/>
      <c r="H22" s="153"/>
      <c r="I22" s="173" t="s">
        <v>86</v>
      </c>
      <c r="J22" s="174" t="s">
        <v>87</v>
      </c>
      <c r="K22" s="175" t="s">
        <v>119</v>
      </c>
      <c r="L22" s="176" t="s">
        <v>62</v>
      </c>
      <c r="M22" s="60"/>
      <c r="N22" s="60"/>
      <c r="O22" s="156" t="e">
        <f t="shared" si="4"/>
        <v>#NUM!</v>
      </c>
      <c r="P22" s="208" t="e">
        <f t="shared" si="5"/>
        <v>#N/A</v>
      </c>
      <c r="Q22" s="156" t="e">
        <f t="shared" si="6"/>
        <v>#VALUE!</v>
      </c>
      <c r="R22" s="156" t="e">
        <f t="shared" si="7"/>
        <v>#VALUE!</v>
      </c>
      <c r="S22" s="156" t="e">
        <f t="shared" si="8"/>
        <v>#VALUE!</v>
      </c>
      <c r="T22" s="149" t="e">
        <f t="shared" si="9"/>
        <v>#VALUE!</v>
      </c>
      <c r="U22" s="157" t="e">
        <f t="shared" si="15"/>
        <v>#NUM!</v>
      </c>
      <c r="V22" s="149" t="e">
        <f t="shared" si="10"/>
        <v>#VALUE!</v>
      </c>
      <c r="W22" s="157" t="e">
        <f t="shared" si="11"/>
        <v>#NUM!</v>
      </c>
      <c r="X22" s="149" t="e">
        <f t="shared" si="12"/>
        <v>#VALUE!</v>
      </c>
      <c r="Y22" s="157" t="e">
        <f t="shared" si="13"/>
        <v>#NUM!</v>
      </c>
      <c r="Z22" s="3" t="s">
        <v>88</v>
      </c>
      <c r="AA22" s="3"/>
      <c r="AB22" s="3"/>
      <c r="AC22" s="3"/>
      <c r="AD22" s="3"/>
      <c r="AE22" s="3"/>
      <c r="AF22" s="3"/>
      <c r="AG22" s="3"/>
      <c r="AH22" s="3"/>
      <c r="AI22" s="1"/>
      <c r="AJ22" s="1"/>
      <c r="AK22" s="1"/>
    </row>
    <row r="23" spans="1:37" ht="13.5" thickBot="1" x14ac:dyDescent="0.25">
      <c r="A23" s="50"/>
      <c r="B23" s="49"/>
      <c r="C23" s="50"/>
      <c r="D23" s="187"/>
      <c r="E23" s="50"/>
      <c r="F23" s="50"/>
      <c r="G23" s="3"/>
      <c r="H23" s="155" t="s">
        <v>89</v>
      </c>
      <c r="I23" s="177" t="e">
        <f>+I9^2/I7</f>
        <v>#NUM!</v>
      </c>
      <c r="J23" s="60">
        <v>1</v>
      </c>
      <c r="K23" s="150" t="e">
        <f>+I23/1</f>
        <v>#NUM!</v>
      </c>
      <c r="L23" s="178" t="e">
        <f>+K23/K24</f>
        <v>#NUM!</v>
      </c>
      <c r="M23" s="60"/>
      <c r="N23" s="60"/>
      <c r="O23" s="156" t="e">
        <f t="shared" si="4"/>
        <v>#NUM!</v>
      </c>
      <c r="P23" s="208" t="e">
        <f t="shared" si="5"/>
        <v>#N/A</v>
      </c>
      <c r="Q23" s="156" t="e">
        <f t="shared" si="6"/>
        <v>#VALUE!</v>
      </c>
      <c r="R23" s="156" t="e">
        <f t="shared" si="7"/>
        <v>#VALUE!</v>
      </c>
      <c r="S23" s="156" t="e">
        <f t="shared" si="8"/>
        <v>#VALUE!</v>
      </c>
      <c r="T23" s="149" t="e">
        <f t="shared" si="9"/>
        <v>#VALUE!</v>
      </c>
      <c r="U23" s="157" t="e">
        <f t="shared" si="15"/>
        <v>#NUM!</v>
      </c>
      <c r="V23" s="149" t="e">
        <f t="shared" si="10"/>
        <v>#VALUE!</v>
      </c>
      <c r="W23" s="157" t="e">
        <f t="shared" si="11"/>
        <v>#NUM!</v>
      </c>
      <c r="X23" s="149" t="e">
        <f t="shared" si="12"/>
        <v>#VALUE!</v>
      </c>
      <c r="Y23" s="157" t="e">
        <f t="shared" si="13"/>
        <v>#NUM!</v>
      </c>
      <c r="Z23" s="3"/>
      <c r="AA23" s="3"/>
      <c r="AB23" s="3"/>
      <c r="AC23" s="3"/>
      <c r="AD23" s="3"/>
      <c r="AE23" s="3"/>
      <c r="AF23" s="3"/>
      <c r="AG23" s="3"/>
      <c r="AH23" s="3"/>
      <c r="AI23" s="1"/>
      <c r="AJ23" s="1"/>
      <c r="AK23" s="1"/>
    </row>
    <row r="24" spans="1:37" x14ac:dyDescent="0.2">
      <c r="A24" s="50"/>
      <c r="B24" s="49"/>
      <c r="C24" s="50"/>
      <c r="D24" s="50"/>
      <c r="E24" s="50"/>
      <c r="F24" s="50"/>
      <c r="G24" s="3"/>
      <c r="H24" s="155" t="s">
        <v>67</v>
      </c>
      <c r="I24" s="179" t="e">
        <f>+I8-I23</f>
        <v>#VALUE!</v>
      </c>
      <c r="J24" s="180">
        <f>+I1-2</f>
        <v>-2</v>
      </c>
      <c r="K24" s="181" t="e">
        <f>+I24/($I$1-2)</f>
        <v>#VALUE!</v>
      </c>
      <c r="L24" s="182"/>
      <c r="M24" s="3"/>
      <c r="N24" s="3"/>
      <c r="O24" s="156" t="e">
        <f t="shared" si="4"/>
        <v>#NUM!</v>
      </c>
      <c r="P24" s="208" t="e">
        <f t="shared" si="5"/>
        <v>#N/A</v>
      </c>
      <c r="Q24" s="156" t="e">
        <f t="shared" si="6"/>
        <v>#VALUE!</v>
      </c>
      <c r="R24" s="156" t="e">
        <f t="shared" si="7"/>
        <v>#VALUE!</v>
      </c>
      <c r="S24" s="156" t="e">
        <f t="shared" si="8"/>
        <v>#VALUE!</v>
      </c>
      <c r="T24" s="149" t="e">
        <f t="shared" si="9"/>
        <v>#VALUE!</v>
      </c>
      <c r="U24" s="157" t="e">
        <f t="shared" si="15"/>
        <v>#NUM!</v>
      </c>
      <c r="V24" s="149" t="e">
        <f t="shared" si="10"/>
        <v>#VALUE!</v>
      </c>
      <c r="W24" s="157" t="e">
        <f t="shared" si="11"/>
        <v>#NUM!</v>
      </c>
      <c r="X24" s="149" t="e">
        <f t="shared" si="12"/>
        <v>#VALUE!</v>
      </c>
      <c r="Y24" s="157" t="e">
        <f t="shared" si="13"/>
        <v>#NUM!</v>
      </c>
      <c r="Z24" s="167" t="s">
        <v>90</v>
      </c>
      <c r="AA24" s="167" t="s">
        <v>91</v>
      </c>
      <c r="AB24" s="167" t="s">
        <v>92</v>
      </c>
      <c r="AC24" s="167" t="s">
        <v>93</v>
      </c>
      <c r="AD24" s="3"/>
      <c r="AE24" s="3"/>
      <c r="AF24" s="3"/>
      <c r="AG24" s="3"/>
      <c r="AH24" s="3"/>
      <c r="AI24" s="1"/>
      <c r="AJ24" s="1"/>
      <c r="AK24" s="1"/>
    </row>
    <row r="25" spans="1:37" ht="13.5" thickBot="1" x14ac:dyDescent="0.25">
      <c r="A25" s="50"/>
      <c r="B25" s="49"/>
      <c r="C25" s="50"/>
      <c r="D25" s="50"/>
      <c r="E25" s="50"/>
      <c r="F25" s="50"/>
      <c r="G25" s="3"/>
      <c r="H25" s="170" t="s">
        <v>69</v>
      </c>
      <c r="I25" s="183" t="e">
        <f>SUM(I23:I24)</f>
        <v>#NUM!</v>
      </c>
      <c r="J25" s="184">
        <f>SUM(J23:J24)</f>
        <v>-1</v>
      </c>
      <c r="K25" s="185"/>
      <c r="L25" s="186"/>
      <c r="M25" s="3"/>
      <c r="N25" s="3"/>
      <c r="O25" s="156" t="e">
        <f t="shared" si="4"/>
        <v>#NUM!</v>
      </c>
      <c r="P25" s="208" t="e">
        <f t="shared" si="5"/>
        <v>#N/A</v>
      </c>
      <c r="Q25" s="156" t="e">
        <f t="shared" si="6"/>
        <v>#VALUE!</v>
      </c>
      <c r="R25" s="156" t="e">
        <f t="shared" si="7"/>
        <v>#VALUE!</v>
      </c>
      <c r="S25" s="156" t="e">
        <f t="shared" si="8"/>
        <v>#VALUE!</v>
      </c>
      <c r="T25" s="149" t="e">
        <f t="shared" si="9"/>
        <v>#VALUE!</v>
      </c>
      <c r="U25" s="157" t="e">
        <f t="shared" si="15"/>
        <v>#NUM!</v>
      </c>
      <c r="V25" s="149" t="e">
        <f t="shared" si="10"/>
        <v>#VALUE!</v>
      </c>
      <c r="W25" s="157" t="e">
        <f t="shared" si="11"/>
        <v>#NUM!</v>
      </c>
      <c r="X25" s="149" t="e">
        <f t="shared" si="12"/>
        <v>#VALUE!</v>
      </c>
      <c r="Y25" s="157" t="e">
        <f t="shared" si="13"/>
        <v>#NUM!</v>
      </c>
      <c r="Z25" s="160">
        <v>1</v>
      </c>
      <c r="AA25" s="160">
        <v>64.96200857307025</v>
      </c>
      <c r="AB25" s="160">
        <v>0.47441169590722154</v>
      </c>
      <c r="AC25" s="160">
        <v>0.1032033599178334</v>
      </c>
      <c r="AD25" s="3"/>
      <c r="AE25" s="3"/>
      <c r="AF25" s="3"/>
      <c r="AG25" s="3"/>
      <c r="AH25" s="3"/>
      <c r="AI25" s="1"/>
      <c r="AJ25" s="1"/>
      <c r="AK25" s="1"/>
    </row>
    <row r="26" spans="1:37" x14ac:dyDescent="0.2">
      <c r="A26" s="50"/>
      <c r="B26" s="49"/>
      <c r="C26" s="50"/>
      <c r="D26" s="50"/>
      <c r="E26" s="50"/>
      <c r="F26" s="50"/>
      <c r="G26" s="3"/>
      <c r="H26" s="3"/>
      <c r="I26" s="3"/>
      <c r="J26" s="3"/>
      <c r="K26" s="3"/>
      <c r="L26" s="3"/>
      <c r="M26" s="3"/>
      <c r="N26" s="3"/>
      <c r="O26" s="156" t="e">
        <f t="shared" si="4"/>
        <v>#NUM!</v>
      </c>
      <c r="P26" s="208" t="e">
        <f t="shared" si="5"/>
        <v>#N/A</v>
      </c>
      <c r="Q26" s="156" t="e">
        <f t="shared" si="6"/>
        <v>#VALUE!</v>
      </c>
      <c r="R26" s="156" t="e">
        <f t="shared" si="7"/>
        <v>#VALUE!</v>
      </c>
      <c r="S26" s="156" t="e">
        <f t="shared" si="8"/>
        <v>#VALUE!</v>
      </c>
      <c r="T26" s="149" t="e">
        <f t="shared" si="9"/>
        <v>#VALUE!</v>
      </c>
      <c r="U26" s="157" t="e">
        <f t="shared" si="15"/>
        <v>#NUM!</v>
      </c>
      <c r="V26" s="149" t="e">
        <f t="shared" si="10"/>
        <v>#VALUE!</v>
      </c>
      <c r="W26" s="157" t="e">
        <f t="shared" si="11"/>
        <v>#NUM!</v>
      </c>
      <c r="X26" s="149" t="e">
        <f t="shared" si="12"/>
        <v>#VALUE!</v>
      </c>
      <c r="Y26" s="157" t="e">
        <f t="shared" si="13"/>
        <v>#NUM!</v>
      </c>
      <c r="Z26" s="160">
        <v>2</v>
      </c>
      <c r="AA26" s="160">
        <v>84.735375375576723</v>
      </c>
      <c r="AB26" s="160">
        <v>8.1224337994435558</v>
      </c>
      <c r="AC26" s="160">
        <v>1.7669515023438278</v>
      </c>
      <c r="AD26" s="3"/>
      <c r="AE26" s="3"/>
      <c r="AF26" s="3"/>
      <c r="AG26" s="3"/>
      <c r="AH26" s="3"/>
      <c r="AI26" s="1"/>
      <c r="AJ26" s="1"/>
      <c r="AK26" s="1"/>
    </row>
    <row r="27" spans="1:37" x14ac:dyDescent="0.2">
      <c r="A27" s="50"/>
      <c r="B27" s="49"/>
      <c r="C27" s="50"/>
      <c r="D27" s="50"/>
      <c r="E27" s="50"/>
      <c r="F27" s="50"/>
      <c r="G27" s="3"/>
      <c r="H27" s="3"/>
      <c r="I27" s="3"/>
      <c r="J27" s="3"/>
      <c r="K27" s="3"/>
      <c r="L27" s="3"/>
      <c r="M27" s="3"/>
      <c r="N27" s="3"/>
      <c r="O27" s="156" t="e">
        <f t="shared" si="4"/>
        <v>#NUM!</v>
      </c>
      <c r="P27" s="208" t="e">
        <f t="shared" si="5"/>
        <v>#N/A</v>
      </c>
      <c r="Q27" s="156" t="e">
        <f t="shared" si="6"/>
        <v>#VALUE!</v>
      </c>
      <c r="R27" s="156" t="e">
        <f t="shared" si="7"/>
        <v>#VALUE!</v>
      </c>
      <c r="S27" s="156" t="e">
        <f t="shared" si="8"/>
        <v>#VALUE!</v>
      </c>
      <c r="T27" s="149" t="e">
        <f t="shared" si="9"/>
        <v>#VALUE!</v>
      </c>
      <c r="U27" s="157" t="e">
        <f t="shared" si="15"/>
        <v>#NUM!</v>
      </c>
      <c r="V27" s="149" t="e">
        <f t="shared" si="10"/>
        <v>#VALUE!</v>
      </c>
      <c r="W27" s="157" t="e">
        <f t="shared" si="11"/>
        <v>#NUM!</v>
      </c>
      <c r="X27" s="149" t="e">
        <f t="shared" si="12"/>
        <v>#VALUE!</v>
      </c>
      <c r="Y27" s="157" t="e">
        <f t="shared" si="13"/>
        <v>#NUM!</v>
      </c>
      <c r="Z27" s="160">
        <v>3</v>
      </c>
      <c r="AA27" s="160">
        <v>72.398960486332342</v>
      </c>
      <c r="AB27" s="160">
        <v>-3.7728515527469852</v>
      </c>
      <c r="AC27" s="160">
        <v>-0.82074485109416684</v>
      </c>
      <c r="AD27" s="3"/>
      <c r="AE27" s="3"/>
      <c r="AF27" s="3"/>
      <c r="AG27" s="3"/>
      <c r="AH27" s="3"/>
      <c r="AI27" s="1"/>
      <c r="AJ27" s="1"/>
      <c r="AK27" s="1"/>
    </row>
    <row r="28" spans="1:37" x14ac:dyDescent="0.2">
      <c r="A28" s="50"/>
      <c r="B28" s="49"/>
      <c r="C28" s="50"/>
      <c r="D28" s="50"/>
      <c r="E28" s="50"/>
      <c r="F28" s="50"/>
      <c r="G28" s="3"/>
      <c r="H28" s="3"/>
      <c r="I28" s="50"/>
      <c r="J28" s="3"/>
      <c r="K28" s="3"/>
      <c r="L28" s="3"/>
      <c r="M28" s="160"/>
      <c r="N28" s="160"/>
      <c r="O28" s="156" t="e">
        <f t="shared" si="4"/>
        <v>#NUM!</v>
      </c>
      <c r="P28" s="208" t="e">
        <f t="shared" si="5"/>
        <v>#N/A</v>
      </c>
      <c r="Q28" s="156" t="e">
        <f t="shared" si="6"/>
        <v>#VALUE!</v>
      </c>
      <c r="R28" s="156" t="e">
        <f t="shared" si="7"/>
        <v>#VALUE!</v>
      </c>
      <c r="S28" s="156" t="e">
        <f t="shared" si="8"/>
        <v>#VALUE!</v>
      </c>
      <c r="T28" s="149" t="e">
        <f t="shared" si="9"/>
        <v>#VALUE!</v>
      </c>
      <c r="U28" s="157" t="e">
        <f t="shared" si="15"/>
        <v>#NUM!</v>
      </c>
      <c r="V28" s="149" t="e">
        <f t="shared" si="10"/>
        <v>#VALUE!</v>
      </c>
      <c r="W28" s="157" t="e">
        <f t="shared" si="11"/>
        <v>#NUM!</v>
      </c>
      <c r="X28" s="149" t="e">
        <f t="shared" si="12"/>
        <v>#VALUE!</v>
      </c>
      <c r="Y28" s="157" t="e">
        <f t="shared" si="13"/>
        <v>#NUM!</v>
      </c>
      <c r="Z28" s="160">
        <v>4</v>
      </c>
      <c r="AA28" s="160">
        <v>83.967989608254186</v>
      </c>
      <c r="AB28" s="160">
        <v>3.5389412932821216</v>
      </c>
      <c r="AC28" s="160">
        <v>0.76986009234077568</v>
      </c>
      <c r="AD28" s="3"/>
      <c r="AE28" s="3"/>
      <c r="AF28" s="3"/>
      <c r="AG28" s="3"/>
      <c r="AH28" s="3"/>
      <c r="AI28" s="1"/>
      <c r="AJ28" s="1"/>
      <c r="AK28" s="1"/>
    </row>
    <row r="29" spans="1:37" x14ac:dyDescent="0.2">
      <c r="A29" s="50"/>
      <c r="B29" s="49"/>
      <c r="C29" s="50"/>
      <c r="D29" s="50"/>
      <c r="E29" s="50"/>
      <c r="F29" s="50"/>
      <c r="G29" s="3"/>
      <c r="H29" s="3" t="s">
        <v>94</v>
      </c>
      <c r="I29" s="187" t="e">
        <f>10^$I$13</f>
        <v>#VALUE!</v>
      </c>
      <c r="J29" s="3" t="s">
        <v>95</v>
      </c>
      <c r="K29" s="3" t="s">
        <v>96</v>
      </c>
      <c r="L29" s="148" t="e">
        <f>+I12</f>
        <v>#NUM!</v>
      </c>
      <c r="M29" s="160"/>
      <c r="N29" s="160"/>
      <c r="O29" s="156" t="e">
        <f t="shared" si="4"/>
        <v>#NUM!</v>
      </c>
      <c r="P29" s="208" t="e">
        <f t="shared" si="5"/>
        <v>#N/A</v>
      </c>
      <c r="Q29" s="156" t="e">
        <f t="shared" si="6"/>
        <v>#VALUE!</v>
      </c>
      <c r="R29" s="156" t="e">
        <f t="shared" si="7"/>
        <v>#VALUE!</v>
      </c>
      <c r="S29" s="156" t="e">
        <f t="shared" si="8"/>
        <v>#VALUE!</v>
      </c>
      <c r="T29" s="149" t="e">
        <f t="shared" si="9"/>
        <v>#VALUE!</v>
      </c>
      <c r="U29" s="157" t="e">
        <f t="shared" si="15"/>
        <v>#NUM!</v>
      </c>
      <c r="V29" s="149" t="e">
        <f t="shared" si="10"/>
        <v>#VALUE!</v>
      </c>
      <c r="W29" s="157" t="e">
        <f t="shared" si="11"/>
        <v>#NUM!</v>
      </c>
      <c r="X29" s="149" t="e">
        <f t="shared" si="12"/>
        <v>#VALUE!</v>
      </c>
      <c r="Y29" s="157" t="e">
        <f t="shared" si="13"/>
        <v>#NUM!</v>
      </c>
      <c r="Z29" s="160">
        <v>5</v>
      </c>
      <c r="AA29" s="160">
        <v>80.249513651623147</v>
      </c>
      <c r="AB29" s="160">
        <v>-3.074627132090697</v>
      </c>
      <c r="AC29" s="160">
        <v>-0.66885334671080132</v>
      </c>
      <c r="AD29" s="3"/>
      <c r="AE29" s="3"/>
      <c r="AF29" s="3"/>
      <c r="AG29" s="3"/>
      <c r="AH29" s="3"/>
      <c r="AI29" s="1"/>
      <c r="AJ29" s="1"/>
      <c r="AK29" s="1"/>
    </row>
    <row r="30" spans="1:37" ht="15.75" x14ac:dyDescent="0.2">
      <c r="A30" s="151"/>
      <c r="B30" s="151"/>
      <c r="C30" s="157"/>
      <c r="D30" s="3"/>
      <c r="E30" s="3"/>
      <c r="F30" s="3"/>
      <c r="G30" s="3"/>
      <c r="H30" s="3"/>
      <c r="I30" s="3"/>
      <c r="J30" s="3"/>
      <c r="K30" s="3"/>
      <c r="L30" s="3"/>
      <c r="M30" s="160"/>
      <c r="N30" s="160"/>
      <c r="O30" s="156" t="e">
        <f t="shared" si="4"/>
        <v>#NUM!</v>
      </c>
      <c r="P30" s="208" t="e">
        <f t="shared" si="5"/>
        <v>#N/A</v>
      </c>
      <c r="Q30" s="156" t="e">
        <f t="shared" si="6"/>
        <v>#VALUE!</v>
      </c>
      <c r="R30" s="156" t="e">
        <f t="shared" si="7"/>
        <v>#VALUE!</v>
      </c>
      <c r="S30" s="156" t="e">
        <f t="shared" si="8"/>
        <v>#VALUE!</v>
      </c>
      <c r="T30" s="149" t="e">
        <f t="shared" si="9"/>
        <v>#VALUE!</v>
      </c>
      <c r="U30" s="157" t="e">
        <f t="shared" si="15"/>
        <v>#NUM!</v>
      </c>
      <c r="V30" s="149" t="e">
        <f t="shared" si="10"/>
        <v>#VALUE!</v>
      </c>
      <c r="W30" s="157" t="e">
        <f t="shared" si="11"/>
        <v>#NUM!</v>
      </c>
      <c r="X30" s="149" t="e">
        <f t="shared" si="12"/>
        <v>#VALUE!</v>
      </c>
      <c r="Y30" s="157" t="e">
        <f t="shared" si="13"/>
        <v>#NUM!</v>
      </c>
      <c r="Z30" s="160">
        <v>6</v>
      </c>
      <c r="AA30" s="160">
        <v>78.183475047293271</v>
      </c>
      <c r="AB30" s="160">
        <v>-4.5407034997025164</v>
      </c>
      <c r="AC30" s="160">
        <v>-0.98778310400595504</v>
      </c>
      <c r="AD30" s="3"/>
      <c r="AE30" s="3"/>
      <c r="AF30" s="3"/>
      <c r="AG30" s="3"/>
      <c r="AH30" s="3"/>
      <c r="AI30" s="1"/>
      <c r="AJ30" s="1"/>
      <c r="AK30" s="1"/>
    </row>
    <row r="31" spans="1:37" ht="16.5" thickBot="1" x14ac:dyDescent="0.25">
      <c r="A31" s="151"/>
      <c r="B31" s="151"/>
      <c r="C31" s="157"/>
      <c r="D31" s="3"/>
      <c r="E31" s="3"/>
      <c r="F31" s="3"/>
      <c r="G31" s="3"/>
      <c r="H31" s="3"/>
      <c r="I31" s="3"/>
      <c r="J31" s="3"/>
      <c r="K31" s="3"/>
      <c r="L31" s="3"/>
      <c r="M31" s="160"/>
      <c r="N31" s="160"/>
      <c r="O31" s="156" t="e">
        <f t="shared" si="4"/>
        <v>#NUM!</v>
      </c>
      <c r="P31" s="208" t="e">
        <f t="shared" si="5"/>
        <v>#N/A</v>
      </c>
      <c r="Q31" s="156" t="e">
        <f t="shared" si="6"/>
        <v>#VALUE!</v>
      </c>
      <c r="R31" s="156" t="e">
        <f t="shared" si="7"/>
        <v>#VALUE!</v>
      </c>
      <c r="S31" s="156" t="e">
        <f t="shared" si="8"/>
        <v>#VALUE!</v>
      </c>
      <c r="T31" s="149" t="e">
        <f t="shared" si="9"/>
        <v>#VALUE!</v>
      </c>
      <c r="U31" s="157" t="e">
        <f t="shared" si="15"/>
        <v>#NUM!</v>
      </c>
      <c r="V31" s="149" t="e">
        <f t="shared" si="10"/>
        <v>#VALUE!</v>
      </c>
      <c r="W31" s="157" t="e">
        <f t="shared" si="11"/>
        <v>#NUM!</v>
      </c>
      <c r="X31" s="149" t="e">
        <f t="shared" si="12"/>
        <v>#VALUE!</v>
      </c>
      <c r="Y31" s="157" t="e">
        <f t="shared" si="13"/>
        <v>#NUM!</v>
      </c>
      <c r="Z31" s="160">
        <v>7</v>
      </c>
      <c r="AA31" s="160">
        <v>58.292048895967945</v>
      </c>
      <c r="AB31" s="160">
        <v>5.5384635753090379</v>
      </c>
      <c r="AC31" s="160">
        <v>1.2048354934870995</v>
      </c>
      <c r="AD31" s="3"/>
      <c r="AE31" s="3"/>
      <c r="AF31" s="3"/>
      <c r="AG31" s="3"/>
      <c r="AH31" s="3"/>
      <c r="AI31" s="1"/>
      <c r="AJ31" s="1"/>
      <c r="AK31" s="1"/>
    </row>
    <row r="32" spans="1:37" ht="16.5" thickBot="1" x14ac:dyDescent="0.25">
      <c r="A32" s="151"/>
      <c r="B32" s="151"/>
      <c r="C32" s="157"/>
      <c r="D32" s="3"/>
      <c r="E32" s="3"/>
      <c r="F32" s="3"/>
      <c r="G32" s="3"/>
      <c r="H32" s="171" t="s">
        <v>33</v>
      </c>
      <c r="I32" s="188" t="s">
        <v>97</v>
      </c>
      <c r="J32" s="188" t="s">
        <v>98</v>
      </c>
      <c r="K32" s="188"/>
      <c r="L32" s="189">
        <v>0.95</v>
      </c>
      <c r="M32" s="160"/>
      <c r="N32" s="160"/>
      <c r="O32" s="156" t="e">
        <f t="shared" si="4"/>
        <v>#NUM!</v>
      </c>
      <c r="P32" s="208" t="e">
        <f t="shared" si="5"/>
        <v>#N/A</v>
      </c>
      <c r="Q32" s="156" t="e">
        <f t="shared" si="6"/>
        <v>#VALUE!</v>
      </c>
      <c r="R32" s="156" t="e">
        <f t="shared" si="7"/>
        <v>#VALUE!</v>
      </c>
      <c r="S32" s="156" t="e">
        <f t="shared" si="8"/>
        <v>#VALUE!</v>
      </c>
      <c r="T32" s="149" t="e">
        <f t="shared" si="9"/>
        <v>#VALUE!</v>
      </c>
      <c r="U32" s="157" t="e">
        <f t="shared" si="15"/>
        <v>#NUM!</v>
      </c>
      <c r="V32" s="149" t="e">
        <f t="shared" si="10"/>
        <v>#VALUE!</v>
      </c>
      <c r="W32" s="157" t="e">
        <f t="shared" si="11"/>
        <v>#NUM!</v>
      </c>
      <c r="X32" s="149" t="e">
        <f t="shared" si="12"/>
        <v>#VALUE!</v>
      </c>
      <c r="Y32" s="157" t="e">
        <f t="shared" si="13"/>
        <v>#NUM!</v>
      </c>
      <c r="Z32" s="160">
        <v>8</v>
      </c>
      <c r="AA32" s="160">
        <v>76.17685964853554</v>
      </c>
      <c r="AB32" s="160">
        <v>-1.6616650429208448</v>
      </c>
      <c r="AC32" s="160">
        <v>-0.36147805158871843</v>
      </c>
      <c r="AD32" s="3"/>
      <c r="AE32" s="3"/>
      <c r="AF32" s="3"/>
      <c r="AG32" s="3"/>
      <c r="AH32" s="3"/>
      <c r="AI32" s="1"/>
      <c r="AJ32" s="1"/>
      <c r="AK32" s="1"/>
    </row>
    <row r="33" spans="1:37" ht="15.75" x14ac:dyDescent="0.2">
      <c r="A33" s="151"/>
      <c r="B33" s="151"/>
      <c r="C33" s="157"/>
      <c r="D33" s="3"/>
      <c r="E33" s="3"/>
      <c r="F33" s="3"/>
      <c r="G33" s="3"/>
      <c r="H33" s="155">
        <v>1</v>
      </c>
      <c r="I33" s="60">
        <v>12.706</v>
      </c>
      <c r="J33" s="60">
        <v>199.5</v>
      </c>
      <c r="K33" s="60"/>
      <c r="L33" s="161"/>
      <c r="M33" s="60"/>
      <c r="N33" s="60"/>
      <c r="O33" s="156" t="e">
        <f t="shared" si="4"/>
        <v>#NUM!</v>
      </c>
      <c r="P33" s="208" t="e">
        <f t="shared" si="5"/>
        <v>#N/A</v>
      </c>
      <c r="Q33" s="156" t="e">
        <f t="shared" si="6"/>
        <v>#VALUE!</v>
      </c>
      <c r="R33" s="156" t="e">
        <f t="shared" si="7"/>
        <v>#VALUE!</v>
      </c>
      <c r="S33" s="156" t="e">
        <f t="shared" si="8"/>
        <v>#VALUE!</v>
      </c>
      <c r="T33" s="149" t="e">
        <f t="shared" si="9"/>
        <v>#VALUE!</v>
      </c>
      <c r="U33" s="157" t="e">
        <f t="shared" si="15"/>
        <v>#NUM!</v>
      </c>
      <c r="V33" s="149" t="e">
        <f t="shared" si="10"/>
        <v>#VALUE!</v>
      </c>
      <c r="W33" s="157" t="e">
        <f t="shared" si="11"/>
        <v>#NUM!</v>
      </c>
      <c r="X33" s="149" t="e">
        <f t="shared" si="12"/>
        <v>#VALUE!</v>
      </c>
      <c r="Y33" s="157" t="e">
        <f t="shared" si="13"/>
        <v>#NUM!</v>
      </c>
      <c r="Z33" s="160">
        <v>9</v>
      </c>
      <c r="AA33" s="160">
        <v>66.37832722773372</v>
      </c>
      <c r="AB33" s="160">
        <v>1.0806764711593644</v>
      </c>
      <c r="AC33" s="160">
        <v>0.23508999413371393</v>
      </c>
      <c r="AD33" s="3"/>
      <c r="AE33" s="3"/>
      <c r="AF33" s="3"/>
      <c r="AG33" s="3"/>
      <c r="AH33" s="3"/>
      <c r="AI33" s="1"/>
      <c r="AJ33" s="1"/>
      <c r="AK33" s="1"/>
    </row>
    <row r="34" spans="1:37" ht="16.5" thickBot="1" x14ac:dyDescent="0.25">
      <c r="A34" s="151"/>
      <c r="B34" s="151"/>
      <c r="C34" s="157"/>
      <c r="D34" s="3"/>
      <c r="E34" s="3"/>
      <c r="F34" s="3"/>
      <c r="G34" s="3"/>
      <c r="H34" s="155">
        <v>2</v>
      </c>
      <c r="I34" s="60">
        <v>4.3029999999999999</v>
      </c>
      <c r="J34" s="60">
        <v>19</v>
      </c>
      <c r="K34" s="60"/>
      <c r="L34" s="161"/>
      <c r="M34" s="60"/>
      <c r="N34" s="60"/>
      <c r="O34" s="156" t="e">
        <f t="shared" si="4"/>
        <v>#NUM!</v>
      </c>
      <c r="P34" s="208" t="e">
        <f t="shared" ref="P34:P65" si="16">SQRT(2*$I$16*$K$24)*SQRT((1/$I$1)+((O34-$I$10)^2/$I$7))</f>
        <v>#N/A</v>
      </c>
      <c r="Q34" s="156" t="e">
        <f t="shared" si="6"/>
        <v>#VALUE!</v>
      </c>
      <c r="R34" s="156" t="e">
        <f t="shared" si="7"/>
        <v>#VALUE!</v>
      </c>
      <c r="S34" s="156" t="e">
        <f t="shared" si="8"/>
        <v>#VALUE!</v>
      </c>
      <c r="T34" s="149" t="e">
        <f t="shared" si="9"/>
        <v>#VALUE!</v>
      </c>
      <c r="U34" s="157" t="e">
        <f t="shared" si="15"/>
        <v>#NUM!</v>
      </c>
      <c r="V34" s="149" t="e">
        <f t="shared" si="10"/>
        <v>#VALUE!</v>
      </c>
      <c r="W34" s="157" t="e">
        <f t="shared" si="11"/>
        <v>#NUM!</v>
      </c>
      <c r="X34" s="149" t="e">
        <f t="shared" si="12"/>
        <v>#VALUE!</v>
      </c>
      <c r="Y34" s="157" t="e">
        <f t="shared" si="13"/>
        <v>#NUM!</v>
      </c>
      <c r="Z34" s="163">
        <v>10</v>
      </c>
      <c r="AA34" s="163">
        <v>71.750027598991394</v>
      </c>
      <c r="AB34" s="163">
        <v>-5.705079607640414</v>
      </c>
      <c r="AC34" s="163">
        <v>-1.2410810888236428</v>
      </c>
      <c r="AD34" s="3"/>
      <c r="AE34" s="3"/>
      <c r="AF34" s="3"/>
      <c r="AG34" s="3"/>
      <c r="AH34" s="3"/>
      <c r="AI34" s="1"/>
      <c r="AJ34" s="1"/>
      <c r="AK34" s="1"/>
    </row>
    <row r="35" spans="1:37" ht="15.75" x14ac:dyDescent="0.2">
      <c r="A35" s="151"/>
      <c r="B35" s="151"/>
      <c r="C35" s="157"/>
      <c r="D35" s="3"/>
      <c r="E35" s="3"/>
      <c r="F35" s="3"/>
      <c r="G35" s="3"/>
      <c r="H35" s="155">
        <v>3</v>
      </c>
      <c r="I35" s="60">
        <v>3.1819999999999999</v>
      </c>
      <c r="J35" s="60">
        <v>9.5500000000000007</v>
      </c>
      <c r="K35" s="60"/>
      <c r="L35" s="161"/>
      <c r="M35" s="60"/>
      <c r="N35" s="60"/>
      <c r="O35" s="156" t="e">
        <f t="shared" si="4"/>
        <v>#NUM!</v>
      </c>
      <c r="P35" s="208" t="e">
        <f t="shared" si="16"/>
        <v>#N/A</v>
      </c>
      <c r="Q35" s="156" t="e">
        <f t="shared" si="6"/>
        <v>#VALUE!</v>
      </c>
      <c r="R35" s="156" t="e">
        <f t="shared" si="7"/>
        <v>#VALUE!</v>
      </c>
      <c r="S35" s="156" t="e">
        <f t="shared" si="8"/>
        <v>#VALUE!</v>
      </c>
      <c r="T35" s="149" t="e">
        <f t="shared" si="9"/>
        <v>#VALUE!</v>
      </c>
      <c r="U35" s="157" t="e">
        <f t="shared" si="15"/>
        <v>#NUM!</v>
      </c>
      <c r="V35" s="149" t="e">
        <f t="shared" si="10"/>
        <v>#VALUE!</v>
      </c>
      <c r="W35" s="157" t="e">
        <f t="shared" si="11"/>
        <v>#NUM!</v>
      </c>
      <c r="X35" s="149" t="e">
        <f t="shared" si="12"/>
        <v>#VALUE!</v>
      </c>
      <c r="Y35" s="157" t="e">
        <f t="shared" si="13"/>
        <v>#NUM!</v>
      </c>
      <c r="Z35" s="160">
        <v>11</v>
      </c>
      <c r="AA35" s="160">
        <v>1.8219740757524479</v>
      </c>
      <c r="AB35" s="160">
        <v>-2.3572384393459211E-2</v>
      </c>
      <c r="AC35" s="160">
        <v>-2.1105589333618084</v>
      </c>
      <c r="AD35" s="3"/>
      <c r="AE35" s="3"/>
      <c r="AF35" s="3"/>
      <c r="AG35" s="3"/>
      <c r="AH35" s="3"/>
      <c r="AI35" s="1"/>
      <c r="AJ35" s="1"/>
      <c r="AK35" s="1"/>
    </row>
    <row r="36" spans="1:37" ht="16.5" thickBot="1" x14ac:dyDescent="0.25">
      <c r="A36" s="151"/>
      <c r="B36" s="151"/>
      <c r="C36" s="157"/>
      <c r="D36" s="3"/>
      <c r="E36" s="3"/>
      <c r="F36" s="3"/>
      <c r="G36" s="3"/>
      <c r="H36" s="155">
        <v>4</v>
      </c>
      <c r="I36" s="60">
        <v>2.7764000000000002</v>
      </c>
      <c r="J36" s="60">
        <v>6.94</v>
      </c>
      <c r="K36" s="60"/>
      <c r="L36" s="161"/>
      <c r="M36" s="60"/>
      <c r="N36" s="60"/>
      <c r="O36" s="156" t="e">
        <f t="shared" si="4"/>
        <v>#NUM!</v>
      </c>
      <c r="P36" s="208" t="e">
        <f t="shared" si="16"/>
        <v>#N/A</v>
      </c>
      <c r="Q36" s="156" t="e">
        <f t="shared" si="6"/>
        <v>#VALUE!</v>
      </c>
      <c r="R36" s="156" t="e">
        <f t="shared" si="7"/>
        <v>#VALUE!</v>
      </c>
      <c r="S36" s="156" t="e">
        <f t="shared" si="8"/>
        <v>#VALUE!</v>
      </c>
      <c r="T36" s="149" t="e">
        <f t="shared" si="9"/>
        <v>#VALUE!</v>
      </c>
      <c r="U36" s="157" t="e">
        <f t="shared" si="15"/>
        <v>#NUM!</v>
      </c>
      <c r="V36" s="149" t="e">
        <f t="shared" si="10"/>
        <v>#VALUE!</v>
      </c>
      <c r="W36" s="157" t="e">
        <f t="shared" si="11"/>
        <v>#NUM!</v>
      </c>
      <c r="X36" s="149" t="e">
        <f t="shared" si="12"/>
        <v>#VALUE!</v>
      </c>
      <c r="Y36" s="157" t="e">
        <f t="shared" si="13"/>
        <v>#NUM!</v>
      </c>
      <c r="Z36" s="163">
        <v>12</v>
      </c>
      <c r="AA36" s="163">
        <v>1.7418458667896419</v>
      </c>
      <c r="AB36" s="163">
        <v>5.198026089093144E-3</v>
      </c>
      <c r="AC36" s="163">
        <v>0.46540647798138757</v>
      </c>
      <c r="AD36" s="3"/>
      <c r="AE36" s="3"/>
      <c r="AF36" s="3"/>
      <c r="AG36" s="3"/>
      <c r="AH36" s="3"/>
      <c r="AI36" s="1"/>
      <c r="AJ36" s="1"/>
      <c r="AK36" s="1"/>
    </row>
    <row r="37" spans="1:37" ht="15.75" x14ac:dyDescent="0.2">
      <c r="A37" s="151"/>
      <c r="B37" s="151"/>
      <c r="C37" s="157"/>
      <c r="D37" s="3"/>
      <c r="E37" s="3"/>
      <c r="F37" s="3"/>
      <c r="G37" s="3"/>
      <c r="H37" s="155">
        <v>5</v>
      </c>
      <c r="I37" s="60">
        <v>2.5706000000000002</v>
      </c>
      <c r="J37" s="60">
        <v>5.79</v>
      </c>
      <c r="K37" s="60"/>
      <c r="L37" s="161"/>
      <c r="M37" s="60"/>
      <c r="N37" s="60"/>
      <c r="O37" s="156" t="e">
        <f t="shared" si="4"/>
        <v>#NUM!</v>
      </c>
      <c r="P37" s="208" t="e">
        <f t="shared" si="16"/>
        <v>#N/A</v>
      </c>
      <c r="Q37" s="156" t="e">
        <f t="shared" si="6"/>
        <v>#VALUE!</v>
      </c>
      <c r="R37" s="156" t="e">
        <f t="shared" si="7"/>
        <v>#VALUE!</v>
      </c>
      <c r="S37" s="156" t="e">
        <f t="shared" si="8"/>
        <v>#VALUE!</v>
      </c>
      <c r="T37" s="149" t="e">
        <f t="shared" si="9"/>
        <v>#VALUE!</v>
      </c>
      <c r="U37" s="157" t="e">
        <f t="shared" si="15"/>
        <v>#NUM!</v>
      </c>
      <c r="V37" s="149" t="e">
        <f t="shared" si="10"/>
        <v>#VALUE!</v>
      </c>
      <c r="W37" s="157" t="e">
        <f t="shared" si="11"/>
        <v>#NUM!</v>
      </c>
      <c r="X37" s="149" t="e">
        <f t="shared" si="12"/>
        <v>#VALUE!</v>
      </c>
      <c r="Y37" s="157" t="e">
        <f t="shared" si="13"/>
        <v>#NUM!</v>
      </c>
      <c r="Z37" s="3"/>
      <c r="AA37" s="60"/>
      <c r="AB37" s="60"/>
      <c r="AC37" s="60"/>
      <c r="AD37" s="60"/>
      <c r="AE37" s="60"/>
      <c r="AF37" s="60"/>
      <c r="AG37" s="60"/>
      <c r="AH37" s="60"/>
      <c r="AI37" s="1"/>
      <c r="AJ37" s="1"/>
      <c r="AK37" s="1"/>
    </row>
    <row r="38" spans="1:37" x14ac:dyDescent="0.2">
      <c r="A38" s="157"/>
      <c r="B38" s="60"/>
      <c r="C38" s="157"/>
      <c r="D38" s="3"/>
      <c r="E38" s="3"/>
      <c r="F38" s="3"/>
      <c r="G38" s="3"/>
      <c r="H38" s="155">
        <v>6</v>
      </c>
      <c r="I38" s="60">
        <v>2.4468999999999999</v>
      </c>
      <c r="J38" s="60">
        <v>5.14</v>
      </c>
      <c r="K38" s="60"/>
      <c r="L38" s="161"/>
      <c r="M38" s="3"/>
      <c r="N38" s="3"/>
      <c r="O38" s="156" t="e">
        <f t="shared" si="4"/>
        <v>#NUM!</v>
      </c>
      <c r="P38" s="208" t="e">
        <f t="shared" si="16"/>
        <v>#N/A</v>
      </c>
      <c r="Q38" s="156" t="e">
        <f t="shared" si="6"/>
        <v>#VALUE!</v>
      </c>
      <c r="R38" s="156" t="e">
        <f t="shared" si="7"/>
        <v>#VALUE!</v>
      </c>
      <c r="S38" s="156" t="e">
        <f t="shared" si="8"/>
        <v>#VALUE!</v>
      </c>
      <c r="T38" s="149" t="e">
        <f t="shared" si="9"/>
        <v>#VALUE!</v>
      </c>
      <c r="U38" s="157" t="e">
        <f t="shared" si="15"/>
        <v>#NUM!</v>
      </c>
      <c r="V38" s="149" t="e">
        <f t="shared" si="10"/>
        <v>#VALUE!</v>
      </c>
      <c r="W38" s="157" t="e">
        <f t="shared" si="11"/>
        <v>#NUM!</v>
      </c>
      <c r="X38" s="149" t="e">
        <f t="shared" si="12"/>
        <v>#VALUE!</v>
      </c>
      <c r="Y38" s="157" t="e">
        <f t="shared" si="13"/>
        <v>#NUM!</v>
      </c>
      <c r="Z38" s="3"/>
      <c r="AA38" s="60"/>
      <c r="AB38" s="60"/>
      <c r="AC38" s="60"/>
      <c r="AD38" s="60"/>
      <c r="AE38" s="60"/>
      <c r="AF38" s="60"/>
      <c r="AG38" s="60"/>
      <c r="AH38" s="60"/>
      <c r="AI38" s="1"/>
      <c r="AJ38" s="1"/>
      <c r="AK38" s="1"/>
    </row>
    <row r="39" spans="1:37" x14ac:dyDescent="0.2">
      <c r="A39" s="157"/>
      <c r="B39" s="60"/>
      <c r="C39" s="157"/>
      <c r="D39" s="3"/>
      <c r="E39" s="3"/>
      <c r="F39" s="3"/>
      <c r="G39" s="3"/>
      <c r="H39" s="155">
        <v>7</v>
      </c>
      <c r="I39" s="60">
        <v>2.3645999999999998</v>
      </c>
      <c r="J39" s="60">
        <v>4.74</v>
      </c>
      <c r="K39" s="60"/>
      <c r="L39" s="161"/>
      <c r="M39" s="3"/>
      <c r="N39" s="3"/>
      <c r="O39" s="156" t="e">
        <f t="shared" si="4"/>
        <v>#NUM!</v>
      </c>
      <c r="P39" s="208" t="e">
        <f t="shared" si="16"/>
        <v>#N/A</v>
      </c>
      <c r="Q39" s="156" t="e">
        <f t="shared" si="6"/>
        <v>#VALUE!</v>
      </c>
      <c r="R39" s="156" t="e">
        <f t="shared" si="7"/>
        <v>#VALUE!</v>
      </c>
      <c r="S39" s="156" t="e">
        <f t="shared" si="8"/>
        <v>#VALUE!</v>
      </c>
      <c r="T39" s="149" t="e">
        <f t="shared" si="9"/>
        <v>#VALUE!</v>
      </c>
      <c r="U39" s="157" t="e">
        <f t="shared" si="15"/>
        <v>#NUM!</v>
      </c>
      <c r="V39" s="149" t="e">
        <f t="shared" si="10"/>
        <v>#VALUE!</v>
      </c>
      <c r="W39" s="157" t="e">
        <f t="shared" si="11"/>
        <v>#NUM!</v>
      </c>
      <c r="X39" s="149" t="e">
        <f t="shared" si="12"/>
        <v>#VALUE!</v>
      </c>
      <c r="Y39" s="157" t="e">
        <f t="shared" si="13"/>
        <v>#NUM!</v>
      </c>
      <c r="Z39" s="3"/>
      <c r="AA39" s="60"/>
      <c r="AB39" s="60"/>
      <c r="AC39" s="60"/>
      <c r="AD39" s="60"/>
      <c r="AE39" s="60"/>
      <c r="AF39" s="60"/>
      <c r="AG39" s="60"/>
      <c r="AH39" s="60"/>
      <c r="AI39" s="1"/>
      <c r="AJ39" s="1"/>
      <c r="AK39" s="1"/>
    </row>
    <row r="40" spans="1:37" x14ac:dyDescent="0.2">
      <c r="A40" s="60"/>
      <c r="B40" s="60"/>
      <c r="C40" s="60"/>
      <c r="D40" s="3"/>
      <c r="E40" s="3"/>
      <c r="F40" s="3"/>
      <c r="G40" s="3"/>
      <c r="H40" s="155">
        <v>8</v>
      </c>
      <c r="I40" s="60">
        <v>2.306</v>
      </c>
      <c r="J40" s="60">
        <v>4.46</v>
      </c>
      <c r="K40" s="60"/>
      <c r="L40" s="161"/>
      <c r="M40" s="3"/>
      <c r="N40" s="3"/>
      <c r="O40" s="156" t="e">
        <f t="shared" si="4"/>
        <v>#NUM!</v>
      </c>
      <c r="P40" s="208" t="e">
        <f t="shared" si="16"/>
        <v>#N/A</v>
      </c>
      <c r="Q40" s="156" t="e">
        <f t="shared" si="6"/>
        <v>#VALUE!</v>
      </c>
      <c r="R40" s="156" t="e">
        <f t="shared" si="7"/>
        <v>#VALUE!</v>
      </c>
      <c r="S40" s="156" t="e">
        <f t="shared" si="8"/>
        <v>#VALUE!</v>
      </c>
      <c r="T40" s="149" t="e">
        <f t="shared" si="9"/>
        <v>#VALUE!</v>
      </c>
      <c r="U40" s="157" t="e">
        <f t="shared" si="15"/>
        <v>#NUM!</v>
      </c>
      <c r="V40" s="149" t="e">
        <f t="shared" si="10"/>
        <v>#VALUE!</v>
      </c>
      <c r="W40" s="157" t="e">
        <f t="shared" si="11"/>
        <v>#NUM!</v>
      </c>
      <c r="X40" s="149" t="e">
        <f t="shared" si="12"/>
        <v>#VALUE!</v>
      </c>
      <c r="Y40" s="157" t="e">
        <f t="shared" si="13"/>
        <v>#NUM!</v>
      </c>
      <c r="Z40" s="3"/>
      <c r="AA40" s="3"/>
      <c r="AB40" s="60"/>
      <c r="AC40" s="60"/>
      <c r="AD40" s="60"/>
      <c r="AE40" s="60"/>
      <c r="AF40" s="60"/>
      <c r="AG40" s="60"/>
      <c r="AH40" s="60"/>
      <c r="AI40" s="1"/>
      <c r="AJ40" s="1"/>
      <c r="AK40" s="1"/>
    </row>
    <row r="41" spans="1:37" x14ac:dyDescent="0.2">
      <c r="A41" s="3"/>
      <c r="B41" s="3"/>
      <c r="C41" s="3"/>
      <c r="D41" s="3"/>
      <c r="E41" s="3"/>
      <c r="F41" s="3"/>
      <c r="G41" s="3"/>
      <c r="H41" s="155">
        <v>9</v>
      </c>
      <c r="I41" s="60">
        <v>2.2622</v>
      </c>
      <c r="J41" s="60">
        <v>4.26</v>
      </c>
      <c r="K41" s="60"/>
      <c r="L41" s="161"/>
      <c r="M41" s="3"/>
      <c r="N41" s="3"/>
      <c r="O41" s="156" t="e">
        <f t="shared" si="4"/>
        <v>#NUM!</v>
      </c>
      <c r="P41" s="208" t="e">
        <f t="shared" si="16"/>
        <v>#N/A</v>
      </c>
      <c r="Q41" s="156" t="e">
        <f t="shared" si="6"/>
        <v>#VALUE!</v>
      </c>
      <c r="R41" s="156" t="e">
        <f t="shared" si="7"/>
        <v>#VALUE!</v>
      </c>
      <c r="S41" s="156" t="e">
        <f t="shared" si="8"/>
        <v>#VALUE!</v>
      </c>
      <c r="T41" s="149" t="e">
        <f t="shared" si="9"/>
        <v>#VALUE!</v>
      </c>
      <c r="U41" s="157" t="e">
        <f t="shared" si="15"/>
        <v>#NUM!</v>
      </c>
      <c r="V41" s="149" t="e">
        <f t="shared" si="10"/>
        <v>#VALUE!</v>
      </c>
      <c r="W41" s="157" t="e">
        <f t="shared" si="11"/>
        <v>#NUM!</v>
      </c>
      <c r="X41" s="149" t="e">
        <f t="shared" si="12"/>
        <v>#VALUE!</v>
      </c>
      <c r="Y41" s="157" t="e">
        <f t="shared" si="13"/>
        <v>#NUM!</v>
      </c>
      <c r="Z41" s="3"/>
      <c r="AA41" s="50"/>
      <c r="AB41" s="60"/>
      <c r="AC41" s="60"/>
      <c r="AD41" s="60"/>
      <c r="AE41" s="60"/>
      <c r="AF41" s="60"/>
      <c r="AG41" s="60"/>
      <c r="AH41" s="60"/>
      <c r="AI41" s="1"/>
      <c r="AJ41" s="1"/>
      <c r="AK41" s="1"/>
    </row>
    <row r="42" spans="1:37" x14ac:dyDescent="0.2">
      <c r="A42" s="3"/>
      <c r="B42" s="3"/>
      <c r="C42" s="3"/>
      <c r="D42" s="3"/>
      <c r="E42" s="3"/>
      <c r="F42" s="3"/>
      <c r="G42" s="3"/>
      <c r="H42" s="155">
        <v>10</v>
      </c>
      <c r="I42" s="60">
        <v>2.2281</v>
      </c>
      <c r="J42" s="60">
        <v>4.0999999999999996</v>
      </c>
      <c r="K42" s="60"/>
      <c r="L42" s="161"/>
      <c r="M42" s="3"/>
      <c r="N42" s="3"/>
      <c r="O42" s="156" t="e">
        <f t="shared" si="4"/>
        <v>#NUM!</v>
      </c>
      <c r="P42" s="208" t="e">
        <f t="shared" si="16"/>
        <v>#N/A</v>
      </c>
      <c r="Q42" s="156" t="e">
        <f t="shared" si="6"/>
        <v>#VALUE!</v>
      </c>
      <c r="R42" s="156" t="e">
        <f t="shared" si="7"/>
        <v>#VALUE!</v>
      </c>
      <c r="S42" s="156" t="e">
        <f t="shared" si="8"/>
        <v>#VALUE!</v>
      </c>
      <c r="T42" s="149" t="e">
        <f t="shared" si="9"/>
        <v>#VALUE!</v>
      </c>
      <c r="U42" s="157" t="e">
        <f t="shared" si="15"/>
        <v>#NUM!</v>
      </c>
      <c r="V42" s="149" t="e">
        <f t="shared" si="10"/>
        <v>#VALUE!</v>
      </c>
      <c r="W42" s="157" t="e">
        <f t="shared" si="11"/>
        <v>#NUM!</v>
      </c>
      <c r="X42" s="149" t="e">
        <f t="shared" si="12"/>
        <v>#VALUE!</v>
      </c>
      <c r="Y42" s="157" t="e">
        <f t="shared" si="13"/>
        <v>#NUM!</v>
      </c>
      <c r="Z42" s="50"/>
      <c r="AA42" s="50"/>
      <c r="AB42" s="60"/>
      <c r="AC42" s="60"/>
      <c r="AD42" s="60"/>
      <c r="AE42" s="60"/>
      <c r="AF42" s="60"/>
      <c r="AG42" s="60"/>
      <c r="AH42" s="60"/>
      <c r="AI42" s="1"/>
      <c r="AJ42" s="1"/>
      <c r="AK42" s="1"/>
    </row>
    <row r="43" spans="1:37" x14ac:dyDescent="0.2">
      <c r="A43" s="3"/>
      <c r="B43" s="3"/>
      <c r="C43" s="3"/>
      <c r="D43" s="3"/>
      <c r="E43" s="3"/>
      <c r="F43" s="3"/>
      <c r="G43" s="3"/>
      <c r="H43" s="155">
        <v>11</v>
      </c>
      <c r="I43" s="60">
        <v>2.2010000000000001</v>
      </c>
      <c r="J43" s="60">
        <v>3.98</v>
      </c>
      <c r="K43" s="60"/>
      <c r="L43" s="161"/>
      <c r="M43" s="3"/>
      <c r="N43" s="3"/>
      <c r="O43" s="156" t="e">
        <f t="shared" si="4"/>
        <v>#NUM!</v>
      </c>
      <c r="P43" s="208" t="e">
        <f t="shared" si="16"/>
        <v>#N/A</v>
      </c>
      <c r="Q43" s="156" t="e">
        <f t="shared" si="6"/>
        <v>#VALUE!</v>
      </c>
      <c r="R43" s="156" t="e">
        <f t="shared" si="7"/>
        <v>#VALUE!</v>
      </c>
      <c r="S43" s="156" t="e">
        <f t="shared" si="8"/>
        <v>#VALUE!</v>
      </c>
      <c r="T43" s="149" t="e">
        <f t="shared" si="9"/>
        <v>#VALUE!</v>
      </c>
      <c r="U43" s="157" t="e">
        <f t="shared" si="15"/>
        <v>#NUM!</v>
      </c>
      <c r="V43" s="149" t="e">
        <f t="shared" si="10"/>
        <v>#VALUE!</v>
      </c>
      <c r="W43" s="157" t="e">
        <f t="shared" si="11"/>
        <v>#NUM!</v>
      </c>
      <c r="X43" s="149" t="e">
        <f t="shared" si="12"/>
        <v>#VALUE!</v>
      </c>
      <c r="Y43" s="157" t="e">
        <f t="shared" si="13"/>
        <v>#NUM!</v>
      </c>
      <c r="Z43" s="50"/>
      <c r="AA43" s="50"/>
      <c r="AB43" s="60"/>
      <c r="AC43" s="60"/>
      <c r="AD43" s="60"/>
      <c r="AE43" s="60"/>
      <c r="AF43" s="60"/>
      <c r="AG43" s="60"/>
      <c r="AH43" s="60"/>
      <c r="AI43" s="1"/>
      <c r="AJ43" s="1"/>
      <c r="AK43" s="1"/>
    </row>
    <row r="44" spans="1:37" x14ac:dyDescent="0.2">
      <c r="A44" s="3"/>
      <c r="B44" s="3"/>
      <c r="C44" s="3"/>
      <c r="D44" s="3"/>
      <c r="E44" s="3"/>
      <c r="F44" s="3"/>
      <c r="G44" s="3"/>
      <c r="H44" s="155">
        <v>12</v>
      </c>
      <c r="I44" s="60">
        <v>2.1787999999999998</v>
      </c>
      <c r="J44" s="60">
        <v>2.89</v>
      </c>
      <c r="K44" s="60"/>
      <c r="L44" s="161"/>
      <c r="M44" s="3"/>
      <c r="N44" s="3"/>
      <c r="O44" s="156" t="e">
        <f t="shared" si="4"/>
        <v>#NUM!</v>
      </c>
      <c r="P44" s="208" t="e">
        <f t="shared" si="16"/>
        <v>#N/A</v>
      </c>
      <c r="Q44" s="156" t="e">
        <f t="shared" si="6"/>
        <v>#VALUE!</v>
      </c>
      <c r="R44" s="156" t="e">
        <f t="shared" si="7"/>
        <v>#VALUE!</v>
      </c>
      <c r="S44" s="156" t="e">
        <f t="shared" si="8"/>
        <v>#VALUE!</v>
      </c>
      <c r="T44" s="149" t="e">
        <f t="shared" si="9"/>
        <v>#VALUE!</v>
      </c>
      <c r="U44" s="157" t="e">
        <f t="shared" si="15"/>
        <v>#NUM!</v>
      </c>
      <c r="V44" s="149" t="e">
        <f t="shared" si="10"/>
        <v>#VALUE!</v>
      </c>
      <c r="W44" s="157" t="e">
        <f t="shared" si="11"/>
        <v>#NUM!</v>
      </c>
      <c r="X44" s="149" t="e">
        <f t="shared" si="12"/>
        <v>#VALUE!</v>
      </c>
      <c r="Y44" s="157" t="e">
        <f t="shared" si="13"/>
        <v>#NUM!</v>
      </c>
      <c r="Z44" s="50"/>
      <c r="AA44" s="50"/>
      <c r="AB44" s="60"/>
      <c r="AC44" s="60"/>
      <c r="AD44" s="60"/>
      <c r="AE44" s="60"/>
      <c r="AF44" s="60"/>
      <c r="AG44" s="60"/>
      <c r="AH44" s="60"/>
      <c r="AI44" s="1"/>
      <c r="AJ44" s="1"/>
      <c r="AK44" s="1"/>
    </row>
    <row r="45" spans="1:37" x14ac:dyDescent="0.2">
      <c r="A45" s="3"/>
      <c r="B45" s="3"/>
      <c r="C45" s="3"/>
      <c r="D45" s="3"/>
      <c r="E45" s="3"/>
      <c r="F45" s="3"/>
      <c r="G45" s="3"/>
      <c r="H45" s="155">
        <v>13</v>
      </c>
      <c r="I45" s="60">
        <v>2.1604000000000001</v>
      </c>
      <c r="J45" s="60">
        <v>3.81</v>
      </c>
      <c r="K45" s="60"/>
      <c r="L45" s="161"/>
      <c r="M45" s="3"/>
      <c r="N45" s="3"/>
      <c r="O45" s="156" t="e">
        <f t="shared" si="4"/>
        <v>#NUM!</v>
      </c>
      <c r="P45" s="208" t="e">
        <f t="shared" si="16"/>
        <v>#N/A</v>
      </c>
      <c r="Q45" s="156" t="e">
        <f t="shared" si="6"/>
        <v>#VALUE!</v>
      </c>
      <c r="R45" s="156" t="e">
        <f t="shared" si="7"/>
        <v>#VALUE!</v>
      </c>
      <c r="S45" s="156" t="e">
        <f t="shared" si="8"/>
        <v>#VALUE!</v>
      </c>
      <c r="T45" s="149" t="e">
        <f t="shared" si="9"/>
        <v>#VALUE!</v>
      </c>
      <c r="U45" s="157" t="e">
        <f t="shared" si="15"/>
        <v>#NUM!</v>
      </c>
      <c r="V45" s="149" t="e">
        <f t="shared" si="10"/>
        <v>#VALUE!</v>
      </c>
      <c r="W45" s="157" t="e">
        <f t="shared" si="11"/>
        <v>#NUM!</v>
      </c>
      <c r="X45" s="149" t="e">
        <f t="shared" si="12"/>
        <v>#VALUE!</v>
      </c>
      <c r="Y45" s="157" t="e">
        <f t="shared" si="13"/>
        <v>#NUM!</v>
      </c>
      <c r="Z45" s="50"/>
      <c r="AA45" s="50"/>
      <c r="AB45" s="60"/>
      <c r="AC45" s="60"/>
      <c r="AD45" s="60"/>
      <c r="AE45" s="60"/>
      <c r="AF45" s="60"/>
      <c r="AG45" s="60"/>
      <c r="AH45" s="60"/>
      <c r="AI45" s="1"/>
      <c r="AJ45" s="1"/>
      <c r="AK45" s="1"/>
    </row>
    <row r="46" spans="1:37" x14ac:dyDescent="0.2">
      <c r="A46" s="3"/>
      <c r="B46" s="3"/>
      <c r="C46" s="3"/>
      <c r="D46" s="3"/>
      <c r="E46" s="3"/>
      <c r="F46" s="3"/>
      <c r="G46" s="3"/>
      <c r="H46" s="155">
        <v>14</v>
      </c>
      <c r="I46" s="60">
        <v>2.1448</v>
      </c>
      <c r="J46" s="60">
        <v>3.74</v>
      </c>
      <c r="K46" s="60"/>
      <c r="L46" s="161"/>
      <c r="M46" s="3"/>
      <c r="N46" s="3"/>
      <c r="O46" s="156" t="e">
        <f t="shared" si="4"/>
        <v>#NUM!</v>
      </c>
      <c r="P46" s="208" t="e">
        <f t="shared" si="16"/>
        <v>#N/A</v>
      </c>
      <c r="Q46" s="156" t="e">
        <f t="shared" si="6"/>
        <v>#VALUE!</v>
      </c>
      <c r="R46" s="156" t="e">
        <f t="shared" si="7"/>
        <v>#VALUE!</v>
      </c>
      <c r="S46" s="156" t="e">
        <f t="shared" si="8"/>
        <v>#VALUE!</v>
      </c>
      <c r="T46" s="149" t="e">
        <f t="shared" si="9"/>
        <v>#VALUE!</v>
      </c>
      <c r="U46" s="157" t="e">
        <f t="shared" si="15"/>
        <v>#NUM!</v>
      </c>
      <c r="V46" s="149" t="e">
        <f t="shared" si="10"/>
        <v>#VALUE!</v>
      </c>
      <c r="W46" s="157" t="e">
        <f t="shared" si="11"/>
        <v>#NUM!</v>
      </c>
      <c r="X46" s="149" t="e">
        <f t="shared" si="12"/>
        <v>#VALUE!</v>
      </c>
      <c r="Y46" s="157" t="e">
        <f t="shared" si="13"/>
        <v>#NUM!</v>
      </c>
      <c r="Z46" s="3"/>
      <c r="AA46" s="3"/>
      <c r="AB46" s="60"/>
      <c r="AC46" s="60"/>
      <c r="AD46" s="60"/>
      <c r="AE46" s="60"/>
      <c r="AF46" s="60"/>
      <c r="AG46" s="60"/>
      <c r="AH46" s="60"/>
      <c r="AI46" s="1"/>
      <c r="AJ46" s="1"/>
      <c r="AK46" s="1"/>
    </row>
    <row r="47" spans="1:37" x14ac:dyDescent="0.2">
      <c r="A47" s="3"/>
      <c r="B47" s="3"/>
      <c r="C47" s="3"/>
      <c r="D47" s="3"/>
      <c r="E47" s="3"/>
      <c r="F47" s="3"/>
      <c r="G47" s="3"/>
      <c r="H47" s="155">
        <v>15</v>
      </c>
      <c r="I47" s="60">
        <v>2.1315</v>
      </c>
      <c r="J47" s="60">
        <v>3.68</v>
      </c>
      <c r="K47" s="60"/>
      <c r="L47" s="161"/>
      <c r="M47" s="3"/>
      <c r="N47" s="3"/>
      <c r="O47" s="156" t="e">
        <f t="shared" si="4"/>
        <v>#NUM!</v>
      </c>
      <c r="P47" s="208" t="e">
        <f t="shared" si="16"/>
        <v>#N/A</v>
      </c>
      <c r="Q47" s="156" t="e">
        <f t="shared" si="6"/>
        <v>#VALUE!</v>
      </c>
      <c r="R47" s="156" t="e">
        <f t="shared" si="7"/>
        <v>#VALUE!</v>
      </c>
      <c r="S47" s="156" t="e">
        <f t="shared" si="8"/>
        <v>#VALUE!</v>
      </c>
      <c r="T47" s="149" t="e">
        <f t="shared" si="9"/>
        <v>#VALUE!</v>
      </c>
      <c r="U47" s="157" t="e">
        <f t="shared" si="15"/>
        <v>#NUM!</v>
      </c>
      <c r="V47" s="149" t="e">
        <f t="shared" si="10"/>
        <v>#VALUE!</v>
      </c>
      <c r="W47" s="157" t="e">
        <f t="shared" si="11"/>
        <v>#NUM!</v>
      </c>
      <c r="X47" s="149" t="e">
        <f t="shared" si="12"/>
        <v>#VALUE!</v>
      </c>
      <c r="Y47" s="157" t="e">
        <f t="shared" si="13"/>
        <v>#NUM!</v>
      </c>
      <c r="Z47" s="50"/>
      <c r="AA47" s="3"/>
      <c r="AB47" s="60"/>
      <c r="AC47" s="60"/>
      <c r="AD47" s="60"/>
      <c r="AE47" s="60"/>
      <c r="AF47" s="60"/>
      <c r="AG47" s="60"/>
      <c r="AH47" s="60"/>
      <c r="AI47" s="1"/>
      <c r="AJ47" s="1"/>
      <c r="AK47" s="1"/>
    </row>
    <row r="48" spans="1:37" x14ac:dyDescent="0.2">
      <c r="A48" s="3"/>
      <c r="B48" s="3"/>
      <c r="C48" s="3"/>
      <c r="D48" s="3"/>
      <c r="E48" s="3"/>
      <c r="F48" s="3"/>
      <c r="G48" s="3"/>
      <c r="H48" s="155">
        <v>16</v>
      </c>
      <c r="I48" s="60">
        <v>2.1198999999999999</v>
      </c>
      <c r="J48" s="60">
        <v>3.63</v>
      </c>
      <c r="K48" s="60"/>
      <c r="L48" s="161"/>
      <c r="M48" s="3"/>
      <c r="N48" s="3"/>
      <c r="O48" s="156" t="e">
        <f t="shared" si="4"/>
        <v>#NUM!</v>
      </c>
      <c r="P48" s="208" t="e">
        <f t="shared" si="16"/>
        <v>#N/A</v>
      </c>
      <c r="Q48" s="156" t="e">
        <f t="shared" si="6"/>
        <v>#VALUE!</v>
      </c>
      <c r="R48" s="156" t="e">
        <f t="shared" si="7"/>
        <v>#VALUE!</v>
      </c>
      <c r="S48" s="156" t="e">
        <f t="shared" si="8"/>
        <v>#VALUE!</v>
      </c>
      <c r="T48" s="149" t="e">
        <f t="shared" si="9"/>
        <v>#VALUE!</v>
      </c>
      <c r="U48" s="157" t="e">
        <f t="shared" si="15"/>
        <v>#NUM!</v>
      </c>
      <c r="V48" s="149" t="e">
        <f t="shared" si="10"/>
        <v>#VALUE!</v>
      </c>
      <c r="W48" s="157" t="e">
        <f t="shared" si="11"/>
        <v>#NUM!</v>
      </c>
      <c r="X48" s="149" t="e">
        <f t="shared" si="12"/>
        <v>#VALUE!</v>
      </c>
      <c r="Y48" s="157" t="e">
        <f t="shared" si="13"/>
        <v>#NUM!</v>
      </c>
      <c r="Z48" s="50"/>
      <c r="AA48" s="3"/>
      <c r="AB48" s="60"/>
      <c r="AC48" s="60"/>
      <c r="AD48" s="60"/>
      <c r="AE48" s="60"/>
      <c r="AF48" s="60"/>
      <c r="AG48" s="60"/>
      <c r="AH48" s="60"/>
      <c r="AI48" s="1"/>
      <c r="AJ48" s="1"/>
      <c r="AK48" s="1"/>
    </row>
    <row r="49" spans="1:37" x14ac:dyDescent="0.2">
      <c r="A49" s="3"/>
      <c r="B49" s="3"/>
      <c r="C49" s="3"/>
      <c r="D49" s="3"/>
      <c r="E49" s="3"/>
      <c r="F49" s="3"/>
      <c r="G49" s="3"/>
      <c r="H49" s="155">
        <v>17</v>
      </c>
      <c r="I49" s="60">
        <v>2.1097999999999999</v>
      </c>
      <c r="J49" s="60">
        <v>3.59</v>
      </c>
      <c r="K49" s="60"/>
      <c r="L49" s="161"/>
      <c r="M49" s="3"/>
      <c r="N49" s="3"/>
      <c r="O49" s="156" t="e">
        <f t="shared" si="4"/>
        <v>#NUM!</v>
      </c>
      <c r="P49" s="208" t="e">
        <f t="shared" si="16"/>
        <v>#N/A</v>
      </c>
      <c r="Q49" s="156" t="e">
        <f t="shared" si="6"/>
        <v>#VALUE!</v>
      </c>
      <c r="R49" s="156" t="e">
        <f t="shared" si="7"/>
        <v>#VALUE!</v>
      </c>
      <c r="S49" s="156" t="e">
        <f t="shared" si="8"/>
        <v>#VALUE!</v>
      </c>
      <c r="T49" s="149" t="e">
        <f t="shared" si="9"/>
        <v>#VALUE!</v>
      </c>
      <c r="U49" s="157" t="e">
        <f t="shared" si="15"/>
        <v>#NUM!</v>
      </c>
      <c r="V49" s="149" t="e">
        <f t="shared" si="10"/>
        <v>#VALUE!</v>
      </c>
      <c r="W49" s="157" t="e">
        <f t="shared" si="11"/>
        <v>#NUM!</v>
      </c>
      <c r="X49" s="149" t="e">
        <f t="shared" si="12"/>
        <v>#VALUE!</v>
      </c>
      <c r="Y49" s="157" t="e">
        <f t="shared" si="13"/>
        <v>#NUM!</v>
      </c>
      <c r="Z49" s="50"/>
      <c r="AA49" s="3"/>
      <c r="AB49" s="60"/>
      <c r="AC49" s="60"/>
      <c r="AD49" s="60"/>
      <c r="AE49" s="60"/>
      <c r="AF49" s="60"/>
      <c r="AG49" s="60"/>
      <c r="AH49" s="60"/>
      <c r="AI49" s="1"/>
      <c r="AJ49" s="1"/>
      <c r="AK49" s="1"/>
    </row>
    <row r="50" spans="1:37" x14ac:dyDescent="0.2">
      <c r="A50" s="3"/>
      <c r="B50" s="3"/>
      <c r="C50" s="3"/>
      <c r="D50" s="3"/>
      <c r="E50" s="3"/>
      <c r="F50" s="3"/>
      <c r="G50" s="3"/>
      <c r="H50" s="155">
        <v>18</v>
      </c>
      <c r="I50" s="60">
        <v>2.1009000000000002</v>
      </c>
      <c r="J50" s="60">
        <v>3.55</v>
      </c>
      <c r="K50" s="60"/>
      <c r="L50" s="161"/>
      <c r="M50" s="3"/>
      <c r="N50" s="3"/>
      <c r="O50" s="156" t="e">
        <f t="shared" si="4"/>
        <v>#NUM!</v>
      </c>
      <c r="P50" s="208" t="e">
        <f t="shared" si="16"/>
        <v>#N/A</v>
      </c>
      <c r="Q50" s="156" t="e">
        <f t="shared" si="6"/>
        <v>#VALUE!</v>
      </c>
      <c r="R50" s="156" t="e">
        <f t="shared" si="7"/>
        <v>#VALUE!</v>
      </c>
      <c r="S50" s="156" t="e">
        <f t="shared" si="8"/>
        <v>#VALUE!</v>
      </c>
      <c r="T50" s="149" t="e">
        <f t="shared" si="9"/>
        <v>#VALUE!</v>
      </c>
      <c r="U50" s="157" t="e">
        <f t="shared" si="15"/>
        <v>#NUM!</v>
      </c>
      <c r="V50" s="149" t="e">
        <f t="shared" si="10"/>
        <v>#VALUE!</v>
      </c>
      <c r="W50" s="157" t="e">
        <f t="shared" si="11"/>
        <v>#NUM!</v>
      </c>
      <c r="X50" s="149" t="e">
        <f t="shared" si="12"/>
        <v>#VALUE!</v>
      </c>
      <c r="Y50" s="157" t="e">
        <f t="shared" si="13"/>
        <v>#NUM!</v>
      </c>
      <c r="Z50" s="50"/>
      <c r="AA50" s="3"/>
      <c r="AB50" s="60"/>
      <c r="AC50" s="60"/>
      <c r="AD50" s="60"/>
      <c r="AE50" s="60"/>
      <c r="AF50" s="60"/>
      <c r="AG50" s="60"/>
      <c r="AH50" s="60"/>
      <c r="AI50" s="1"/>
      <c r="AJ50" s="1"/>
      <c r="AK50" s="1"/>
    </row>
    <row r="51" spans="1:37" x14ac:dyDescent="0.2">
      <c r="A51" s="3"/>
      <c r="B51" s="3"/>
      <c r="C51" s="3"/>
      <c r="D51" s="3"/>
      <c r="E51" s="3"/>
      <c r="F51" s="3"/>
      <c r="G51" s="3"/>
      <c r="H51" s="155">
        <v>19</v>
      </c>
      <c r="I51" s="60">
        <v>2.093</v>
      </c>
      <c r="J51" s="60">
        <v>3.52</v>
      </c>
      <c r="K51" s="60"/>
      <c r="L51" s="161"/>
      <c r="M51" s="3"/>
      <c r="N51" s="3"/>
      <c r="O51" s="156" t="e">
        <f t="shared" si="4"/>
        <v>#NUM!</v>
      </c>
      <c r="P51" s="208" t="e">
        <f t="shared" si="16"/>
        <v>#N/A</v>
      </c>
      <c r="Q51" s="156" t="e">
        <f t="shared" si="6"/>
        <v>#VALUE!</v>
      </c>
      <c r="R51" s="156" t="e">
        <f t="shared" si="7"/>
        <v>#VALUE!</v>
      </c>
      <c r="S51" s="156" t="e">
        <f t="shared" si="8"/>
        <v>#VALUE!</v>
      </c>
      <c r="T51" s="149" t="e">
        <f t="shared" si="9"/>
        <v>#VALUE!</v>
      </c>
      <c r="U51" s="157" t="e">
        <f t="shared" si="15"/>
        <v>#NUM!</v>
      </c>
      <c r="V51" s="149" t="e">
        <f t="shared" si="10"/>
        <v>#VALUE!</v>
      </c>
      <c r="W51" s="157" t="e">
        <f t="shared" si="11"/>
        <v>#NUM!</v>
      </c>
      <c r="X51" s="149" t="e">
        <f t="shared" si="12"/>
        <v>#VALUE!</v>
      </c>
      <c r="Y51" s="157" t="e">
        <f t="shared" si="13"/>
        <v>#NUM!</v>
      </c>
      <c r="Z51" s="50"/>
      <c r="AA51" s="3"/>
      <c r="AB51" s="60"/>
      <c r="AC51" s="60"/>
      <c r="AD51" s="60"/>
      <c r="AE51" s="60"/>
      <c r="AF51" s="60"/>
      <c r="AG51" s="60"/>
      <c r="AH51" s="60"/>
      <c r="AI51" s="1"/>
      <c r="AJ51" s="1"/>
      <c r="AK51" s="1"/>
    </row>
    <row r="52" spans="1:37" x14ac:dyDescent="0.2">
      <c r="A52" s="3"/>
      <c r="B52" s="3"/>
      <c r="C52" s="3"/>
      <c r="D52" s="3"/>
      <c r="E52" s="3"/>
      <c r="F52" s="3"/>
      <c r="G52" s="3"/>
      <c r="H52" s="155">
        <v>20</v>
      </c>
      <c r="I52" s="60">
        <v>2.0859999999999999</v>
      </c>
      <c r="J52" s="60">
        <v>3.49</v>
      </c>
      <c r="K52" s="60"/>
      <c r="L52" s="161"/>
      <c r="M52" s="3"/>
      <c r="N52" s="3"/>
      <c r="O52" s="156" t="e">
        <f t="shared" si="4"/>
        <v>#NUM!</v>
      </c>
      <c r="P52" s="208" t="e">
        <f t="shared" si="16"/>
        <v>#N/A</v>
      </c>
      <c r="Q52" s="156" t="e">
        <f t="shared" si="6"/>
        <v>#VALUE!</v>
      </c>
      <c r="R52" s="156" t="e">
        <f t="shared" si="7"/>
        <v>#VALUE!</v>
      </c>
      <c r="S52" s="156" t="e">
        <f t="shared" si="8"/>
        <v>#VALUE!</v>
      </c>
      <c r="T52" s="149" t="e">
        <f t="shared" si="9"/>
        <v>#VALUE!</v>
      </c>
      <c r="U52" s="157" t="e">
        <f t="shared" si="15"/>
        <v>#NUM!</v>
      </c>
      <c r="V52" s="149" t="e">
        <f t="shared" si="10"/>
        <v>#VALUE!</v>
      </c>
      <c r="W52" s="157" t="e">
        <f t="shared" si="11"/>
        <v>#NUM!</v>
      </c>
      <c r="X52" s="149" t="e">
        <f t="shared" si="12"/>
        <v>#VALUE!</v>
      </c>
      <c r="Y52" s="157" t="e">
        <f t="shared" si="13"/>
        <v>#NUM!</v>
      </c>
      <c r="Z52" s="50"/>
      <c r="AA52" s="3"/>
      <c r="AB52" s="60"/>
      <c r="AC52" s="60"/>
      <c r="AD52" s="60"/>
      <c r="AE52" s="60"/>
      <c r="AF52" s="60"/>
      <c r="AG52" s="60"/>
      <c r="AH52" s="60"/>
      <c r="AI52" s="1"/>
      <c r="AJ52" s="1"/>
      <c r="AK52" s="1"/>
    </row>
    <row r="53" spans="1:37" x14ac:dyDescent="0.2">
      <c r="A53" s="3"/>
      <c r="B53" s="3"/>
      <c r="C53" s="3"/>
      <c r="D53" s="3"/>
      <c r="E53" s="3"/>
      <c r="F53" s="3"/>
      <c r="G53" s="3"/>
      <c r="H53" s="155">
        <v>21</v>
      </c>
      <c r="I53" s="60">
        <v>2.0796000000000001</v>
      </c>
      <c r="J53" s="60">
        <v>3.47</v>
      </c>
      <c r="K53" s="60"/>
      <c r="L53" s="161"/>
      <c r="M53" s="3"/>
      <c r="N53" s="3"/>
      <c r="O53" s="156" t="e">
        <f t="shared" si="4"/>
        <v>#NUM!</v>
      </c>
      <c r="P53" s="208" t="e">
        <f t="shared" si="16"/>
        <v>#N/A</v>
      </c>
      <c r="Q53" s="156" t="e">
        <f t="shared" si="6"/>
        <v>#VALUE!</v>
      </c>
      <c r="R53" s="156" t="e">
        <f t="shared" si="7"/>
        <v>#VALUE!</v>
      </c>
      <c r="S53" s="156" t="e">
        <f t="shared" si="8"/>
        <v>#VALUE!</v>
      </c>
      <c r="T53" s="149" t="e">
        <f t="shared" si="9"/>
        <v>#VALUE!</v>
      </c>
      <c r="U53" s="157" t="e">
        <f t="shared" si="15"/>
        <v>#NUM!</v>
      </c>
      <c r="V53" s="149" t="e">
        <f t="shared" si="10"/>
        <v>#VALUE!</v>
      </c>
      <c r="W53" s="157" t="e">
        <f t="shared" si="11"/>
        <v>#NUM!</v>
      </c>
      <c r="X53" s="149" t="e">
        <f t="shared" si="12"/>
        <v>#VALUE!</v>
      </c>
      <c r="Y53" s="157" t="e">
        <f t="shared" si="13"/>
        <v>#NUM!</v>
      </c>
      <c r="Z53" s="50"/>
      <c r="AA53" s="3"/>
      <c r="AB53" s="60"/>
      <c r="AC53" s="60"/>
      <c r="AD53" s="60"/>
      <c r="AE53" s="60"/>
      <c r="AF53" s="60"/>
      <c r="AG53" s="60"/>
      <c r="AH53" s="60"/>
      <c r="AI53" s="1"/>
      <c r="AJ53" s="1"/>
      <c r="AK53" s="1"/>
    </row>
    <row r="54" spans="1:37" x14ac:dyDescent="0.2">
      <c r="A54" s="3"/>
      <c r="B54" s="3"/>
      <c r="C54" s="3"/>
      <c r="D54" s="3"/>
      <c r="E54" s="3"/>
      <c r="F54" s="3"/>
      <c r="G54" s="3"/>
      <c r="H54" s="155">
        <v>22</v>
      </c>
      <c r="I54" s="60">
        <v>2.0739000000000001</v>
      </c>
      <c r="J54" s="60">
        <v>3.44</v>
      </c>
      <c r="K54" s="60"/>
      <c r="L54" s="161"/>
      <c r="M54" s="3"/>
      <c r="N54" s="3"/>
      <c r="O54" s="156" t="e">
        <f t="shared" si="4"/>
        <v>#NUM!</v>
      </c>
      <c r="P54" s="208" t="e">
        <f t="shared" si="16"/>
        <v>#N/A</v>
      </c>
      <c r="Q54" s="156" t="e">
        <f t="shared" si="6"/>
        <v>#VALUE!</v>
      </c>
      <c r="R54" s="156" t="e">
        <f t="shared" si="7"/>
        <v>#VALUE!</v>
      </c>
      <c r="S54" s="156" t="e">
        <f t="shared" si="8"/>
        <v>#VALUE!</v>
      </c>
      <c r="T54" s="149" t="e">
        <f t="shared" si="9"/>
        <v>#VALUE!</v>
      </c>
      <c r="U54" s="157" t="e">
        <f t="shared" si="15"/>
        <v>#NUM!</v>
      </c>
      <c r="V54" s="149" t="e">
        <f t="shared" si="10"/>
        <v>#VALUE!</v>
      </c>
      <c r="W54" s="157" t="e">
        <f t="shared" si="11"/>
        <v>#NUM!</v>
      </c>
      <c r="X54" s="149" t="e">
        <f t="shared" si="12"/>
        <v>#VALUE!</v>
      </c>
      <c r="Y54" s="157" t="e">
        <f t="shared" si="13"/>
        <v>#NUM!</v>
      </c>
      <c r="Z54" s="50"/>
      <c r="AA54" s="190"/>
      <c r="AB54" s="60"/>
      <c r="AC54" s="60"/>
      <c r="AD54" s="60"/>
      <c r="AE54" s="60"/>
      <c r="AF54" s="60"/>
      <c r="AG54" s="60"/>
      <c r="AH54" s="60"/>
      <c r="AI54" s="1"/>
      <c r="AJ54" s="1"/>
      <c r="AK54" s="1"/>
    </row>
    <row r="55" spans="1:37" x14ac:dyDescent="0.2">
      <c r="A55" s="3"/>
      <c r="B55" s="3"/>
      <c r="C55" s="3"/>
      <c r="D55" s="3"/>
      <c r="E55" s="3"/>
      <c r="F55" s="3"/>
      <c r="G55" s="3"/>
      <c r="H55" s="155">
        <v>23</v>
      </c>
      <c r="I55" s="60">
        <v>2.069</v>
      </c>
      <c r="J55" s="60">
        <v>3.42</v>
      </c>
      <c r="K55" s="60"/>
      <c r="L55" s="161"/>
      <c r="M55" s="3"/>
      <c r="N55" s="3"/>
      <c r="O55" s="156" t="e">
        <f t="shared" si="4"/>
        <v>#NUM!</v>
      </c>
      <c r="P55" s="208" t="e">
        <f t="shared" si="16"/>
        <v>#N/A</v>
      </c>
      <c r="Q55" s="156" t="e">
        <f t="shared" si="6"/>
        <v>#VALUE!</v>
      </c>
      <c r="R55" s="156" t="e">
        <f t="shared" si="7"/>
        <v>#VALUE!</v>
      </c>
      <c r="S55" s="156" t="e">
        <f t="shared" si="8"/>
        <v>#VALUE!</v>
      </c>
      <c r="T55" s="149" t="e">
        <f t="shared" si="9"/>
        <v>#VALUE!</v>
      </c>
      <c r="U55" s="157" t="e">
        <f t="shared" si="15"/>
        <v>#NUM!</v>
      </c>
      <c r="V55" s="149" t="e">
        <f t="shared" si="10"/>
        <v>#VALUE!</v>
      </c>
      <c r="W55" s="157" t="e">
        <f t="shared" si="11"/>
        <v>#NUM!</v>
      </c>
      <c r="X55" s="149" t="e">
        <f t="shared" si="12"/>
        <v>#VALUE!</v>
      </c>
      <c r="Y55" s="157" t="e">
        <f t="shared" si="13"/>
        <v>#NUM!</v>
      </c>
      <c r="Z55" s="3"/>
      <c r="AA55" s="3"/>
      <c r="AB55" s="60"/>
      <c r="AC55" s="60"/>
      <c r="AD55" s="60"/>
      <c r="AE55" s="60"/>
      <c r="AF55" s="60"/>
      <c r="AG55" s="60"/>
      <c r="AH55" s="60"/>
      <c r="AI55" s="1"/>
      <c r="AJ55" s="1"/>
      <c r="AK55" s="1"/>
    </row>
    <row r="56" spans="1:37" x14ac:dyDescent="0.2">
      <c r="A56" s="3"/>
      <c r="B56" s="3"/>
      <c r="C56" s="3"/>
      <c r="D56" s="3"/>
      <c r="E56" s="3"/>
      <c r="F56" s="3"/>
      <c r="G56" s="3"/>
      <c r="H56" s="155">
        <v>24</v>
      </c>
      <c r="I56" s="60">
        <v>2.0640000000000001</v>
      </c>
      <c r="J56" s="60">
        <v>3.4</v>
      </c>
      <c r="K56" s="60"/>
      <c r="L56" s="161"/>
      <c r="M56" s="3"/>
      <c r="N56" s="3"/>
      <c r="O56" s="156" t="e">
        <f t="shared" si="4"/>
        <v>#NUM!</v>
      </c>
      <c r="P56" s="208" t="e">
        <f t="shared" si="16"/>
        <v>#N/A</v>
      </c>
      <c r="Q56" s="156" t="e">
        <f t="shared" si="6"/>
        <v>#VALUE!</v>
      </c>
      <c r="R56" s="156" t="e">
        <f t="shared" si="7"/>
        <v>#VALUE!</v>
      </c>
      <c r="S56" s="156" t="e">
        <f t="shared" si="8"/>
        <v>#VALUE!</v>
      </c>
      <c r="T56" s="149" t="e">
        <f t="shared" si="9"/>
        <v>#VALUE!</v>
      </c>
      <c r="U56" s="157" t="e">
        <f t="shared" si="15"/>
        <v>#NUM!</v>
      </c>
      <c r="V56" s="149" t="e">
        <f t="shared" si="10"/>
        <v>#VALUE!</v>
      </c>
      <c r="W56" s="157" t="e">
        <f t="shared" si="11"/>
        <v>#NUM!</v>
      </c>
      <c r="X56" s="149" t="e">
        <f t="shared" si="12"/>
        <v>#VALUE!</v>
      </c>
      <c r="Y56" s="157" t="e">
        <f t="shared" si="13"/>
        <v>#NUM!</v>
      </c>
      <c r="Z56" s="3"/>
      <c r="AA56" s="3"/>
      <c r="AB56" s="60"/>
      <c r="AC56" s="60"/>
      <c r="AD56" s="60"/>
      <c r="AE56" s="60"/>
      <c r="AF56" s="60"/>
      <c r="AG56" s="60"/>
      <c r="AH56" s="60"/>
      <c r="AI56" s="1"/>
      <c r="AJ56" s="1"/>
      <c r="AK56" s="1"/>
    </row>
    <row r="57" spans="1:37" x14ac:dyDescent="0.2">
      <c r="A57" s="3"/>
      <c r="B57" s="3"/>
      <c r="C57" s="3"/>
      <c r="D57" s="3"/>
      <c r="E57" s="3"/>
      <c r="F57" s="3"/>
      <c r="G57" s="3"/>
      <c r="H57" s="155">
        <v>25</v>
      </c>
      <c r="I57" s="60">
        <v>2.06</v>
      </c>
      <c r="J57" s="60">
        <v>3.39</v>
      </c>
      <c r="K57" s="60"/>
      <c r="L57" s="161"/>
      <c r="M57" s="3"/>
      <c r="N57" s="3"/>
      <c r="O57" s="156" t="e">
        <f t="shared" si="4"/>
        <v>#NUM!</v>
      </c>
      <c r="P57" s="208" t="e">
        <f t="shared" si="16"/>
        <v>#N/A</v>
      </c>
      <c r="Q57" s="156" t="e">
        <f t="shared" si="6"/>
        <v>#VALUE!</v>
      </c>
      <c r="R57" s="156" t="e">
        <f t="shared" si="7"/>
        <v>#VALUE!</v>
      </c>
      <c r="S57" s="156" t="e">
        <f t="shared" si="8"/>
        <v>#VALUE!</v>
      </c>
      <c r="T57" s="149" t="e">
        <f t="shared" si="9"/>
        <v>#VALUE!</v>
      </c>
      <c r="U57" s="157" t="e">
        <f t="shared" si="15"/>
        <v>#NUM!</v>
      </c>
      <c r="V57" s="149" t="e">
        <f t="shared" si="10"/>
        <v>#VALUE!</v>
      </c>
      <c r="W57" s="157" t="e">
        <f t="shared" si="11"/>
        <v>#NUM!</v>
      </c>
      <c r="X57" s="149" t="e">
        <f t="shared" si="12"/>
        <v>#VALUE!</v>
      </c>
      <c r="Y57" s="157" t="e">
        <f t="shared" si="13"/>
        <v>#NUM!</v>
      </c>
      <c r="Z57" s="3"/>
      <c r="AA57" s="3"/>
      <c r="AB57" s="60"/>
      <c r="AC57" s="60"/>
      <c r="AD57" s="60"/>
      <c r="AE57" s="60"/>
      <c r="AF57" s="60"/>
      <c r="AG57" s="60"/>
      <c r="AH57" s="60"/>
      <c r="AI57" s="1"/>
      <c r="AJ57" s="1"/>
      <c r="AK57" s="1"/>
    </row>
    <row r="58" spans="1:37" x14ac:dyDescent="0.2">
      <c r="A58" s="3"/>
      <c r="B58" s="3"/>
      <c r="C58" s="3"/>
      <c r="D58" s="3"/>
      <c r="E58" s="3"/>
      <c r="F58" s="3"/>
      <c r="G58" s="3"/>
      <c r="H58" s="155">
        <v>26</v>
      </c>
      <c r="I58" s="60">
        <v>2.056</v>
      </c>
      <c r="J58" s="60">
        <v>3.37</v>
      </c>
      <c r="K58" s="60"/>
      <c r="L58" s="161"/>
      <c r="M58" s="3"/>
      <c r="N58" s="3"/>
      <c r="O58" s="156" t="e">
        <f t="shared" si="4"/>
        <v>#NUM!</v>
      </c>
      <c r="P58" s="208" t="e">
        <f t="shared" si="16"/>
        <v>#N/A</v>
      </c>
      <c r="Q58" s="156" t="e">
        <f t="shared" si="6"/>
        <v>#VALUE!</v>
      </c>
      <c r="R58" s="156" t="e">
        <f t="shared" si="7"/>
        <v>#VALUE!</v>
      </c>
      <c r="S58" s="156" t="e">
        <f t="shared" si="8"/>
        <v>#VALUE!</v>
      </c>
      <c r="T58" s="149" t="e">
        <f t="shared" si="9"/>
        <v>#VALUE!</v>
      </c>
      <c r="U58" s="157" t="e">
        <f t="shared" si="15"/>
        <v>#NUM!</v>
      </c>
      <c r="V58" s="149" t="e">
        <f t="shared" si="10"/>
        <v>#VALUE!</v>
      </c>
      <c r="W58" s="157" t="e">
        <f t="shared" si="11"/>
        <v>#NUM!</v>
      </c>
      <c r="X58" s="149" t="e">
        <f t="shared" si="12"/>
        <v>#VALUE!</v>
      </c>
      <c r="Y58" s="157" t="e">
        <f t="shared" si="13"/>
        <v>#NUM!</v>
      </c>
      <c r="Z58" s="3"/>
      <c r="AA58" s="191"/>
      <c r="AB58" s="60"/>
      <c r="AC58" s="60"/>
      <c r="AD58" s="60"/>
      <c r="AE58" s="60"/>
      <c r="AF58" s="60"/>
      <c r="AG58" s="60"/>
      <c r="AH58" s="60"/>
      <c r="AI58" s="1"/>
      <c r="AJ58" s="1"/>
      <c r="AK58" s="1"/>
    </row>
    <row r="59" spans="1:37" x14ac:dyDescent="0.2">
      <c r="A59" s="3"/>
      <c r="B59" s="3"/>
      <c r="C59" s="3"/>
      <c r="D59" s="3"/>
      <c r="E59" s="3"/>
      <c r="F59" s="3"/>
      <c r="G59" s="3"/>
      <c r="H59" s="155">
        <v>27</v>
      </c>
      <c r="I59" s="60">
        <v>2.052</v>
      </c>
      <c r="J59" s="60">
        <v>3.35</v>
      </c>
      <c r="K59" s="60"/>
      <c r="L59" s="161"/>
      <c r="M59" s="3"/>
      <c r="N59" s="3"/>
      <c r="O59" s="156" t="e">
        <f t="shared" si="4"/>
        <v>#NUM!</v>
      </c>
      <c r="P59" s="208" t="e">
        <f t="shared" si="16"/>
        <v>#N/A</v>
      </c>
      <c r="Q59" s="156" t="e">
        <f t="shared" si="6"/>
        <v>#VALUE!</v>
      </c>
      <c r="R59" s="156" t="e">
        <f t="shared" si="7"/>
        <v>#VALUE!</v>
      </c>
      <c r="S59" s="156" t="e">
        <f t="shared" si="8"/>
        <v>#VALUE!</v>
      </c>
      <c r="T59" s="149" t="e">
        <f t="shared" si="9"/>
        <v>#VALUE!</v>
      </c>
      <c r="U59" s="157" t="e">
        <f t="shared" si="15"/>
        <v>#NUM!</v>
      </c>
      <c r="V59" s="149" t="e">
        <f t="shared" si="10"/>
        <v>#VALUE!</v>
      </c>
      <c r="W59" s="157" t="e">
        <f t="shared" si="11"/>
        <v>#NUM!</v>
      </c>
      <c r="X59" s="149" t="e">
        <f t="shared" si="12"/>
        <v>#VALUE!</v>
      </c>
      <c r="Y59" s="157" t="e">
        <f t="shared" si="13"/>
        <v>#NUM!</v>
      </c>
      <c r="Z59" s="3"/>
      <c r="AA59" s="191"/>
      <c r="AB59" s="60"/>
      <c r="AC59" s="60"/>
      <c r="AD59" s="60"/>
      <c r="AE59" s="60"/>
      <c r="AF59" s="60"/>
      <c r="AG59" s="60"/>
      <c r="AH59" s="60"/>
      <c r="AI59" s="1"/>
      <c r="AJ59" s="1"/>
      <c r="AK59" s="1"/>
    </row>
    <row r="60" spans="1:37" x14ac:dyDescent="0.2">
      <c r="A60" s="3"/>
      <c r="B60" s="3"/>
      <c r="C60" s="3"/>
      <c r="D60" s="3"/>
      <c r="E60" s="3"/>
      <c r="F60" s="3"/>
      <c r="G60" s="3"/>
      <c r="H60" s="155">
        <v>28</v>
      </c>
      <c r="I60" s="60">
        <v>2.048</v>
      </c>
      <c r="J60" s="60">
        <v>3.34</v>
      </c>
      <c r="K60" s="60"/>
      <c r="L60" s="161"/>
      <c r="M60" s="3"/>
      <c r="N60" s="3"/>
      <c r="O60" s="156" t="e">
        <f t="shared" si="4"/>
        <v>#NUM!</v>
      </c>
      <c r="P60" s="208" t="e">
        <f t="shared" si="16"/>
        <v>#N/A</v>
      </c>
      <c r="Q60" s="156" t="e">
        <f t="shared" si="6"/>
        <v>#VALUE!</v>
      </c>
      <c r="R60" s="156" t="e">
        <f t="shared" si="7"/>
        <v>#VALUE!</v>
      </c>
      <c r="S60" s="156" t="e">
        <f t="shared" si="8"/>
        <v>#VALUE!</v>
      </c>
      <c r="T60" s="149" t="e">
        <f t="shared" si="9"/>
        <v>#VALUE!</v>
      </c>
      <c r="U60" s="157" t="e">
        <f t="shared" si="15"/>
        <v>#NUM!</v>
      </c>
      <c r="V60" s="149" t="e">
        <f t="shared" si="10"/>
        <v>#VALUE!</v>
      </c>
      <c r="W60" s="157" t="e">
        <f t="shared" si="11"/>
        <v>#NUM!</v>
      </c>
      <c r="X60" s="149" t="e">
        <f t="shared" si="12"/>
        <v>#VALUE!</v>
      </c>
      <c r="Y60" s="157" t="e">
        <f t="shared" si="13"/>
        <v>#NUM!</v>
      </c>
      <c r="Z60" s="3"/>
      <c r="AA60" s="3"/>
      <c r="AB60" s="60"/>
      <c r="AC60" s="60"/>
      <c r="AD60" s="60"/>
      <c r="AE60" s="60"/>
      <c r="AF60" s="60"/>
      <c r="AG60" s="60"/>
      <c r="AH60" s="60"/>
      <c r="AI60" s="1"/>
      <c r="AJ60" s="1"/>
      <c r="AK60" s="1"/>
    </row>
    <row r="61" spans="1:37" x14ac:dyDescent="0.2">
      <c r="A61" s="3"/>
      <c r="B61" s="3"/>
      <c r="C61" s="3"/>
      <c r="D61" s="3"/>
      <c r="E61" s="3"/>
      <c r="F61" s="3"/>
      <c r="G61" s="3"/>
      <c r="H61" s="155">
        <v>29</v>
      </c>
      <c r="I61" s="60">
        <v>2.0449999999999999</v>
      </c>
      <c r="J61" s="60">
        <v>3.33</v>
      </c>
      <c r="K61" s="60"/>
      <c r="L61" s="161"/>
      <c r="M61" s="3"/>
      <c r="N61" s="3"/>
      <c r="O61" s="156" t="e">
        <f t="shared" si="4"/>
        <v>#NUM!</v>
      </c>
      <c r="P61" s="208" t="e">
        <f t="shared" si="16"/>
        <v>#N/A</v>
      </c>
      <c r="Q61" s="156" t="e">
        <f t="shared" si="6"/>
        <v>#VALUE!</v>
      </c>
      <c r="R61" s="156" t="e">
        <f t="shared" si="7"/>
        <v>#VALUE!</v>
      </c>
      <c r="S61" s="156" t="e">
        <f t="shared" si="8"/>
        <v>#VALUE!</v>
      </c>
      <c r="T61" s="149" t="e">
        <f t="shared" si="9"/>
        <v>#VALUE!</v>
      </c>
      <c r="U61" s="157" t="e">
        <f t="shared" si="15"/>
        <v>#NUM!</v>
      </c>
      <c r="V61" s="149" t="e">
        <f t="shared" si="10"/>
        <v>#VALUE!</v>
      </c>
      <c r="W61" s="157" t="e">
        <f t="shared" si="11"/>
        <v>#NUM!</v>
      </c>
      <c r="X61" s="149" t="e">
        <f t="shared" si="12"/>
        <v>#VALUE!</v>
      </c>
      <c r="Y61" s="157" t="e">
        <f t="shared" si="13"/>
        <v>#NUM!</v>
      </c>
      <c r="Z61" s="3"/>
      <c r="AA61" s="3"/>
      <c r="AB61" s="60"/>
      <c r="AC61" s="60"/>
      <c r="AD61" s="60"/>
      <c r="AE61" s="60"/>
      <c r="AF61" s="60"/>
      <c r="AG61" s="60"/>
      <c r="AH61" s="60"/>
      <c r="AI61" s="1"/>
      <c r="AJ61" s="1"/>
      <c r="AK61" s="1"/>
    </row>
    <row r="62" spans="1:37" x14ac:dyDescent="0.2">
      <c r="A62" s="3"/>
      <c r="B62" s="3"/>
      <c r="C62" s="3"/>
      <c r="D62" s="3"/>
      <c r="E62" s="3"/>
      <c r="F62" s="3"/>
      <c r="G62" s="3"/>
      <c r="H62" s="155">
        <v>30</v>
      </c>
      <c r="I62" s="60">
        <v>2.0419999999999998</v>
      </c>
      <c r="J62" s="60">
        <v>3.32</v>
      </c>
      <c r="K62" s="60"/>
      <c r="L62" s="161"/>
      <c r="M62" s="3"/>
      <c r="N62" s="3"/>
      <c r="O62" s="156" t="e">
        <f t="shared" si="4"/>
        <v>#NUM!</v>
      </c>
      <c r="P62" s="208" t="e">
        <f t="shared" si="16"/>
        <v>#N/A</v>
      </c>
      <c r="Q62" s="156" t="e">
        <f t="shared" si="6"/>
        <v>#VALUE!</v>
      </c>
      <c r="R62" s="156" t="e">
        <f t="shared" si="7"/>
        <v>#VALUE!</v>
      </c>
      <c r="S62" s="156" t="e">
        <f t="shared" si="8"/>
        <v>#VALUE!</v>
      </c>
      <c r="T62" s="149" t="e">
        <f t="shared" si="9"/>
        <v>#VALUE!</v>
      </c>
      <c r="U62" s="157" t="e">
        <f t="shared" si="15"/>
        <v>#NUM!</v>
      </c>
      <c r="V62" s="149" t="e">
        <f t="shared" si="10"/>
        <v>#VALUE!</v>
      </c>
      <c r="W62" s="157" t="e">
        <f t="shared" si="11"/>
        <v>#NUM!</v>
      </c>
      <c r="X62" s="149" t="e">
        <f t="shared" si="12"/>
        <v>#VALUE!</v>
      </c>
      <c r="Y62" s="157" t="e">
        <f t="shared" si="13"/>
        <v>#NUM!</v>
      </c>
      <c r="Z62" s="3"/>
      <c r="AA62" s="148"/>
      <c r="AB62" s="60"/>
      <c r="AC62" s="60"/>
      <c r="AD62" s="60"/>
      <c r="AE62" s="60"/>
      <c r="AF62" s="60"/>
      <c r="AG62" s="60"/>
      <c r="AH62" s="60"/>
      <c r="AI62" s="1"/>
      <c r="AJ62" s="1"/>
      <c r="AK62" s="1"/>
    </row>
    <row r="63" spans="1:37" x14ac:dyDescent="0.2">
      <c r="A63" s="3"/>
      <c r="B63" s="3"/>
      <c r="C63" s="3"/>
      <c r="D63" s="3"/>
      <c r="E63" s="3"/>
      <c r="F63" s="3"/>
      <c r="G63" s="3"/>
      <c r="H63" s="155">
        <v>31</v>
      </c>
      <c r="I63" s="60">
        <v>2.0209999999999999</v>
      </c>
      <c r="J63" s="60">
        <v>3.23</v>
      </c>
      <c r="K63" s="60"/>
      <c r="L63" s="161"/>
      <c r="M63" s="3"/>
      <c r="N63" s="3"/>
      <c r="O63" s="156" t="e">
        <f t="shared" si="4"/>
        <v>#NUM!</v>
      </c>
      <c r="P63" s="208" t="e">
        <f t="shared" si="16"/>
        <v>#N/A</v>
      </c>
      <c r="Q63" s="156" t="e">
        <f t="shared" si="6"/>
        <v>#VALUE!</v>
      </c>
      <c r="R63" s="156" t="e">
        <f t="shared" si="7"/>
        <v>#VALUE!</v>
      </c>
      <c r="S63" s="156" t="e">
        <f t="shared" si="8"/>
        <v>#VALUE!</v>
      </c>
      <c r="T63" s="149" t="e">
        <f t="shared" si="9"/>
        <v>#VALUE!</v>
      </c>
      <c r="U63" s="157" t="e">
        <f t="shared" si="15"/>
        <v>#NUM!</v>
      </c>
      <c r="V63" s="149" t="e">
        <f t="shared" si="10"/>
        <v>#VALUE!</v>
      </c>
      <c r="W63" s="157" t="e">
        <f t="shared" si="11"/>
        <v>#NUM!</v>
      </c>
      <c r="X63" s="149" t="e">
        <f t="shared" si="12"/>
        <v>#VALUE!</v>
      </c>
      <c r="Y63" s="157" t="e">
        <f t="shared" si="13"/>
        <v>#NUM!</v>
      </c>
      <c r="Z63" s="3"/>
      <c r="AA63" s="3"/>
      <c r="AB63" s="60"/>
      <c r="AC63" s="60"/>
      <c r="AD63" s="60"/>
      <c r="AE63" s="60"/>
      <c r="AF63" s="60"/>
      <c r="AG63" s="60"/>
      <c r="AH63" s="60"/>
      <c r="AI63" s="1"/>
      <c r="AJ63" s="1"/>
      <c r="AK63" s="1"/>
    </row>
    <row r="64" spans="1:37" x14ac:dyDescent="0.2">
      <c r="A64" s="3"/>
      <c r="B64" s="3"/>
      <c r="C64" s="3"/>
      <c r="D64" s="3"/>
      <c r="E64" s="3"/>
      <c r="F64" s="3"/>
      <c r="G64" s="3"/>
      <c r="H64" s="155">
        <v>40</v>
      </c>
      <c r="I64" s="60">
        <v>2.0209999999999999</v>
      </c>
      <c r="J64" s="60">
        <v>3.23</v>
      </c>
      <c r="K64" s="60"/>
      <c r="L64" s="161"/>
      <c r="M64" s="3"/>
      <c r="N64" s="3"/>
      <c r="O64" s="156" t="e">
        <f t="shared" si="4"/>
        <v>#NUM!</v>
      </c>
      <c r="P64" s="208" t="e">
        <f t="shared" si="16"/>
        <v>#N/A</v>
      </c>
      <c r="Q64" s="156" t="e">
        <f t="shared" si="6"/>
        <v>#VALUE!</v>
      </c>
      <c r="R64" s="156" t="e">
        <f t="shared" si="7"/>
        <v>#VALUE!</v>
      </c>
      <c r="S64" s="156" t="e">
        <f t="shared" si="8"/>
        <v>#VALUE!</v>
      </c>
      <c r="T64" s="149" t="e">
        <f t="shared" si="9"/>
        <v>#VALUE!</v>
      </c>
      <c r="U64" s="157" t="e">
        <f t="shared" si="15"/>
        <v>#NUM!</v>
      </c>
      <c r="V64" s="149" t="e">
        <f t="shared" si="10"/>
        <v>#VALUE!</v>
      </c>
      <c r="W64" s="157" t="e">
        <f t="shared" si="11"/>
        <v>#NUM!</v>
      </c>
      <c r="X64" s="149" t="e">
        <f t="shared" si="12"/>
        <v>#VALUE!</v>
      </c>
      <c r="Y64" s="157" t="e">
        <f t="shared" si="13"/>
        <v>#NUM!</v>
      </c>
      <c r="Z64" s="3"/>
      <c r="AA64" s="3"/>
      <c r="AB64" s="60"/>
      <c r="AC64" s="60"/>
      <c r="AD64" s="60"/>
      <c r="AE64" s="60"/>
      <c r="AF64" s="60"/>
      <c r="AG64" s="60"/>
      <c r="AH64" s="60"/>
      <c r="AI64" s="1"/>
      <c r="AJ64" s="1"/>
      <c r="AK64" s="1"/>
    </row>
    <row r="65" spans="1:37" x14ac:dyDescent="0.2">
      <c r="A65" s="3"/>
      <c r="B65" s="3"/>
      <c r="C65" s="3"/>
      <c r="D65" s="3"/>
      <c r="E65" s="3"/>
      <c r="F65" s="3"/>
      <c r="G65" s="3"/>
      <c r="H65" s="155">
        <v>41</v>
      </c>
      <c r="I65" s="60">
        <v>2</v>
      </c>
      <c r="J65" s="60">
        <v>3.15</v>
      </c>
      <c r="K65" s="60"/>
      <c r="L65" s="161"/>
      <c r="M65" s="3"/>
      <c r="N65" s="3"/>
      <c r="O65" s="156" t="e">
        <f t="shared" si="4"/>
        <v>#NUM!</v>
      </c>
      <c r="P65" s="208" t="e">
        <f t="shared" si="16"/>
        <v>#N/A</v>
      </c>
      <c r="Q65" s="156" t="e">
        <f t="shared" si="6"/>
        <v>#VALUE!</v>
      </c>
      <c r="R65" s="156" t="e">
        <f t="shared" si="7"/>
        <v>#VALUE!</v>
      </c>
      <c r="S65" s="156" t="e">
        <f t="shared" si="8"/>
        <v>#VALUE!</v>
      </c>
      <c r="T65" s="149" t="e">
        <f t="shared" si="9"/>
        <v>#VALUE!</v>
      </c>
      <c r="U65" s="157" t="e">
        <f t="shared" si="15"/>
        <v>#NUM!</v>
      </c>
      <c r="V65" s="149" t="e">
        <f t="shared" si="10"/>
        <v>#VALUE!</v>
      </c>
      <c r="W65" s="157" t="e">
        <f t="shared" si="11"/>
        <v>#NUM!</v>
      </c>
      <c r="X65" s="149" t="e">
        <f t="shared" si="12"/>
        <v>#VALUE!</v>
      </c>
      <c r="Y65" s="157" t="e">
        <f t="shared" si="13"/>
        <v>#NUM!</v>
      </c>
      <c r="Z65" s="3"/>
      <c r="AA65" s="3"/>
      <c r="AB65" s="60"/>
      <c r="AC65" s="60"/>
      <c r="AD65" s="60"/>
      <c r="AE65" s="60"/>
      <c r="AF65" s="60"/>
      <c r="AG65" s="60"/>
      <c r="AH65" s="60"/>
      <c r="AI65" s="1"/>
      <c r="AJ65" s="1"/>
      <c r="AK65" s="1"/>
    </row>
    <row r="66" spans="1:37" x14ac:dyDescent="0.2">
      <c r="A66" s="3"/>
      <c r="B66" s="3"/>
      <c r="C66" s="3"/>
      <c r="D66" s="3"/>
      <c r="E66" s="3"/>
      <c r="F66" s="3"/>
      <c r="G66" s="3"/>
      <c r="H66" s="155">
        <v>60</v>
      </c>
      <c r="I66" s="60">
        <v>2</v>
      </c>
      <c r="J66" s="60">
        <v>3.15</v>
      </c>
      <c r="K66" s="60"/>
      <c r="L66" s="161"/>
      <c r="M66" s="3"/>
      <c r="N66" s="3"/>
      <c r="O66" s="156" t="e">
        <f t="shared" ref="O66:O102" si="17">LOG($I$19+($I$20-$I$19)*(ROW()-2)/100)</f>
        <v>#NUM!</v>
      </c>
      <c r="P66" s="208" t="e">
        <f t="shared" ref="P66:P97" si="18">SQRT(2*$I$16*$K$24)*SQRT((1/$I$1)+((O66-$I$10)^2/$I$7))</f>
        <v>#N/A</v>
      </c>
      <c r="Q66" s="156" t="e">
        <f t="shared" ref="Q66:Q102" si="19">+$I$13+$I$12*O66</f>
        <v>#VALUE!</v>
      </c>
      <c r="R66" s="156" t="e">
        <f t="shared" ref="R66:R102" si="20">+$I$13+$I$12*O66-P66</f>
        <v>#VALUE!</v>
      </c>
      <c r="S66" s="156" t="e">
        <f t="shared" ref="S66:S102" si="21">+$I$13+$I$12*O66+P66</f>
        <v>#VALUE!</v>
      </c>
      <c r="T66" s="149" t="e">
        <f t="shared" ref="T66:T102" si="22">10^Q66</f>
        <v>#VALUE!</v>
      </c>
      <c r="U66" s="157" t="e">
        <f t="shared" si="15"/>
        <v>#NUM!</v>
      </c>
      <c r="V66" s="149" t="e">
        <f t="shared" ref="V66:V102" si="23">10^R66</f>
        <v>#VALUE!</v>
      </c>
      <c r="W66" s="157" t="e">
        <f t="shared" ref="W66:W102" si="24">10^$O66</f>
        <v>#NUM!</v>
      </c>
      <c r="X66" s="149" t="e">
        <f t="shared" ref="X66:X102" si="25">10^S66</f>
        <v>#VALUE!</v>
      </c>
      <c r="Y66" s="157" t="e">
        <f t="shared" ref="Y66:Y102" si="26">10^$O66</f>
        <v>#NUM!</v>
      </c>
      <c r="Z66" s="3"/>
      <c r="AA66" s="60"/>
      <c r="AB66" s="60"/>
      <c r="AC66" s="60"/>
      <c r="AD66" s="60"/>
      <c r="AE66" s="60"/>
      <c r="AF66" s="60"/>
      <c r="AG66" s="60"/>
      <c r="AH66" s="60"/>
      <c r="AI66" s="1"/>
      <c r="AJ66" s="1"/>
      <c r="AK66" s="1"/>
    </row>
    <row r="67" spans="1:37" x14ac:dyDescent="0.2">
      <c r="A67" s="3"/>
      <c r="B67" s="3"/>
      <c r="C67" s="3"/>
      <c r="D67" s="3"/>
      <c r="E67" s="3"/>
      <c r="F67" s="3"/>
      <c r="G67" s="3"/>
      <c r="H67" s="155">
        <v>61</v>
      </c>
      <c r="I67" s="60">
        <v>1.98</v>
      </c>
      <c r="J67" s="60">
        <v>3.07</v>
      </c>
      <c r="K67" s="60"/>
      <c r="L67" s="161"/>
      <c r="M67" s="3"/>
      <c r="N67" s="3"/>
      <c r="O67" s="156" t="e">
        <f t="shared" si="17"/>
        <v>#NUM!</v>
      </c>
      <c r="P67" s="208" t="e">
        <f t="shared" si="18"/>
        <v>#N/A</v>
      </c>
      <c r="Q67" s="156" t="e">
        <f t="shared" si="19"/>
        <v>#VALUE!</v>
      </c>
      <c r="R67" s="156" t="e">
        <f t="shared" si="20"/>
        <v>#VALUE!</v>
      </c>
      <c r="S67" s="156" t="e">
        <f t="shared" si="21"/>
        <v>#VALUE!</v>
      </c>
      <c r="T67" s="149" t="e">
        <f t="shared" si="22"/>
        <v>#VALUE!</v>
      </c>
      <c r="U67" s="157" t="e">
        <f t="shared" ref="U67:U102" si="27">10^O67</f>
        <v>#NUM!</v>
      </c>
      <c r="V67" s="149" t="e">
        <f t="shared" si="23"/>
        <v>#VALUE!</v>
      </c>
      <c r="W67" s="157" t="e">
        <f t="shared" si="24"/>
        <v>#NUM!</v>
      </c>
      <c r="X67" s="149" t="e">
        <f t="shared" si="25"/>
        <v>#VALUE!</v>
      </c>
      <c r="Y67" s="157" t="e">
        <f t="shared" si="26"/>
        <v>#NUM!</v>
      </c>
      <c r="Z67" s="3"/>
      <c r="AA67" s="60"/>
      <c r="AB67" s="60"/>
      <c r="AC67" s="60"/>
      <c r="AD67" s="60"/>
      <c r="AE67" s="60"/>
      <c r="AF67" s="60"/>
      <c r="AG67" s="60"/>
      <c r="AH67" s="60"/>
      <c r="AI67" s="1"/>
      <c r="AJ67" s="1"/>
      <c r="AK67" s="1"/>
    </row>
    <row r="68" spans="1:37" x14ac:dyDescent="0.2">
      <c r="A68" s="3"/>
      <c r="B68" s="3"/>
      <c r="C68" s="3"/>
      <c r="D68" s="3"/>
      <c r="E68" s="3"/>
      <c r="F68" s="3"/>
      <c r="G68" s="3"/>
      <c r="H68" s="155">
        <v>120</v>
      </c>
      <c r="I68" s="60">
        <v>1.98</v>
      </c>
      <c r="J68" s="60">
        <v>3.07</v>
      </c>
      <c r="K68" s="60"/>
      <c r="L68" s="161"/>
      <c r="M68" s="3"/>
      <c r="N68" s="3"/>
      <c r="O68" s="156" t="e">
        <f t="shared" si="17"/>
        <v>#NUM!</v>
      </c>
      <c r="P68" s="208" t="e">
        <f t="shared" si="18"/>
        <v>#N/A</v>
      </c>
      <c r="Q68" s="156" t="e">
        <f t="shared" si="19"/>
        <v>#VALUE!</v>
      </c>
      <c r="R68" s="156" t="e">
        <f t="shared" si="20"/>
        <v>#VALUE!</v>
      </c>
      <c r="S68" s="156" t="e">
        <f t="shared" si="21"/>
        <v>#VALUE!</v>
      </c>
      <c r="T68" s="149" t="e">
        <f t="shared" si="22"/>
        <v>#VALUE!</v>
      </c>
      <c r="U68" s="157" t="e">
        <f t="shared" si="27"/>
        <v>#NUM!</v>
      </c>
      <c r="V68" s="149" t="e">
        <f t="shared" si="23"/>
        <v>#VALUE!</v>
      </c>
      <c r="W68" s="157" t="e">
        <f t="shared" si="24"/>
        <v>#NUM!</v>
      </c>
      <c r="X68" s="149" t="e">
        <f t="shared" si="25"/>
        <v>#VALUE!</v>
      </c>
      <c r="Y68" s="157" t="e">
        <f t="shared" si="26"/>
        <v>#NUM!</v>
      </c>
      <c r="Z68" s="3"/>
      <c r="AA68" s="60"/>
      <c r="AB68" s="60"/>
      <c r="AC68" s="60"/>
      <c r="AD68" s="60"/>
      <c r="AE68" s="60"/>
      <c r="AF68" s="60"/>
      <c r="AG68" s="60"/>
      <c r="AH68" s="60"/>
      <c r="AI68" s="1"/>
      <c r="AJ68" s="1"/>
      <c r="AK68" s="1"/>
    </row>
    <row r="69" spans="1:37" x14ac:dyDescent="0.2">
      <c r="A69" s="3"/>
      <c r="B69" s="3"/>
      <c r="C69" s="3"/>
      <c r="D69" s="3"/>
      <c r="E69" s="3"/>
      <c r="F69" s="3"/>
      <c r="G69" s="3"/>
      <c r="H69" s="155">
        <v>121</v>
      </c>
      <c r="I69" s="60">
        <v>1.96</v>
      </c>
      <c r="J69" s="60">
        <v>3</v>
      </c>
      <c r="K69" s="60"/>
      <c r="L69" s="161"/>
      <c r="M69" s="3"/>
      <c r="N69" s="3"/>
      <c r="O69" s="156" t="e">
        <f t="shared" si="17"/>
        <v>#NUM!</v>
      </c>
      <c r="P69" s="208" t="e">
        <f t="shared" si="18"/>
        <v>#N/A</v>
      </c>
      <c r="Q69" s="156" t="e">
        <f t="shared" si="19"/>
        <v>#VALUE!</v>
      </c>
      <c r="R69" s="156" t="e">
        <f t="shared" si="20"/>
        <v>#VALUE!</v>
      </c>
      <c r="S69" s="156" t="e">
        <f t="shared" si="21"/>
        <v>#VALUE!</v>
      </c>
      <c r="T69" s="149" t="e">
        <f t="shared" si="22"/>
        <v>#VALUE!</v>
      </c>
      <c r="U69" s="157" t="e">
        <f t="shared" si="27"/>
        <v>#NUM!</v>
      </c>
      <c r="V69" s="149" t="e">
        <f t="shared" si="23"/>
        <v>#VALUE!</v>
      </c>
      <c r="W69" s="157" t="e">
        <f t="shared" si="24"/>
        <v>#NUM!</v>
      </c>
      <c r="X69" s="149" t="e">
        <f t="shared" si="25"/>
        <v>#VALUE!</v>
      </c>
      <c r="Y69" s="157" t="e">
        <f t="shared" si="26"/>
        <v>#NUM!</v>
      </c>
      <c r="Z69" s="3"/>
      <c r="AA69" s="60"/>
      <c r="AB69" s="60"/>
      <c r="AC69" s="60"/>
      <c r="AD69" s="60"/>
      <c r="AE69" s="60"/>
      <c r="AF69" s="60"/>
      <c r="AG69" s="60"/>
      <c r="AH69" s="60"/>
      <c r="AI69" s="1"/>
      <c r="AJ69" s="1"/>
      <c r="AK69" s="1"/>
    </row>
    <row r="70" spans="1:37" ht="13.5" thickBot="1" x14ac:dyDescent="0.25">
      <c r="A70" s="3"/>
      <c r="B70" s="3"/>
      <c r="C70" s="3"/>
      <c r="D70" s="3"/>
      <c r="E70" s="3"/>
      <c r="F70" s="3"/>
      <c r="G70" s="3"/>
      <c r="H70" s="170"/>
      <c r="I70" s="185"/>
      <c r="J70" s="185"/>
      <c r="K70" s="185"/>
      <c r="L70" s="165"/>
      <c r="M70" s="3"/>
      <c r="N70" s="3"/>
      <c r="O70" s="156" t="e">
        <f t="shared" si="17"/>
        <v>#NUM!</v>
      </c>
      <c r="P70" s="208" t="e">
        <f t="shared" si="18"/>
        <v>#N/A</v>
      </c>
      <c r="Q70" s="156" t="e">
        <f t="shared" si="19"/>
        <v>#VALUE!</v>
      </c>
      <c r="R70" s="156" t="e">
        <f t="shared" si="20"/>
        <v>#VALUE!</v>
      </c>
      <c r="S70" s="156" t="e">
        <f t="shared" si="21"/>
        <v>#VALUE!</v>
      </c>
      <c r="T70" s="149" t="e">
        <f t="shared" si="22"/>
        <v>#VALUE!</v>
      </c>
      <c r="U70" s="157" t="e">
        <f t="shared" si="27"/>
        <v>#NUM!</v>
      </c>
      <c r="V70" s="149" t="e">
        <f t="shared" si="23"/>
        <v>#VALUE!</v>
      </c>
      <c r="W70" s="157" t="e">
        <f t="shared" si="24"/>
        <v>#NUM!</v>
      </c>
      <c r="X70" s="149" t="e">
        <f t="shared" si="25"/>
        <v>#VALUE!</v>
      </c>
      <c r="Y70" s="157" t="e">
        <f t="shared" si="26"/>
        <v>#NUM!</v>
      </c>
      <c r="Z70" s="3"/>
      <c r="AA70" s="60"/>
      <c r="AB70" s="60"/>
      <c r="AC70" s="60"/>
      <c r="AD70" s="60"/>
      <c r="AE70" s="60"/>
      <c r="AF70" s="60"/>
      <c r="AG70" s="60"/>
      <c r="AH70" s="60"/>
      <c r="AI70" s="1"/>
      <c r="AJ70" s="1"/>
      <c r="AK70" s="1"/>
    </row>
    <row r="71" spans="1:37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156" t="e">
        <f t="shared" si="17"/>
        <v>#NUM!</v>
      </c>
      <c r="P71" s="208" t="e">
        <f t="shared" si="18"/>
        <v>#N/A</v>
      </c>
      <c r="Q71" s="156" t="e">
        <f t="shared" si="19"/>
        <v>#VALUE!</v>
      </c>
      <c r="R71" s="156" t="e">
        <f t="shared" si="20"/>
        <v>#VALUE!</v>
      </c>
      <c r="S71" s="156" t="e">
        <f t="shared" si="21"/>
        <v>#VALUE!</v>
      </c>
      <c r="T71" s="149" t="e">
        <f t="shared" si="22"/>
        <v>#VALUE!</v>
      </c>
      <c r="U71" s="157" t="e">
        <f t="shared" si="27"/>
        <v>#NUM!</v>
      </c>
      <c r="V71" s="149" t="e">
        <f t="shared" si="23"/>
        <v>#VALUE!</v>
      </c>
      <c r="W71" s="157" t="e">
        <f t="shared" si="24"/>
        <v>#NUM!</v>
      </c>
      <c r="X71" s="149" t="e">
        <f t="shared" si="25"/>
        <v>#VALUE!</v>
      </c>
      <c r="Y71" s="157" t="e">
        <f t="shared" si="26"/>
        <v>#NUM!</v>
      </c>
      <c r="Z71" s="3"/>
      <c r="AA71" s="60"/>
      <c r="AB71" s="60"/>
      <c r="AC71" s="60"/>
      <c r="AD71" s="60"/>
      <c r="AE71" s="60"/>
      <c r="AF71" s="60"/>
      <c r="AG71" s="60"/>
      <c r="AH71" s="60"/>
      <c r="AI71" s="1"/>
      <c r="AJ71" s="1"/>
      <c r="AK71" s="1"/>
    </row>
    <row r="72" spans="1:37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156" t="e">
        <f t="shared" si="17"/>
        <v>#NUM!</v>
      </c>
      <c r="P72" s="208" t="e">
        <f t="shared" si="18"/>
        <v>#N/A</v>
      </c>
      <c r="Q72" s="156" t="e">
        <f t="shared" si="19"/>
        <v>#VALUE!</v>
      </c>
      <c r="R72" s="156" t="e">
        <f t="shared" si="20"/>
        <v>#VALUE!</v>
      </c>
      <c r="S72" s="156" t="e">
        <f t="shared" si="21"/>
        <v>#VALUE!</v>
      </c>
      <c r="T72" s="149" t="e">
        <f t="shared" si="22"/>
        <v>#VALUE!</v>
      </c>
      <c r="U72" s="157" t="e">
        <f t="shared" si="27"/>
        <v>#NUM!</v>
      </c>
      <c r="V72" s="149" t="e">
        <f t="shared" si="23"/>
        <v>#VALUE!</v>
      </c>
      <c r="W72" s="157" t="e">
        <f t="shared" si="24"/>
        <v>#NUM!</v>
      </c>
      <c r="X72" s="149" t="e">
        <f t="shared" si="25"/>
        <v>#VALUE!</v>
      </c>
      <c r="Y72" s="157" t="e">
        <f t="shared" si="26"/>
        <v>#NUM!</v>
      </c>
      <c r="Z72" s="3"/>
      <c r="AA72" s="60"/>
      <c r="AB72" s="60"/>
      <c r="AC72" s="60"/>
      <c r="AD72" s="60"/>
      <c r="AE72" s="60"/>
      <c r="AF72" s="60"/>
      <c r="AG72" s="60"/>
      <c r="AH72" s="60"/>
      <c r="AI72" s="1"/>
      <c r="AJ72" s="1"/>
      <c r="AK72" s="1"/>
    </row>
    <row r="73" spans="1:37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156" t="e">
        <f t="shared" si="17"/>
        <v>#NUM!</v>
      </c>
      <c r="P73" s="208" t="e">
        <f t="shared" si="18"/>
        <v>#N/A</v>
      </c>
      <c r="Q73" s="156" t="e">
        <f t="shared" si="19"/>
        <v>#VALUE!</v>
      </c>
      <c r="R73" s="156" t="e">
        <f t="shared" si="20"/>
        <v>#VALUE!</v>
      </c>
      <c r="S73" s="156" t="e">
        <f t="shared" si="21"/>
        <v>#VALUE!</v>
      </c>
      <c r="T73" s="149" t="e">
        <f t="shared" si="22"/>
        <v>#VALUE!</v>
      </c>
      <c r="U73" s="157" t="e">
        <f t="shared" si="27"/>
        <v>#NUM!</v>
      </c>
      <c r="V73" s="149" t="e">
        <f t="shared" si="23"/>
        <v>#VALUE!</v>
      </c>
      <c r="W73" s="157" t="e">
        <f t="shared" si="24"/>
        <v>#NUM!</v>
      </c>
      <c r="X73" s="149" t="e">
        <f t="shared" si="25"/>
        <v>#VALUE!</v>
      </c>
      <c r="Y73" s="157" t="e">
        <f t="shared" si="26"/>
        <v>#NUM!</v>
      </c>
      <c r="Z73" s="3"/>
      <c r="AA73" s="60"/>
      <c r="AB73" s="60"/>
      <c r="AC73" s="60"/>
      <c r="AD73" s="60"/>
      <c r="AE73" s="60"/>
      <c r="AF73" s="60"/>
      <c r="AG73" s="60"/>
      <c r="AH73" s="60"/>
      <c r="AI73" s="1"/>
      <c r="AJ73" s="1"/>
      <c r="AK73" s="1"/>
    </row>
    <row r="74" spans="1:37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156" t="e">
        <f t="shared" si="17"/>
        <v>#NUM!</v>
      </c>
      <c r="P74" s="208" t="e">
        <f t="shared" si="18"/>
        <v>#N/A</v>
      </c>
      <c r="Q74" s="156" t="e">
        <f t="shared" si="19"/>
        <v>#VALUE!</v>
      </c>
      <c r="R74" s="156" t="e">
        <f t="shared" si="20"/>
        <v>#VALUE!</v>
      </c>
      <c r="S74" s="156" t="e">
        <f t="shared" si="21"/>
        <v>#VALUE!</v>
      </c>
      <c r="T74" s="149" t="e">
        <f t="shared" si="22"/>
        <v>#VALUE!</v>
      </c>
      <c r="U74" s="157" t="e">
        <f t="shared" si="27"/>
        <v>#NUM!</v>
      </c>
      <c r="V74" s="149" t="e">
        <f t="shared" si="23"/>
        <v>#VALUE!</v>
      </c>
      <c r="W74" s="157" t="e">
        <f t="shared" si="24"/>
        <v>#NUM!</v>
      </c>
      <c r="X74" s="149" t="e">
        <f t="shared" si="25"/>
        <v>#VALUE!</v>
      </c>
      <c r="Y74" s="157" t="e">
        <f t="shared" si="26"/>
        <v>#NUM!</v>
      </c>
      <c r="Z74" s="3"/>
      <c r="AA74" s="60"/>
      <c r="AB74" s="60"/>
      <c r="AC74" s="60"/>
      <c r="AD74" s="60"/>
      <c r="AE74" s="60"/>
      <c r="AF74" s="60"/>
      <c r="AG74" s="60"/>
      <c r="AH74" s="60"/>
      <c r="AI74" s="1"/>
      <c r="AJ74" s="1"/>
      <c r="AK74" s="1"/>
    </row>
    <row r="75" spans="1:37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156" t="e">
        <f t="shared" si="17"/>
        <v>#NUM!</v>
      </c>
      <c r="P75" s="208" t="e">
        <f t="shared" si="18"/>
        <v>#N/A</v>
      </c>
      <c r="Q75" s="156" t="e">
        <f t="shared" si="19"/>
        <v>#VALUE!</v>
      </c>
      <c r="R75" s="156" t="e">
        <f t="shared" si="20"/>
        <v>#VALUE!</v>
      </c>
      <c r="S75" s="156" t="e">
        <f t="shared" si="21"/>
        <v>#VALUE!</v>
      </c>
      <c r="T75" s="149" t="e">
        <f t="shared" si="22"/>
        <v>#VALUE!</v>
      </c>
      <c r="U75" s="157" t="e">
        <f t="shared" si="27"/>
        <v>#NUM!</v>
      </c>
      <c r="V75" s="149" t="e">
        <f t="shared" si="23"/>
        <v>#VALUE!</v>
      </c>
      <c r="W75" s="157" t="e">
        <f t="shared" si="24"/>
        <v>#NUM!</v>
      </c>
      <c r="X75" s="149" t="e">
        <f t="shared" si="25"/>
        <v>#VALUE!</v>
      </c>
      <c r="Y75" s="157" t="e">
        <f t="shared" si="26"/>
        <v>#NUM!</v>
      </c>
      <c r="Z75" s="3"/>
      <c r="AA75" s="60"/>
      <c r="AB75" s="60"/>
      <c r="AC75" s="60"/>
      <c r="AD75" s="60"/>
      <c r="AE75" s="60"/>
      <c r="AF75" s="60"/>
      <c r="AG75" s="60"/>
      <c r="AH75" s="60"/>
      <c r="AI75" s="1"/>
      <c r="AJ75" s="1"/>
      <c r="AK75" s="1"/>
    </row>
    <row r="76" spans="1:37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156" t="e">
        <f t="shared" si="17"/>
        <v>#NUM!</v>
      </c>
      <c r="P76" s="208" t="e">
        <f t="shared" si="18"/>
        <v>#N/A</v>
      </c>
      <c r="Q76" s="156" t="e">
        <f t="shared" si="19"/>
        <v>#VALUE!</v>
      </c>
      <c r="R76" s="156" t="e">
        <f t="shared" si="20"/>
        <v>#VALUE!</v>
      </c>
      <c r="S76" s="156" t="e">
        <f t="shared" si="21"/>
        <v>#VALUE!</v>
      </c>
      <c r="T76" s="149" t="e">
        <f t="shared" si="22"/>
        <v>#VALUE!</v>
      </c>
      <c r="U76" s="157" t="e">
        <f t="shared" si="27"/>
        <v>#NUM!</v>
      </c>
      <c r="V76" s="149" t="e">
        <f t="shared" si="23"/>
        <v>#VALUE!</v>
      </c>
      <c r="W76" s="157" t="e">
        <f t="shared" si="24"/>
        <v>#NUM!</v>
      </c>
      <c r="X76" s="149" t="e">
        <f t="shared" si="25"/>
        <v>#VALUE!</v>
      </c>
      <c r="Y76" s="157" t="e">
        <f t="shared" si="26"/>
        <v>#NUM!</v>
      </c>
      <c r="Z76" s="3"/>
      <c r="AA76" s="60"/>
      <c r="AB76" s="60"/>
      <c r="AC76" s="60"/>
      <c r="AD76" s="60"/>
      <c r="AE76" s="60"/>
      <c r="AF76" s="60"/>
      <c r="AG76" s="60"/>
      <c r="AH76" s="60"/>
      <c r="AI76" s="1"/>
      <c r="AJ76" s="1"/>
      <c r="AK76" s="1"/>
    </row>
    <row r="77" spans="1:37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156" t="e">
        <f t="shared" si="17"/>
        <v>#NUM!</v>
      </c>
      <c r="P77" s="208" t="e">
        <f t="shared" si="18"/>
        <v>#N/A</v>
      </c>
      <c r="Q77" s="156" t="e">
        <f t="shared" si="19"/>
        <v>#VALUE!</v>
      </c>
      <c r="R77" s="156" t="e">
        <f t="shared" si="20"/>
        <v>#VALUE!</v>
      </c>
      <c r="S77" s="156" t="e">
        <f t="shared" si="21"/>
        <v>#VALUE!</v>
      </c>
      <c r="T77" s="149" t="e">
        <f t="shared" si="22"/>
        <v>#VALUE!</v>
      </c>
      <c r="U77" s="157" t="e">
        <f t="shared" si="27"/>
        <v>#NUM!</v>
      </c>
      <c r="V77" s="149" t="e">
        <f t="shared" si="23"/>
        <v>#VALUE!</v>
      </c>
      <c r="W77" s="157" t="e">
        <f t="shared" si="24"/>
        <v>#NUM!</v>
      </c>
      <c r="X77" s="149" t="e">
        <f t="shared" si="25"/>
        <v>#VALUE!</v>
      </c>
      <c r="Y77" s="157" t="e">
        <f t="shared" si="26"/>
        <v>#NUM!</v>
      </c>
      <c r="Z77" s="3"/>
      <c r="AA77" s="60"/>
      <c r="AB77" s="60"/>
      <c r="AC77" s="60"/>
      <c r="AD77" s="60"/>
      <c r="AE77" s="60"/>
      <c r="AF77" s="60"/>
      <c r="AG77" s="60"/>
      <c r="AH77" s="60"/>
      <c r="AI77" s="1"/>
      <c r="AJ77" s="1"/>
      <c r="AK77" s="1"/>
    </row>
    <row r="78" spans="1:37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156" t="e">
        <f t="shared" si="17"/>
        <v>#NUM!</v>
      </c>
      <c r="P78" s="208" t="e">
        <f t="shared" si="18"/>
        <v>#N/A</v>
      </c>
      <c r="Q78" s="156" t="e">
        <f t="shared" si="19"/>
        <v>#VALUE!</v>
      </c>
      <c r="R78" s="156" t="e">
        <f t="shared" si="20"/>
        <v>#VALUE!</v>
      </c>
      <c r="S78" s="156" t="e">
        <f t="shared" si="21"/>
        <v>#VALUE!</v>
      </c>
      <c r="T78" s="149" t="e">
        <f t="shared" si="22"/>
        <v>#VALUE!</v>
      </c>
      <c r="U78" s="157" t="e">
        <f t="shared" si="27"/>
        <v>#NUM!</v>
      </c>
      <c r="V78" s="149" t="e">
        <f t="shared" si="23"/>
        <v>#VALUE!</v>
      </c>
      <c r="W78" s="157" t="e">
        <f t="shared" si="24"/>
        <v>#NUM!</v>
      </c>
      <c r="X78" s="149" t="e">
        <f t="shared" si="25"/>
        <v>#VALUE!</v>
      </c>
      <c r="Y78" s="157" t="e">
        <f t="shared" si="26"/>
        <v>#NUM!</v>
      </c>
      <c r="Z78" s="3"/>
      <c r="AA78" s="60"/>
      <c r="AB78" s="60"/>
      <c r="AC78" s="60"/>
      <c r="AD78" s="60"/>
      <c r="AE78" s="60"/>
      <c r="AF78" s="60"/>
      <c r="AG78" s="60"/>
      <c r="AH78" s="60"/>
      <c r="AI78" s="1"/>
      <c r="AJ78" s="1"/>
      <c r="AK78" s="1"/>
    </row>
    <row r="79" spans="1:37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156" t="e">
        <f t="shared" si="17"/>
        <v>#NUM!</v>
      </c>
      <c r="P79" s="208" t="e">
        <f t="shared" si="18"/>
        <v>#N/A</v>
      </c>
      <c r="Q79" s="156" t="e">
        <f t="shared" si="19"/>
        <v>#VALUE!</v>
      </c>
      <c r="R79" s="156" t="e">
        <f t="shared" si="20"/>
        <v>#VALUE!</v>
      </c>
      <c r="S79" s="156" t="e">
        <f t="shared" si="21"/>
        <v>#VALUE!</v>
      </c>
      <c r="T79" s="149" t="e">
        <f t="shared" si="22"/>
        <v>#VALUE!</v>
      </c>
      <c r="U79" s="157" t="e">
        <f t="shared" si="27"/>
        <v>#NUM!</v>
      </c>
      <c r="V79" s="149" t="e">
        <f t="shared" si="23"/>
        <v>#VALUE!</v>
      </c>
      <c r="W79" s="157" t="e">
        <f t="shared" si="24"/>
        <v>#NUM!</v>
      </c>
      <c r="X79" s="149" t="e">
        <f t="shared" si="25"/>
        <v>#VALUE!</v>
      </c>
      <c r="Y79" s="157" t="e">
        <f t="shared" si="26"/>
        <v>#NUM!</v>
      </c>
      <c r="Z79" s="3"/>
      <c r="AA79" s="60"/>
      <c r="AB79" s="60"/>
      <c r="AC79" s="60"/>
      <c r="AD79" s="60"/>
      <c r="AE79" s="60"/>
      <c r="AF79" s="60"/>
      <c r="AG79" s="60"/>
      <c r="AH79" s="60"/>
      <c r="AI79" s="1"/>
      <c r="AJ79" s="1"/>
      <c r="AK79" s="1"/>
    </row>
    <row r="80" spans="1:37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156" t="e">
        <f t="shared" si="17"/>
        <v>#NUM!</v>
      </c>
      <c r="P80" s="208" t="e">
        <f t="shared" si="18"/>
        <v>#N/A</v>
      </c>
      <c r="Q80" s="156" t="e">
        <f t="shared" si="19"/>
        <v>#VALUE!</v>
      </c>
      <c r="R80" s="156" t="e">
        <f t="shared" si="20"/>
        <v>#VALUE!</v>
      </c>
      <c r="S80" s="156" t="e">
        <f t="shared" si="21"/>
        <v>#VALUE!</v>
      </c>
      <c r="T80" s="149" t="e">
        <f t="shared" si="22"/>
        <v>#VALUE!</v>
      </c>
      <c r="U80" s="157" t="e">
        <f t="shared" si="27"/>
        <v>#NUM!</v>
      </c>
      <c r="V80" s="149" t="e">
        <f t="shared" si="23"/>
        <v>#VALUE!</v>
      </c>
      <c r="W80" s="157" t="e">
        <f t="shared" si="24"/>
        <v>#NUM!</v>
      </c>
      <c r="X80" s="149" t="e">
        <f t="shared" si="25"/>
        <v>#VALUE!</v>
      </c>
      <c r="Y80" s="157" t="e">
        <f t="shared" si="26"/>
        <v>#NUM!</v>
      </c>
      <c r="Z80" s="3"/>
      <c r="AA80" s="60"/>
      <c r="AB80" s="60"/>
      <c r="AC80" s="60"/>
      <c r="AD80" s="60"/>
      <c r="AE80" s="60"/>
      <c r="AF80" s="60"/>
      <c r="AG80" s="60"/>
      <c r="AH80" s="60"/>
      <c r="AI80" s="1"/>
      <c r="AJ80" s="1"/>
      <c r="AK80" s="1"/>
    </row>
    <row r="81" spans="1:37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156" t="e">
        <f t="shared" si="17"/>
        <v>#NUM!</v>
      </c>
      <c r="P81" s="208" t="e">
        <f t="shared" si="18"/>
        <v>#N/A</v>
      </c>
      <c r="Q81" s="156" t="e">
        <f t="shared" si="19"/>
        <v>#VALUE!</v>
      </c>
      <c r="R81" s="156" t="e">
        <f t="shared" si="20"/>
        <v>#VALUE!</v>
      </c>
      <c r="S81" s="156" t="e">
        <f t="shared" si="21"/>
        <v>#VALUE!</v>
      </c>
      <c r="T81" s="149" t="e">
        <f t="shared" si="22"/>
        <v>#VALUE!</v>
      </c>
      <c r="U81" s="157" t="e">
        <f t="shared" si="27"/>
        <v>#NUM!</v>
      </c>
      <c r="V81" s="149" t="e">
        <f t="shared" si="23"/>
        <v>#VALUE!</v>
      </c>
      <c r="W81" s="157" t="e">
        <f t="shared" si="24"/>
        <v>#NUM!</v>
      </c>
      <c r="X81" s="149" t="e">
        <f t="shared" si="25"/>
        <v>#VALUE!</v>
      </c>
      <c r="Y81" s="157" t="e">
        <f t="shared" si="26"/>
        <v>#NUM!</v>
      </c>
      <c r="Z81" s="3"/>
      <c r="AA81" s="60"/>
      <c r="AB81" s="60"/>
      <c r="AC81" s="60"/>
      <c r="AD81" s="60"/>
      <c r="AE81" s="60"/>
      <c r="AF81" s="60"/>
      <c r="AG81" s="60"/>
      <c r="AH81" s="60"/>
      <c r="AI81" s="1"/>
      <c r="AJ81" s="1"/>
      <c r="AK81" s="1"/>
    </row>
    <row r="82" spans="1:37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156" t="e">
        <f t="shared" si="17"/>
        <v>#NUM!</v>
      </c>
      <c r="P82" s="208" t="e">
        <f t="shared" si="18"/>
        <v>#N/A</v>
      </c>
      <c r="Q82" s="156" t="e">
        <f t="shared" si="19"/>
        <v>#VALUE!</v>
      </c>
      <c r="R82" s="156" t="e">
        <f t="shared" si="20"/>
        <v>#VALUE!</v>
      </c>
      <c r="S82" s="156" t="e">
        <f t="shared" si="21"/>
        <v>#VALUE!</v>
      </c>
      <c r="T82" s="149" t="e">
        <f t="shared" si="22"/>
        <v>#VALUE!</v>
      </c>
      <c r="U82" s="157" t="e">
        <f t="shared" si="27"/>
        <v>#NUM!</v>
      </c>
      <c r="V82" s="149" t="e">
        <f t="shared" si="23"/>
        <v>#VALUE!</v>
      </c>
      <c r="W82" s="157" t="e">
        <f t="shared" si="24"/>
        <v>#NUM!</v>
      </c>
      <c r="X82" s="149" t="e">
        <f t="shared" si="25"/>
        <v>#VALUE!</v>
      </c>
      <c r="Y82" s="157" t="e">
        <f t="shared" si="26"/>
        <v>#NUM!</v>
      </c>
      <c r="Z82" s="3"/>
      <c r="AA82" s="60"/>
      <c r="AB82" s="60"/>
      <c r="AC82" s="60"/>
      <c r="AD82" s="60"/>
      <c r="AE82" s="60"/>
      <c r="AF82" s="60"/>
      <c r="AG82" s="60"/>
      <c r="AH82" s="60"/>
      <c r="AI82" s="1"/>
      <c r="AJ82" s="1"/>
      <c r="AK82" s="1"/>
    </row>
    <row r="83" spans="1:37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156" t="e">
        <f t="shared" si="17"/>
        <v>#NUM!</v>
      </c>
      <c r="P83" s="208" t="e">
        <f t="shared" si="18"/>
        <v>#N/A</v>
      </c>
      <c r="Q83" s="156" t="e">
        <f t="shared" si="19"/>
        <v>#VALUE!</v>
      </c>
      <c r="R83" s="156" t="e">
        <f t="shared" si="20"/>
        <v>#VALUE!</v>
      </c>
      <c r="S83" s="156" t="e">
        <f t="shared" si="21"/>
        <v>#VALUE!</v>
      </c>
      <c r="T83" s="149" t="e">
        <f t="shared" si="22"/>
        <v>#VALUE!</v>
      </c>
      <c r="U83" s="157" t="e">
        <f t="shared" si="27"/>
        <v>#NUM!</v>
      </c>
      <c r="V83" s="149" t="e">
        <f t="shared" si="23"/>
        <v>#VALUE!</v>
      </c>
      <c r="W83" s="157" t="e">
        <f t="shared" si="24"/>
        <v>#NUM!</v>
      </c>
      <c r="X83" s="149" t="e">
        <f t="shared" si="25"/>
        <v>#VALUE!</v>
      </c>
      <c r="Y83" s="157" t="e">
        <f t="shared" si="26"/>
        <v>#NUM!</v>
      </c>
      <c r="Z83" s="3"/>
      <c r="AA83" s="60"/>
      <c r="AB83" s="60"/>
      <c r="AC83" s="60"/>
      <c r="AD83" s="60"/>
      <c r="AE83" s="60"/>
      <c r="AF83" s="60"/>
      <c r="AG83" s="60"/>
      <c r="AH83" s="60"/>
      <c r="AI83" s="1"/>
      <c r="AJ83" s="1"/>
      <c r="AK83" s="1"/>
    </row>
    <row r="84" spans="1:37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156" t="e">
        <f t="shared" si="17"/>
        <v>#NUM!</v>
      </c>
      <c r="P84" s="208" t="e">
        <f t="shared" si="18"/>
        <v>#N/A</v>
      </c>
      <c r="Q84" s="156" t="e">
        <f t="shared" si="19"/>
        <v>#VALUE!</v>
      </c>
      <c r="R84" s="156" t="e">
        <f t="shared" si="20"/>
        <v>#VALUE!</v>
      </c>
      <c r="S84" s="156" t="e">
        <f t="shared" si="21"/>
        <v>#VALUE!</v>
      </c>
      <c r="T84" s="149" t="e">
        <f t="shared" si="22"/>
        <v>#VALUE!</v>
      </c>
      <c r="U84" s="157" t="e">
        <f t="shared" si="27"/>
        <v>#NUM!</v>
      </c>
      <c r="V84" s="149" t="e">
        <f t="shared" si="23"/>
        <v>#VALUE!</v>
      </c>
      <c r="W84" s="157" t="e">
        <f t="shared" si="24"/>
        <v>#NUM!</v>
      </c>
      <c r="X84" s="149" t="e">
        <f t="shared" si="25"/>
        <v>#VALUE!</v>
      </c>
      <c r="Y84" s="157" t="e">
        <f t="shared" si="26"/>
        <v>#NUM!</v>
      </c>
      <c r="Z84" s="3"/>
      <c r="AA84" s="60"/>
      <c r="AB84" s="60"/>
      <c r="AC84" s="60"/>
      <c r="AD84" s="60"/>
      <c r="AE84" s="60"/>
      <c r="AF84" s="60"/>
      <c r="AG84" s="60"/>
      <c r="AH84" s="60"/>
      <c r="AI84" s="1"/>
      <c r="AJ84" s="1"/>
      <c r="AK84" s="1"/>
    </row>
    <row r="85" spans="1:37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156" t="e">
        <f t="shared" si="17"/>
        <v>#NUM!</v>
      </c>
      <c r="P85" s="208" t="e">
        <f t="shared" si="18"/>
        <v>#N/A</v>
      </c>
      <c r="Q85" s="156" t="e">
        <f t="shared" si="19"/>
        <v>#VALUE!</v>
      </c>
      <c r="R85" s="156" t="e">
        <f t="shared" si="20"/>
        <v>#VALUE!</v>
      </c>
      <c r="S85" s="156" t="e">
        <f t="shared" si="21"/>
        <v>#VALUE!</v>
      </c>
      <c r="T85" s="149" t="e">
        <f t="shared" si="22"/>
        <v>#VALUE!</v>
      </c>
      <c r="U85" s="157" t="e">
        <f t="shared" si="27"/>
        <v>#NUM!</v>
      </c>
      <c r="V85" s="149" t="e">
        <f t="shared" si="23"/>
        <v>#VALUE!</v>
      </c>
      <c r="W85" s="157" t="e">
        <f t="shared" si="24"/>
        <v>#NUM!</v>
      </c>
      <c r="X85" s="149" t="e">
        <f t="shared" si="25"/>
        <v>#VALUE!</v>
      </c>
      <c r="Y85" s="157" t="e">
        <f t="shared" si="26"/>
        <v>#NUM!</v>
      </c>
      <c r="Z85" s="3"/>
      <c r="AA85" s="60"/>
      <c r="AB85" s="60"/>
      <c r="AC85" s="60"/>
      <c r="AD85" s="60"/>
      <c r="AE85" s="60"/>
      <c r="AF85" s="60"/>
      <c r="AG85" s="60"/>
      <c r="AH85" s="60"/>
      <c r="AI85" s="1"/>
      <c r="AJ85" s="1"/>
      <c r="AK85" s="1"/>
    </row>
    <row r="86" spans="1:37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156" t="e">
        <f t="shared" si="17"/>
        <v>#NUM!</v>
      </c>
      <c r="P86" s="208" t="e">
        <f t="shared" si="18"/>
        <v>#N/A</v>
      </c>
      <c r="Q86" s="156" t="e">
        <f t="shared" si="19"/>
        <v>#VALUE!</v>
      </c>
      <c r="R86" s="156" t="e">
        <f t="shared" si="20"/>
        <v>#VALUE!</v>
      </c>
      <c r="S86" s="156" t="e">
        <f t="shared" si="21"/>
        <v>#VALUE!</v>
      </c>
      <c r="T86" s="149" t="e">
        <f t="shared" si="22"/>
        <v>#VALUE!</v>
      </c>
      <c r="U86" s="157" t="e">
        <f t="shared" si="27"/>
        <v>#NUM!</v>
      </c>
      <c r="V86" s="149" t="e">
        <f t="shared" si="23"/>
        <v>#VALUE!</v>
      </c>
      <c r="W86" s="157" t="e">
        <f t="shared" si="24"/>
        <v>#NUM!</v>
      </c>
      <c r="X86" s="149" t="e">
        <f t="shared" si="25"/>
        <v>#VALUE!</v>
      </c>
      <c r="Y86" s="157" t="e">
        <f t="shared" si="26"/>
        <v>#NUM!</v>
      </c>
      <c r="Z86" s="3"/>
      <c r="AA86" s="60"/>
      <c r="AB86" s="60"/>
      <c r="AC86" s="60"/>
      <c r="AD86" s="60"/>
      <c r="AE86" s="60"/>
      <c r="AF86" s="60"/>
      <c r="AG86" s="60"/>
      <c r="AH86" s="60"/>
      <c r="AI86" s="1"/>
      <c r="AJ86" s="1"/>
      <c r="AK86" s="1"/>
    </row>
    <row r="87" spans="1:37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156" t="e">
        <f t="shared" si="17"/>
        <v>#NUM!</v>
      </c>
      <c r="P87" s="208" t="e">
        <f t="shared" si="18"/>
        <v>#N/A</v>
      </c>
      <c r="Q87" s="156" t="e">
        <f t="shared" si="19"/>
        <v>#VALUE!</v>
      </c>
      <c r="R87" s="156" t="e">
        <f t="shared" si="20"/>
        <v>#VALUE!</v>
      </c>
      <c r="S87" s="156" t="e">
        <f t="shared" si="21"/>
        <v>#VALUE!</v>
      </c>
      <c r="T87" s="149" t="e">
        <f t="shared" si="22"/>
        <v>#VALUE!</v>
      </c>
      <c r="U87" s="157" t="e">
        <f t="shared" si="27"/>
        <v>#NUM!</v>
      </c>
      <c r="V87" s="149" t="e">
        <f t="shared" si="23"/>
        <v>#VALUE!</v>
      </c>
      <c r="W87" s="157" t="e">
        <f t="shared" si="24"/>
        <v>#NUM!</v>
      </c>
      <c r="X87" s="149" t="e">
        <f t="shared" si="25"/>
        <v>#VALUE!</v>
      </c>
      <c r="Y87" s="157" t="e">
        <f t="shared" si="26"/>
        <v>#NUM!</v>
      </c>
      <c r="Z87" s="3"/>
      <c r="AA87" s="60"/>
      <c r="AB87" s="60"/>
      <c r="AC87" s="60"/>
      <c r="AD87" s="60"/>
      <c r="AE87" s="60"/>
      <c r="AF87" s="60"/>
      <c r="AG87" s="60"/>
      <c r="AH87" s="60"/>
      <c r="AI87" s="1"/>
      <c r="AJ87" s="1"/>
      <c r="AK87" s="1"/>
    </row>
    <row r="88" spans="1:37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156" t="e">
        <f t="shared" si="17"/>
        <v>#NUM!</v>
      </c>
      <c r="P88" s="208" t="e">
        <f t="shared" si="18"/>
        <v>#N/A</v>
      </c>
      <c r="Q88" s="156" t="e">
        <f t="shared" si="19"/>
        <v>#VALUE!</v>
      </c>
      <c r="R88" s="156" t="e">
        <f t="shared" si="20"/>
        <v>#VALUE!</v>
      </c>
      <c r="S88" s="156" t="e">
        <f t="shared" si="21"/>
        <v>#VALUE!</v>
      </c>
      <c r="T88" s="149" t="e">
        <f t="shared" si="22"/>
        <v>#VALUE!</v>
      </c>
      <c r="U88" s="157" t="e">
        <f t="shared" si="27"/>
        <v>#NUM!</v>
      </c>
      <c r="V88" s="149" t="e">
        <f t="shared" si="23"/>
        <v>#VALUE!</v>
      </c>
      <c r="W88" s="157" t="e">
        <f t="shared" si="24"/>
        <v>#NUM!</v>
      </c>
      <c r="X88" s="149" t="e">
        <f t="shared" si="25"/>
        <v>#VALUE!</v>
      </c>
      <c r="Y88" s="157" t="e">
        <f t="shared" si="26"/>
        <v>#NUM!</v>
      </c>
      <c r="Z88" s="3"/>
      <c r="AA88" s="60"/>
      <c r="AB88" s="60"/>
      <c r="AC88" s="60"/>
      <c r="AD88" s="60"/>
      <c r="AE88" s="60"/>
      <c r="AF88" s="60"/>
      <c r="AG88" s="60"/>
      <c r="AH88" s="60"/>
      <c r="AI88" s="1"/>
      <c r="AJ88" s="1"/>
      <c r="AK88" s="1"/>
    </row>
    <row r="89" spans="1:37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156" t="e">
        <f t="shared" si="17"/>
        <v>#NUM!</v>
      </c>
      <c r="P89" s="208" t="e">
        <f t="shared" si="18"/>
        <v>#N/A</v>
      </c>
      <c r="Q89" s="156" t="e">
        <f t="shared" si="19"/>
        <v>#VALUE!</v>
      </c>
      <c r="R89" s="156" t="e">
        <f t="shared" si="20"/>
        <v>#VALUE!</v>
      </c>
      <c r="S89" s="156" t="e">
        <f t="shared" si="21"/>
        <v>#VALUE!</v>
      </c>
      <c r="T89" s="149" t="e">
        <f t="shared" si="22"/>
        <v>#VALUE!</v>
      </c>
      <c r="U89" s="157" t="e">
        <f t="shared" si="27"/>
        <v>#NUM!</v>
      </c>
      <c r="V89" s="149" t="e">
        <f t="shared" si="23"/>
        <v>#VALUE!</v>
      </c>
      <c r="W89" s="157" t="e">
        <f t="shared" si="24"/>
        <v>#NUM!</v>
      </c>
      <c r="X89" s="149" t="e">
        <f t="shared" si="25"/>
        <v>#VALUE!</v>
      </c>
      <c r="Y89" s="157" t="e">
        <f t="shared" si="26"/>
        <v>#NUM!</v>
      </c>
      <c r="Z89" s="3"/>
      <c r="AA89" s="60"/>
      <c r="AB89" s="60"/>
      <c r="AC89" s="60"/>
      <c r="AD89" s="60"/>
      <c r="AE89" s="60"/>
      <c r="AF89" s="60"/>
      <c r="AG89" s="60"/>
      <c r="AH89" s="60"/>
      <c r="AI89" s="1"/>
      <c r="AJ89" s="1"/>
      <c r="AK89" s="1"/>
    </row>
    <row r="90" spans="1:37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156" t="e">
        <f t="shared" si="17"/>
        <v>#NUM!</v>
      </c>
      <c r="P90" s="208" t="e">
        <f t="shared" si="18"/>
        <v>#N/A</v>
      </c>
      <c r="Q90" s="156" t="e">
        <f t="shared" si="19"/>
        <v>#VALUE!</v>
      </c>
      <c r="R90" s="156" t="e">
        <f t="shared" si="20"/>
        <v>#VALUE!</v>
      </c>
      <c r="S90" s="156" t="e">
        <f t="shared" si="21"/>
        <v>#VALUE!</v>
      </c>
      <c r="T90" s="149" t="e">
        <f t="shared" si="22"/>
        <v>#VALUE!</v>
      </c>
      <c r="U90" s="157" t="e">
        <f t="shared" si="27"/>
        <v>#NUM!</v>
      </c>
      <c r="V90" s="149" t="e">
        <f t="shared" si="23"/>
        <v>#VALUE!</v>
      </c>
      <c r="W90" s="157" t="e">
        <f t="shared" si="24"/>
        <v>#NUM!</v>
      </c>
      <c r="X90" s="149" t="e">
        <f t="shared" si="25"/>
        <v>#VALUE!</v>
      </c>
      <c r="Y90" s="157" t="e">
        <f t="shared" si="26"/>
        <v>#NUM!</v>
      </c>
      <c r="Z90" s="3"/>
      <c r="AA90" s="60"/>
      <c r="AB90" s="60"/>
      <c r="AC90" s="60"/>
      <c r="AD90" s="60"/>
      <c r="AE90" s="60"/>
      <c r="AF90" s="60"/>
      <c r="AG90" s="60"/>
      <c r="AH90" s="60"/>
      <c r="AI90" s="1"/>
      <c r="AJ90" s="1"/>
      <c r="AK90" s="1"/>
    </row>
    <row r="91" spans="1:37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156" t="e">
        <f t="shared" si="17"/>
        <v>#NUM!</v>
      </c>
      <c r="P91" s="208" t="e">
        <f t="shared" si="18"/>
        <v>#N/A</v>
      </c>
      <c r="Q91" s="156" t="e">
        <f t="shared" si="19"/>
        <v>#VALUE!</v>
      </c>
      <c r="R91" s="156" t="e">
        <f t="shared" si="20"/>
        <v>#VALUE!</v>
      </c>
      <c r="S91" s="156" t="e">
        <f t="shared" si="21"/>
        <v>#VALUE!</v>
      </c>
      <c r="T91" s="149" t="e">
        <f t="shared" si="22"/>
        <v>#VALUE!</v>
      </c>
      <c r="U91" s="157" t="e">
        <f t="shared" si="27"/>
        <v>#NUM!</v>
      </c>
      <c r="V91" s="149" t="e">
        <f t="shared" si="23"/>
        <v>#VALUE!</v>
      </c>
      <c r="W91" s="157" t="e">
        <f t="shared" si="24"/>
        <v>#NUM!</v>
      </c>
      <c r="X91" s="149" t="e">
        <f t="shared" si="25"/>
        <v>#VALUE!</v>
      </c>
      <c r="Y91" s="157" t="e">
        <f t="shared" si="26"/>
        <v>#NUM!</v>
      </c>
      <c r="Z91" s="3"/>
      <c r="AA91" s="60"/>
      <c r="AB91" s="60"/>
      <c r="AC91" s="60"/>
      <c r="AD91" s="60"/>
      <c r="AE91" s="60"/>
      <c r="AF91" s="60"/>
      <c r="AG91" s="60"/>
      <c r="AH91" s="60"/>
      <c r="AI91" s="1"/>
      <c r="AJ91" s="1"/>
      <c r="AK91" s="1"/>
    </row>
    <row r="92" spans="1:37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156" t="e">
        <f t="shared" si="17"/>
        <v>#NUM!</v>
      </c>
      <c r="P92" s="208" t="e">
        <f t="shared" si="18"/>
        <v>#N/A</v>
      </c>
      <c r="Q92" s="156" t="e">
        <f t="shared" si="19"/>
        <v>#VALUE!</v>
      </c>
      <c r="R92" s="156" t="e">
        <f t="shared" si="20"/>
        <v>#VALUE!</v>
      </c>
      <c r="S92" s="156" t="e">
        <f t="shared" si="21"/>
        <v>#VALUE!</v>
      </c>
      <c r="T92" s="149" t="e">
        <f t="shared" si="22"/>
        <v>#VALUE!</v>
      </c>
      <c r="U92" s="157" t="e">
        <f t="shared" si="27"/>
        <v>#NUM!</v>
      </c>
      <c r="V92" s="149" t="e">
        <f t="shared" si="23"/>
        <v>#VALUE!</v>
      </c>
      <c r="W92" s="157" t="e">
        <f t="shared" si="24"/>
        <v>#NUM!</v>
      </c>
      <c r="X92" s="149" t="e">
        <f t="shared" si="25"/>
        <v>#VALUE!</v>
      </c>
      <c r="Y92" s="157" t="e">
        <f t="shared" si="26"/>
        <v>#NUM!</v>
      </c>
      <c r="Z92" s="3"/>
      <c r="AA92" s="60"/>
      <c r="AB92" s="60"/>
      <c r="AC92" s="60"/>
      <c r="AD92" s="60"/>
      <c r="AE92" s="60"/>
      <c r="AF92" s="60"/>
      <c r="AG92" s="60"/>
      <c r="AH92" s="60"/>
      <c r="AI92" s="1"/>
      <c r="AJ92" s="1"/>
      <c r="AK92" s="1"/>
    </row>
    <row r="93" spans="1:37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156" t="e">
        <f t="shared" si="17"/>
        <v>#NUM!</v>
      </c>
      <c r="P93" s="208" t="e">
        <f t="shared" si="18"/>
        <v>#N/A</v>
      </c>
      <c r="Q93" s="156" t="e">
        <f t="shared" si="19"/>
        <v>#VALUE!</v>
      </c>
      <c r="R93" s="156" t="e">
        <f t="shared" si="20"/>
        <v>#VALUE!</v>
      </c>
      <c r="S93" s="156" t="e">
        <f t="shared" si="21"/>
        <v>#VALUE!</v>
      </c>
      <c r="T93" s="149" t="e">
        <f t="shared" si="22"/>
        <v>#VALUE!</v>
      </c>
      <c r="U93" s="157" t="e">
        <f t="shared" si="27"/>
        <v>#NUM!</v>
      </c>
      <c r="V93" s="149" t="e">
        <f t="shared" si="23"/>
        <v>#VALUE!</v>
      </c>
      <c r="W93" s="157" t="e">
        <f t="shared" si="24"/>
        <v>#NUM!</v>
      </c>
      <c r="X93" s="149" t="e">
        <f t="shared" si="25"/>
        <v>#VALUE!</v>
      </c>
      <c r="Y93" s="157" t="e">
        <f t="shared" si="26"/>
        <v>#NUM!</v>
      </c>
      <c r="Z93" s="3"/>
      <c r="AA93" s="60"/>
      <c r="AB93" s="60"/>
      <c r="AC93" s="60"/>
      <c r="AD93" s="60"/>
      <c r="AE93" s="60"/>
      <c r="AF93" s="60"/>
      <c r="AG93" s="60"/>
      <c r="AH93" s="60"/>
      <c r="AI93" s="1"/>
      <c r="AJ93" s="1"/>
      <c r="AK93" s="1"/>
    </row>
    <row r="94" spans="1:37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156" t="e">
        <f t="shared" si="17"/>
        <v>#NUM!</v>
      </c>
      <c r="P94" s="208" t="e">
        <f t="shared" si="18"/>
        <v>#N/A</v>
      </c>
      <c r="Q94" s="156" t="e">
        <f t="shared" si="19"/>
        <v>#VALUE!</v>
      </c>
      <c r="R94" s="156" t="e">
        <f t="shared" si="20"/>
        <v>#VALUE!</v>
      </c>
      <c r="S94" s="156" t="e">
        <f t="shared" si="21"/>
        <v>#VALUE!</v>
      </c>
      <c r="T94" s="149" t="e">
        <f t="shared" si="22"/>
        <v>#VALUE!</v>
      </c>
      <c r="U94" s="157" t="e">
        <f t="shared" si="27"/>
        <v>#NUM!</v>
      </c>
      <c r="V94" s="149" t="e">
        <f t="shared" si="23"/>
        <v>#VALUE!</v>
      </c>
      <c r="W94" s="157" t="e">
        <f t="shared" si="24"/>
        <v>#NUM!</v>
      </c>
      <c r="X94" s="149" t="e">
        <f t="shared" si="25"/>
        <v>#VALUE!</v>
      </c>
      <c r="Y94" s="157" t="e">
        <f t="shared" si="26"/>
        <v>#NUM!</v>
      </c>
      <c r="Z94" s="3"/>
      <c r="AA94" s="60"/>
      <c r="AB94" s="60"/>
      <c r="AC94" s="60"/>
      <c r="AD94" s="60"/>
      <c r="AE94" s="60"/>
      <c r="AF94" s="60"/>
      <c r="AG94" s="60"/>
      <c r="AH94" s="60"/>
      <c r="AI94" s="1"/>
      <c r="AJ94" s="1"/>
      <c r="AK94" s="1"/>
    </row>
    <row r="95" spans="1:37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156" t="e">
        <f t="shared" si="17"/>
        <v>#NUM!</v>
      </c>
      <c r="P95" s="208" t="e">
        <f t="shared" si="18"/>
        <v>#N/A</v>
      </c>
      <c r="Q95" s="156" t="e">
        <f t="shared" si="19"/>
        <v>#VALUE!</v>
      </c>
      <c r="R95" s="156" t="e">
        <f t="shared" si="20"/>
        <v>#VALUE!</v>
      </c>
      <c r="S95" s="156" t="e">
        <f t="shared" si="21"/>
        <v>#VALUE!</v>
      </c>
      <c r="T95" s="149" t="e">
        <f t="shared" si="22"/>
        <v>#VALUE!</v>
      </c>
      <c r="U95" s="157" t="e">
        <f t="shared" si="27"/>
        <v>#NUM!</v>
      </c>
      <c r="V95" s="149" t="e">
        <f t="shared" si="23"/>
        <v>#VALUE!</v>
      </c>
      <c r="W95" s="157" t="e">
        <f t="shared" si="24"/>
        <v>#NUM!</v>
      </c>
      <c r="X95" s="149" t="e">
        <f t="shared" si="25"/>
        <v>#VALUE!</v>
      </c>
      <c r="Y95" s="157" t="e">
        <f t="shared" si="26"/>
        <v>#NUM!</v>
      </c>
      <c r="Z95" s="3"/>
      <c r="AA95" s="60"/>
      <c r="AB95" s="60"/>
      <c r="AC95" s="60"/>
      <c r="AD95" s="60"/>
      <c r="AE95" s="60"/>
      <c r="AF95" s="60"/>
      <c r="AG95" s="60"/>
      <c r="AH95" s="60"/>
      <c r="AI95" s="1"/>
      <c r="AJ95" s="1"/>
      <c r="AK95" s="1"/>
    </row>
    <row r="96" spans="1:37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156" t="e">
        <f t="shared" si="17"/>
        <v>#NUM!</v>
      </c>
      <c r="P96" s="208" t="e">
        <f t="shared" si="18"/>
        <v>#N/A</v>
      </c>
      <c r="Q96" s="156" t="e">
        <f t="shared" si="19"/>
        <v>#VALUE!</v>
      </c>
      <c r="R96" s="156" t="e">
        <f t="shared" si="20"/>
        <v>#VALUE!</v>
      </c>
      <c r="S96" s="156" t="e">
        <f t="shared" si="21"/>
        <v>#VALUE!</v>
      </c>
      <c r="T96" s="149" t="e">
        <f t="shared" si="22"/>
        <v>#VALUE!</v>
      </c>
      <c r="U96" s="157" t="e">
        <f t="shared" si="27"/>
        <v>#NUM!</v>
      </c>
      <c r="V96" s="149" t="e">
        <f t="shared" si="23"/>
        <v>#VALUE!</v>
      </c>
      <c r="W96" s="157" t="e">
        <f t="shared" si="24"/>
        <v>#NUM!</v>
      </c>
      <c r="X96" s="149" t="e">
        <f t="shared" si="25"/>
        <v>#VALUE!</v>
      </c>
      <c r="Y96" s="157" t="e">
        <f t="shared" si="26"/>
        <v>#NUM!</v>
      </c>
      <c r="Z96" s="3"/>
      <c r="AA96" s="60"/>
      <c r="AB96" s="60"/>
      <c r="AC96" s="60"/>
      <c r="AD96" s="60"/>
      <c r="AE96" s="60"/>
      <c r="AF96" s="60"/>
      <c r="AG96" s="60"/>
      <c r="AH96" s="60"/>
      <c r="AI96" s="1"/>
      <c r="AJ96" s="1"/>
      <c r="AK96" s="1"/>
    </row>
    <row r="97" spans="1:37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156" t="e">
        <f t="shared" si="17"/>
        <v>#NUM!</v>
      </c>
      <c r="P97" s="208" t="e">
        <f t="shared" si="18"/>
        <v>#N/A</v>
      </c>
      <c r="Q97" s="156" t="e">
        <f t="shared" si="19"/>
        <v>#VALUE!</v>
      </c>
      <c r="R97" s="156" t="e">
        <f t="shared" si="20"/>
        <v>#VALUE!</v>
      </c>
      <c r="S97" s="156" t="e">
        <f t="shared" si="21"/>
        <v>#VALUE!</v>
      </c>
      <c r="T97" s="149" t="e">
        <f t="shared" si="22"/>
        <v>#VALUE!</v>
      </c>
      <c r="U97" s="157" t="e">
        <f t="shared" si="27"/>
        <v>#NUM!</v>
      </c>
      <c r="V97" s="149" t="e">
        <f t="shared" si="23"/>
        <v>#VALUE!</v>
      </c>
      <c r="W97" s="157" t="e">
        <f t="shared" si="24"/>
        <v>#NUM!</v>
      </c>
      <c r="X97" s="149" t="e">
        <f t="shared" si="25"/>
        <v>#VALUE!</v>
      </c>
      <c r="Y97" s="157" t="e">
        <f t="shared" si="26"/>
        <v>#NUM!</v>
      </c>
      <c r="Z97" s="3"/>
      <c r="AA97" s="60"/>
      <c r="AB97" s="60"/>
      <c r="AC97" s="60"/>
      <c r="AD97" s="60"/>
      <c r="AE97" s="60"/>
      <c r="AF97" s="60"/>
      <c r="AG97" s="60"/>
      <c r="AH97" s="60"/>
      <c r="AI97" s="1"/>
      <c r="AJ97" s="1"/>
      <c r="AK97" s="1"/>
    </row>
    <row r="98" spans="1:37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156" t="e">
        <f t="shared" si="17"/>
        <v>#NUM!</v>
      </c>
      <c r="P98" s="208" t="e">
        <f t="shared" ref="P98:P102" si="28">SQRT(2*$I$16*$K$24)*SQRT((1/$I$1)+((O98-$I$10)^2/$I$7))</f>
        <v>#N/A</v>
      </c>
      <c r="Q98" s="156" t="e">
        <f t="shared" si="19"/>
        <v>#VALUE!</v>
      </c>
      <c r="R98" s="156" t="e">
        <f t="shared" si="20"/>
        <v>#VALUE!</v>
      </c>
      <c r="S98" s="156" t="e">
        <f t="shared" si="21"/>
        <v>#VALUE!</v>
      </c>
      <c r="T98" s="149" t="e">
        <f t="shared" si="22"/>
        <v>#VALUE!</v>
      </c>
      <c r="U98" s="157" t="e">
        <f t="shared" si="27"/>
        <v>#NUM!</v>
      </c>
      <c r="V98" s="149" t="e">
        <f t="shared" si="23"/>
        <v>#VALUE!</v>
      </c>
      <c r="W98" s="157" t="e">
        <f t="shared" si="24"/>
        <v>#NUM!</v>
      </c>
      <c r="X98" s="149" t="e">
        <f t="shared" si="25"/>
        <v>#VALUE!</v>
      </c>
      <c r="Y98" s="157" t="e">
        <f t="shared" si="26"/>
        <v>#NUM!</v>
      </c>
      <c r="Z98" s="3"/>
      <c r="AA98" s="60"/>
      <c r="AB98" s="60"/>
      <c r="AC98" s="60"/>
      <c r="AD98" s="60"/>
      <c r="AE98" s="60"/>
      <c r="AF98" s="60"/>
      <c r="AG98" s="60"/>
      <c r="AH98" s="60"/>
      <c r="AI98" s="1"/>
      <c r="AJ98" s="1"/>
      <c r="AK98" s="1"/>
    </row>
    <row r="99" spans="1:37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156" t="e">
        <f t="shared" si="17"/>
        <v>#NUM!</v>
      </c>
      <c r="P99" s="208" t="e">
        <f t="shared" si="28"/>
        <v>#N/A</v>
      </c>
      <c r="Q99" s="156" t="e">
        <f t="shared" si="19"/>
        <v>#VALUE!</v>
      </c>
      <c r="R99" s="156" t="e">
        <f t="shared" si="20"/>
        <v>#VALUE!</v>
      </c>
      <c r="S99" s="156" t="e">
        <f t="shared" si="21"/>
        <v>#VALUE!</v>
      </c>
      <c r="T99" s="149" t="e">
        <f t="shared" si="22"/>
        <v>#VALUE!</v>
      </c>
      <c r="U99" s="157" t="e">
        <f t="shared" si="27"/>
        <v>#NUM!</v>
      </c>
      <c r="V99" s="149" t="e">
        <f t="shared" si="23"/>
        <v>#VALUE!</v>
      </c>
      <c r="W99" s="157" t="e">
        <f t="shared" si="24"/>
        <v>#NUM!</v>
      </c>
      <c r="X99" s="149" t="e">
        <f t="shared" si="25"/>
        <v>#VALUE!</v>
      </c>
      <c r="Y99" s="157" t="e">
        <f t="shared" si="26"/>
        <v>#NUM!</v>
      </c>
      <c r="Z99" s="3"/>
      <c r="AA99" s="60"/>
      <c r="AB99" s="60"/>
      <c r="AC99" s="60"/>
      <c r="AD99" s="60"/>
      <c r="AE99" s="60"/>
      <c r="AF99" s="60"/>
      <c r="AG99" s="60"/>
      <c r="AH99" s="60"/>
      <c r="AI99" s="1"/>
      <c r="AJ99" s="1"/>
      <c r="AK99" s="1"/>
    </row>
    <row r="100" spans="1:37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156" t="e">
        <f t="shared" si="17"/>
        <v>#NUM!</v>
      </c>
      <c r="P100" s="208" t="e">
        <f t="shared" si="28"/>
        <v>#N/A</v>
      </c>
      <c r="Q100" s="156" t="e">
        <f t="shared" si="19"/>
        <v>#VALUE!</v>
      </c>
      <c r="R100" s="156" t="e">
        <f t="shared" si="20"/>
        <v>#VALUE!</v>
      </c>
      <c r="S100" s="156" t="e">
        <f t="shared" si="21"/>
        <v>#VALUE!</v>
      </c>
      <c r="T100" s="149" t="e">
        <f t="shared" si="22"/>
        <v>#VALUE!</v>
      </c>
      <c r="U100" s="157" t="e">
        <f t="shared" si="27"/>
        <v>#NUM!</v>
      </c>
      <c r="V100" s="149" t="e">
        <f t="shared" si="23"/>
        <v>#VALUE!</v>
      </c>
      <c r="W100" s="157" t="e">
        <f t="shared" si="24"/>
        <v>#NUM!</v>
      </c>
      <c r="X100" s="149" t="e">
        <f t="shared" si="25"/>
        <v>#VALUE!</v>
      </c>
      <c r="Y100" s="157" t="e">
        <f t="shared" si="26"/>
        <v>#NUM!</v>
      </c>
      <c r="Z100" s="3"/>
      <c r="AA100" s="60"/>
      <c r="AB100" s="60"/>
      <c r="AC100" s="60"/>
      <c r="AD100" s="60"/>
      <c r="AE100" s="60"/>
      <c r="AF100" s="60"/>
      <c r="AG100" s="60"/>
      <c r="AH100" s="60"/>
      <c r="AI100" s="1"/>
      <c r="AJ100" s="1"/>
      <c r="AK100" s="1"/>
    </row>
    <row r="101" spans="1:37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156" t="e">
        <f t="shared" si="17"/>
        <v>#NUM!</v>
      </c>
      <c r="P101" s="208" t="e">
        <f t="shared" si="28"/>
        <v>#N/A</v>
      </c>
      <c r="Q101" s="156" t="e">
        <f t="shared" si="19"/>
        <v>#VALUE!</v>
      </c>
      <c r="R101" s="156" t="e">
        <f t="shared" si="20"/>
        <v>#VALUE!</v>
      </c>
      <c r="S101" s="156" t="e">
        <f t="shared" si="21"/>
        <v>#VALUE!</v>
      </c>
      <c r="T101" s="149" t="e">
        <f t="shared" si="22"/>
        <v>#VALUE!</v>
      </c>
      <c r="U101" s="157" t="e">
        <f t="shared" si="27"/>
        <v>#NUM!</v>
      </c>
      <c r="V101" s="149" t="e">
        <f t="shared" si="23"/>
        <v>#VALUE!</v>
      </c>
      <c r="W101" s="157" t="e">
        <f t="shared" si="24"/>
        <v>#NUM!</v>
      </c>
      <c r="X101" s="149" t="e">
        <f t="shared" si="25"/>
        <v>#VALUE!</v>
      </c>
      <c r="Y101" s="157" t="e">
        <f t="shared" si="26"/>
        <v>#NUM!</v>
      </c>
      <c r="Z101" s="3"/>
      <c r="AA101" s="60"/>
      <c r="AB101" s="60"/>
      <c r="AC101" s="60"/>
      <c r="AD101" s="60"/>
      <c r="AE101" s="60"/>
      <c r="AF101" s="60"/>
      <c r="AG101" s="60"/>
      <c r="AH101" s="60"/>
      <c r="AI101" s="1"/>
      <c r="AJ101" s="1"/>
      <c r="AK101" s="1"/>
    </row>
    <row r="102" spans="1:37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156" t="e">
        <f t="shared" si="17"/>
        <v>#NUM!</v>
      </c>
      <c r="P102" s="208" t="e">
        <f t="shared" si="28"/>
        <v>#N/A</v>
      </c>
      <c r="Q102" s="156" t="e">
        <f t="shared" si="19"/>
        <v>#VALUE!</v>
      </c>
      <c r="R102" s="156" t="e">
        <f t="shared" si="20"/>
        <v>#VALUE!</v>
      </c>
      <c r="S102" s="156" t="e">
        <f t="shared" si="21"/>
        <v>#VALUE!</v>
      </c>
      <c r="T102" s="149" t="e">
        <f t="shared" si="22"/>
        <v>#VALUE!</v>
      </c>
      <c r="U102" s="157" t="e">
        <f t="shared" si="27"/>
        <v>#NUM!</v>
      </c>
      <c r="V102" s="149" t="e">
        <f t="shared" si="23"/>
        <v>#VALUE!</v>
      </c>
      <c r="W102" s="157" t="e">
        <f t="shared" si="24"/>
        <v>#NUM!</v>
      </c>
      <c r="X102" s="149" t="e">
        <f t="shared" si="25"/>
        <v>#VALUE!</v>
      </c>
      <c r="Y102" s="157" t="e">
        <f t="shared" si="26"/>
        <v>#NUM!</v>
      </c>
      <c r="Z102" s="3"/>
      <c r="AA102" s="60"/>
      <c r="AB102" s="60"/>
      <c r="AC102" s="60"/>
      <c r="AD102" s="60"/>
      <c r="AE102" s="60"/>
      <c r="AF102" s="60"/>
      <c r="AG102" s="60"/>
      <c r="AH102" s="60"/>
      <c r="AI102" s="1"/>
      <c r="AJ102" s="1"/>
      <c r="AK102" s="1"/>
    </row>
    <row r="103" spans="1:37" x14ac:dyDescent="0.2"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2"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2"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x14ac:dyDescent="0.2"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2"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x14ac:dyDescent="0.2"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2"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"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x14ac:dyDescent="0.2"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x14ac:dyDescent="0.2"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21:37" x14ac:dyDescent="0.2"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21:37" x14ac:dyDescent="0.2"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21:37" x14ac:dyDescent="0.2"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21:37" x14ac:dyDescent="0.2"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21:37" x14ac:dyDescent="0.2"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21:37" x14ac:dyDescent="0.2"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21:37" x14ac:dyDescent="0.2"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21:37" x14ac:dyDescent="0.2"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21:37" x14ac:dyDescent="0.2"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21:37" x14ac:dyDescent="0.2"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21:37" x14ac:dyDescent="0.2"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</sheetData>
  <mergeCells count="3">
    <mergeCell ref="T1:U1"/>
    <mergeCell ref="V1:W1"/>
    <mergeCell ref="X1:Y1"/>
  </mergeCells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32"/>
  <sheetViews>
    <sheetView showGridLines="0" tabSelected="1" topLeftCell="A4" workbookViewId="0">
      <selection activeCell="J30" sqref="J30"/>
    </sheetView>
  </sheetViews>
  <sheetFormatPr defaultRowHeight="12.75" x14ac:dyDescent="0.2"/>
  <cols>
    <col min="1" max="1" width="9.140625" style="3"/>
    <col min="2" max="2" width="10.42578125" style="3" bestFit="1" customWidth="1"/>
    <col min="3" max="7" width="11.140625" style="3" customWidth="1"/>
    <col min="8" max="8" width="16" style="3" bestFit="1" customWidth="1"/>
    <col min="9" max="9" width="14" style="3" bestFit="1" customWidth="1"/>
    <col min="10" max="10" width="12" style="3" bestFit="1" customWidth="1"/>
    <col min="11" max="11" width="10.85546875" style="3" bestFit="1" customWidth="1"/>
    <col min="12" max="12" width="15.28515625" style="3" bestFit="1" customWidth="1"/>
    <col min="13" max="13" width="14.85546875" style="3" bestFit="1" customWidth="1"/>
    <col min="14" max="14" width="14.42578125" style="3" customWidth="1"/>
    <col min="15" max="15" width="13" style="3" customWidth="1"/>
    <col min="16" max="16384" width="9.140625" style="3"/>
  </cols>
  <sheetData>
    <row r="2" spans="1:13" ht="15.75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" x14ac:dyDescent="0.25">
      <c r="A3" s="2"/>
      <c r="B3" s="4" t="str">
        <f>+Results!B7</f>
        <v>Specimen</v>
      </c>
      <c r="C3" s="193" t="str">
        <f>+Results!C7</f>
        <v>Width</v>
      </c>
      <c r="D3" s="193" t="str">
        <f>+Results!D7</f>
        <v>Thickness</v>
      </c>
      <c r="E3" s="193" t="str">
        <f>+Results!E7</f>
        <v>Area</v>
      </c>
      <c r="F3" s="193" t="str">
        <f>+Results!N7</f>
        <v>Ini Emod</v>
      </c>
      <c r="G3" s="193" t="str">
        <f>+Results!O7</f>
        <v>E-mod</v>
      </c>
      <c r="H3" s="193" t="str">
        <f>+Results!R7</f>
        <v>Bending ratio</v>
      </c>
      <c r="I3" s="193" t="str">
        <f>+Results!G7</f>
        <v>Abs Max strain</v>
      </c>
      <c r="J3" s="193" t="str">
        <f>+Results!H7</f>
        <v>Strain Range</v>
      </c>
      <c r="K3" s="193" t="str">
        <f>+Results!I7</f>
        <v>Peak stress</v>
      </c>
      <c r="L3" s="194" t="str">
        <f>+Results!F7</f>
        <v>Cycles to failure</v>
      </c>
      <c r="M3" s="194" t="str">
        <f>+Results!S7</f>
        <v>Comments</v>
      </c>
    </row>
    <row r="4" spans="1:13" ht="15.75" thickBot="1" x14ac:dyDescent="0.3">
      <c r="A4" s="2"/>
      <c r="B4" s="5" t="str">
        <f>+Results!B8</f>
        <v>#</v>
      </c>
      <c r="C4" s="195" t="str">
        <f>+Results!C8</f>
        <v>(mm)</v>
      </c>
      <c r="D4" s="195" t="str">
        <f>+Results!D8</f>
        <v>(mm)</v>
      </c>
      <c r="E4" s="195" t="str">
        <f>+Results!E8</f>
        <v>(mm2)</v>
      </c>
      <c r="F4" s="195" t="str">
        <f>+Results!N8</f>
        <v>(GPa)</v>
      </c>
      <c r="G4" s="195" t="str">
        <f>+Results!O8</f>
        <v>(GPa)</v>
      </c>
      <c r="H4" s="195" t="str">
        <f>+Results!R8</f>
        <v>|E1+E2|/|E1+E2|</v>
      </c>
      <c r="I4" s="195" t="str">
        <f>+Results!G8</f>
        <v>(%)</v>
      </c>
      <c r="J4" s="195" t="str">
        <f>+Results!H8</f>
        <v>(%)</v>
      </c>
      <c r="K4" s="195" t="str">
        <f>+Results!I8</f>
        <v>(MPa)</v>
      </c>
      <c r="L4" s="196"/>
      <c r="M4" s="196"/>
    </row>
    <row r="5" spans="1:13" ht="15" x14ac:dyDescent="0.25">
      <c r="A5" s="2"/>
      <c r="B5" s="7" t="str">
        <f>+Results!B9</f>
        <v>EQA03-01</v>
      </c>
      <c r="C5" s="6">
        <f>+Results!C9</f>
        <v>25.37</v>
      </c>
      <c r="D5" s="6">
        <f>+Results!D9</f>
        <v>4.4000000000000004</v>
      </c>
      <c r="E5" s="6">
        <f>+Results!E9</f>
        <v>111.62800000000001</v>
      </c>
      <c r="F5" s="197">
        <f>+Results!N9</f>
        <v>0</v>
      </c>
      <c r="G5" s="197">
        <f>+Results!O9</f>
        <v>0</v>
      </c>
      <c r="H5" s="197" t="e">
        <f>+Results!R9</f>
        <v>#DIV/0!</v>
      </c>
      <c r="I5" s="8">
        <f>+Results!G9</f>
        <v>0</v>
      </c>
      <c r="J5" s="8">
        <f>+Results!H9</f>
        <v>0</v>
      </c>
      <c r="K5" s="9">
        <f>+Results!I9</f>
        <v>0</v>
      </c>
      <c r="L5" s="198" t="str">
        <f>+Results!F9</f>
        <v>Statisk</v>
      </c>
      <c r="M5" s="198" t="str">
        <f>+Plan!M9</f>
        <v>O.K.</v>
      </c>
    </row>
    <row r="6" spans="1:13" ht="15" x14ac:dyDescent="0.25">
      <c r="A6" s="2"/>
      <c r="B6" s="7" t="str">
        <f>+Results!B10</f>
        <v>EQA03-02</v>
      </c>
      <c r="C6" s="8">
        <f>+Results!C10</f>
        <v>25.38</v>
      </c>
      <c r="D6" s="8">
        <f>+Results!D10</f>
        <v>4.51</v>
      </c>
      <c r="E6" s="8">
        <f>+Results!E10</f>
        <v>114.46379999999999</v>
      </c>
      <c r="F6" s="197">
        <f>+Results!N10</f>
        <v>0</v>
      </c>
      <c r="G6" s="197">
        <f>+Results!O10</f>
        <v>0</v>
      </c>
      <c r="H6" s="197" t="e">
        <f>+Results!R10</f>
        <v>#DIV/0!</v>
      </c>
      <c r="I6" s="8">
        <f>+Results!G10</f>
        <v>0</v>
      </c>
      <c r="J6" s="8">
        <f>+Results!H10</f>
        <v>0</v>
      </c>
      <c r="K6" s="9">
        <f>+Results!I10</f>
        <v>0</v>
      </c>
      <c r="L6" s="198" t="str">
        <f>+Results!F10</f>
        <v>Statisk</v>
      </c>
      <c r="M6" s="198" t="str">
        <f>+Plan!M10</f>
        <v>O.K.</v>
      </c>
    </row>
    <row r="7" spans="1:13" ht="15" x14ac:dyDescent="0.25">
      <c r="A7" s="2"/>
      <c r="B7" s="7" t="str">
        <f>+Results!B11</f>
        <v>EQA03-03</v>
      </c>
      <c r="C7" s="8">
        <f>+Results!C11</f>
        <v>25.41</v>
      </c>
      <c r="D7" s="8">
        <f>+Results!D11</f>
        <v>4.45</v>
      </c>
      <c r="E7" s="8">
        <f>+Results!E11</f>
        <v>113.0745</v>
      </c>
      <c r="F7" s="197">
        <f>+Results!N11</f>
        <v>0</v>
      </c>
      <c r="G7" s="197">
        <f>+Results!O11</f>
        <v>0</v>
      </c>
      <c r="H7" s="197" t="e">
        <f>+Results!R11</f>
        <v>#DIV/0!</v>
      </c>
      <c r="I7" s="8">
        <f>+Results!G11</f>
        <v>0</v>
      </c>
      <c r="J7" s="8">
        <f>+Results!H11</f>
        <v>0</v>
      </c>
      <c r="K7" s="9">
        <f>+Results!I11</f>
        <v>0</v>
      </c>
      <c r="L7" s="198" t="str">
        <f>+Results!F11</f>
        <v>Statisk</v>
      </c>
      <c r="M7" s="198" t="str">
        <f>+Plan!M11</f>
        <v>O.K.</v>
      </c>
    </row>
    <row r="8" spans="1:13" ht="15" x14ac:dyDescent="0.25">
      <c r="A8" s="2"/>
      <c r="B8" s="7" t="str">
        <f>+Results!B12</f>
        <v>EQA03-04</v>
      </c>
      <c r="C8" s="8">
        <f>+Results!C12</f>
        <v>25.43</v>
      </c>
      <c r="D8" s="8">
        <f>+Results!D12</f>
        <v>4.42</v>
      </c>
      <c r="E8" s="8">
        <f>+Results!E12</f>
        <v>112.4006</v>
      </c>
      <c r="F8" s="197">
        <f>+Results!N12</f>
        <v>0</v>
      </c>
      <c r="G8" s="197">
        <f>+Results!O12</f>
        <v>0</v>
      </c>
      <c r="H8" s="197" t="e">
        <f>+Results!R12</f>
        <v>#DIV/0!</v>
      </c>
      <c r="I8" s="8">
        <f>+Results!G12</f>
        <v>0</v>
      </c>
      <c r="J8" s="8">
        <f>+Results!H12</f>
        <v>0</v>
      </c>
      <c r="K8" s="9">
        <f>+Results!I12</f>
        <v>0</v>
      </c>
      <c r="L8" s="198">
        <f>+Results!F12</f>
        <v>0</v>
      </c>
      <c r="M8" s="198">
        <f>+Plan!M12</f>
        <v>0</v>
      </c>
    </row>
    <row r="9" spans="1:13" ht="15" x14ac:dyDescent="0.25">
      <c r="A9" s="2"/>
      <c r="B9" s="7" t="str">
        <f>+Results!B13</f>
        <v>EQA03-05</v>
      </c>
      <c r="C9" s="8">
        <f>+Results!C13</f>
        <v>25.35</v>
      </c>
      <c r="D9" s="8">
        <f>+Results!D13</f>
        <v>4.49</v>
      </c>
      <c r="E9" s="8">
        <f>+Results!E13</f>
        <v>113.82150000000001</v>
      </c>
      <c r="F9" s="197">
        <f>+Results!N13</f>
        <v>0</v>
      </c>
      <c r="G9" s="197">
        <f>+Results!O13</f>
        <v>0</v>
      </c>
      <c r="H9" s="197" t="e">
        <f>+Results!R13</f>
        <v>#DIV/0!</v>
      </c>
      <c r="I9" s="8">
        <f>+Results!G13</f>
        <v>0.55000000000000004</v>
      </c>
      <c r="J9" s="8">
        <f>+Results!H13</f>
        <v>0.49500000000000005</v>
      </c>
      <c r="K9" s="9">
        <f>+Results!I13</f>
        <v>0</v>
      </c>
      <c r="L9" s="198">
        <f>+Results!F13</f>
        <v>2000000</v>
      </c>
      <c r="M9" s="198" t="str">
        <f>+Plan!M13</f>
        <v>run out</v>
      </c>
    </row>
    <row r="10" spans="1:13" ht="15" x14ac:dyDescent="0.25">
      <c r="A10" s="2"/>
      <c r="B10" s="7" t="str">
        <f>+Results!B14</f>
        <v>EQA03-06</v>
      </c>
      <c r="C10" s="8">
        <f>+Results!C14</f>
        <v>25.38</v>
      </c>
      <c r="D10" s="8">
        <f>+Results!D14</f>
        <v>4.4400000000000004</v>
      </c>
      <c r="E10" s="8">
        <f>+Results!E14</f>
        <v>112.6872</v>
      </c>
      <c r="F10" s="197">
        <f>+Results!N14</f>
        <v>0</v>
      </c>
      <c r="G10" s="197">
        <f>+Results!O14</f>
        <v>0</v>
      </c>
      <c r="H10" s="197" t="e">
        <f>+Results!R14</f>
        <v>#DIV/0!</v>
      </c>
      <c r="I10" s="8">
        <f>+Results!G14</f>
        <v>0.7</v>
      </c>
      <c r="J10" s="8">
        <f>+Results!H14</f>
        <v>0.63</v>
      </c>
      <c r="K10" s="9">
        <f>+Results!I14</f>
        <v>0</v>
      </c>
      <c r="L10" s="198">
        <f>+Results!F14</f>
        <v>234687</v>
      </c>
      <c r="M10" s="198">
        <f>+Plan!M14</f>
        <v>0</v>
      </c>
    </row>
    <row r="11" spans="1:13" ht="15" x14ac:dyDescent="0.25">
      <c r="A11" s="2"/>
      <c r="B11" s="7" t="str">
        <f>+Results!B15</f>
        <v>EQA03-07</v>
      </c>
      <c r="C11" s="8">
        <f>+Results!C15</f>
        <v>25.42</v>
      </c>
      <c r="D11" s="8">
        <f>+Results!D15</f>
        <v>4.29</v>
      </c>
      <c r="E11" s="8">
        <f>+Results!E15</f>
        <v>109.05180000000001</v>
      </c>
      <c r="F11" s="197">
        <f>+Results!N15</f>
        <v>0</v>
      </c>
      <c r="G11" s="197">
        <f>+Results!O15</f>
        <v>0</v>
      </c>
      <c r="H11" s="197" t="e">
        <f>+Results!R15</f>
        <v>#DIV/0!</v>
      </c>
      <c r="I11" s="8">
        <f>+Results!G15</f>
        <v>0.6</v>
      </c>
      <c r="J11" s="8">
        <f>+Results!H15</f>
        <v>0.54</v>
      </c>
      <c r="K11" s="9">
        <f>+Results!I15</f>
        <v>0</v>
      </c>
      <c r="L11" s="198">
        <f>+Results!F15</f>
        <v>417783</v>
      </c>
      <c r="M11" s="198">
        <f>+Plan!M15</f>
        <v>0</v>
      </c>
    </row>
    <row r="12" spans="1:13" ht="15" x14ac:dyDescent="0.25">
      <c r="A12" s="2"/>
      <c r="B12" s="7" t="str">
        <f>+Results!B16</f>
        <v>EQA03-08</v>
      </c>
      <c r="C12" s="8">
        <f>+Results!C16</f>
        <v>25.39</v>
      </c>
      <c r="D12" s="8">
        <f>+Results!D16</f>
        <v>4.3</v>
      </c>
      <c r="E12" s="8">
        <f>+Results!E16</f>
        <v>109.17699999999999</v>
      </c>
      <c r="F12" s="197">
        <f>+Results!N16</f>
        <v>0</v>
      </c>
      <c r="G12" s="197">
        <f>+Results!O16</f>
        <v>0</v>
      </c>
      <c r="H12" s="197" t="e">
        <f>+Results!R16</f>
        <v>#DIV/0!</v>
      </c>
      <c r="I12" s="8">
        <f>+Results!G16</f>
        <v>0.5</v>
      </c>
      <c r="J12" s="8">
        <f>+Results!H16</f>
        <v>0.45</v>
      </c>
      <c r="K12" s="9">
        <f>+Results!I16</f>
        <v>0</v>
      </c>
      <c r="L12" s="198">
        <f>+Results!F16</f>
        <v>1500000</v>
      </c>
      <c r="M12" s="198">
        <f>+Plan!M16</f>
        <v>0</v>
      </c>
    </row>
    <row r="13" spans="1:13" ht="15" x14ac:dyDescent="0.25">
      <c r="A13" s="2"/>
      <c r="B13" s="7" t="str">
        <f>+Results!B17</f>
        <v>EQA03-09</v>
      </c>
      <c r="C13" s="8">
        <f>+Results!C17</f>
        <v>25.53</v>
      </c>
      <c r="D13" s="8">
        <f>+Results!D17</f>
        <v>4.49</v>
      </c>
      <c r="E13" s="8">
        <f>+Results!E17</f>
        <v>114.62970000000001</v>
      </c>
      <c r="F13" s="197">
        <f>+Results!N17</f>
        <v>0</v>
      </c>
      <c r="G13" s="197">
        <f>+Results!O17</f>
        <v>0</v>
      </c>
      <c r="H13" s="197" t="e">
        <f>+Results!R17</f>
        <v>#DIV/0!</v>
      </c>
      <c r="I13" s="8">
        <f>+Results!G17</f>
        <v>1.3</v>
      </c>
      <c r="J13" s="8">
        <f>+Results!H17</f>
        <v>1.1700000000000002</v>
      </c>
      <c r="K13" s="9">
        <f>+Results!I17</f>
        <v>0</v>
      </c>
      <c r="L13" s="198">
        <f>+Results!F17</f>
        <v>4683</v>
      </c>
      <c r="M13" s="198" t="str">
        <f>+Plan!M17</f>
        <v>36 grader ved 3 HZ</v>
      </c>
    </row>
    <row r="14" spans="1:13" ht="15" x14ac:dyDescent="0.25">
      <c r="A14" s="2"/>
      <c r="B14" s="7" t="str">
        <f>+Results!B18</f>
        <v>EQA03-10</v>
      </c>
      <c r="C14" s="8">
        <f>+Results!C18</f>
        <v>25.45</v>
      </c>
      <c r="D14" s="8">
        <f>+Results!D18</f>
        <v>4.41</v>
      </c>
      <c r="E14" s="8">
        <f>+Results!E18</f>
        <v>112.2345</v>
      </c>
      <c r="F14" s="197">
        <f>+Results!N18</f>
        <v>0</v>
      </c>
      <c r="G14" s="197">
        <f>+Results!O18</f>
        <v>0</v>
      </c>
      <c r="H14" s="197" t="e">
        <f>+Results!R18</f>
        <v>#DIV/0!</v>
      </c>
      <c r="I14" s="8">
        <f>+Results!G18</f>
        <v>1</v>
      </c>
      <c r="J14" s="8">
        <f>+Results!H18</f>
        <v>0.9</v>
      </c>
      <c r="K14" s="9">
        <f>+Results!I18</f>
        <v>0</v>
      </c>
      <c r="L14" s="198">
        <f>+Results!F18</f>
        <v>20412</v>
      </c>
      <c r="M14" s="198">
        <f>+Plan!M20</f>
        <v>0</v>
      </c>
    </row>
    <row r="15" spans="1:13" ht="15" x14ac:dyDescent="0.25">
      <c r="A15" s="2"/>
      <c r="B15" s="7" t="str">
        <f>+Results!B19</f>
        <v>EQA03-11</v>
      </c>
      <c r="C15" s="8">
        <f>+Results!C19</f>
        <v>25.46</v>
      </c>
      <c r="D15" s="8">
        <f>+Results!D19</f>
        <v>4.43</v>
      </c>
      <c r="E15" s="8">
        <f>+Results!E19</f>
        <v>112.78779999999999</v>
      </c>
      <c r="F15" s="197">
        <f>+Results!N19</f>
        <v>0</v>
      </c>
      <c r="G15" s="197">
        <f>+Results!O19</f>
        <v>0</v>
      </c>
      <c r="H15" s="197" t="e">
        <f>+Results!R19</f>
        <v>#DIV/0!</v>
      </c>
      <c r="I15" s="8">
        <f>+Results!G19</f>
        <v>0.9</v>
      </c>
      <c r="J15" s="8">
        <f>+Results!H19</f>
        <v>0.81</v>
      </c>
      <c r="K15" s="9">
        <f>+Results!I19</f>
        <v>0</v>
      </c>
      <c r="L15" s="198">
        <f>+Results!F19</f>
        <v>32980</v>
      </c>
      <c r="M15" s="198">
        <f>+Plan!M21</f>
        <v>0</v>
      </c>
    </row>
    <row r="19" spans="2:14" ht="16.5" thickBot="1" x14ac:dyDescent="0.3">
      <c r="B19" s="65" t="s">
        <v>134</v>
      </c>
    </row>
    <row r="20" spans="2:14" ht="45.75" thickBot="1" x14ac:dyDescent="0.3">
      <c r="B20" s="209" t="s">
        <v>2</v>
      </c>
      <c r="C20" s="210" t="s">
        <v>135</v>
      </c>
      <c r="D20" s="210" t="s">
        <v>136</v>
      </c>
      <c r="E20" s="210" t="s">
        <v>137</v>
      </c>
      <c r="F20" s="210" t="s">
        <v>138</v>
      </c>
      <c r="G20" s="210" t="s">
        <v>139</v>
      </c>
      <c r="H20" s="210" t="s">
        <v>140</v>
      </c>
      <c r="I20" s="210" t="s">
        <v>141</v>
      </c>
      <c r="J20" s="210" t="s">
        <v>142</v>
      </c>
      <c r="K20" s="210" t="s">
        <v>143</v>
      </c>
      <c r="L20" s="211" t="s">
        <v>144</v>
      </c>
      <c r="M20" s="211" t="s">
        <v>108</v>
      </c>
      <c r="N20" s="212" t="s">
        <v>10</v>
      </c>
    </row>
    <row r="21" spans="2:14" ht="15" x14ac:dyDescent="0.25">
      <c r="B21" s="213"/>
      <c r="C21" s="6"/>
      <c r="D21" s="6"/>
      <c r="E21" s="6"/>
      <c r="F21" s="214"/>
      <c r="G21" s="214"/>
      <c r="H21" s="214"/>
      <c r="I21" s="6"/>
      <c r="J21" s="6"/>
      <c r="K21" s="6"/>
      <c r="L21" s="215"/>
      <c r="M21" s="215"/>
      <c r="N21" s="215"/>
    </row>
    <row r="22" spans="2:14" ht="15" x14ac:dyDescent="0.25">
      <c r="B22" s="7"/>
      <c r="C22" s="8"/>
      <c r="D22" s="8"/>
      <c r="E22" s="8"/>
      <c r="F22" s="197"/>
      <c r="G22" s="197"/>
      <c r="H22" s="197"/>
      <c r="I22" s="8"/>
      <c r="J22" s="8"/>
      <c r="K22" s="8"/>
      <c r="L22" s="198"/>
      <c r="M22" s="198"/>
      <c r="N22" s="198"/>
    </row>
    <row r="23" spans="2:14" ht="15" x14ac:dyDescent="0.25">
      <c r="B23" s="7"/>
      <c r="C23" s="8"/>
      <c r="D23" s="8"/>
      <c r="E23" s="8"/>
      <c r="F23" s="197"/>
      <c r="G23" s="197"/>
      <c r="H23" s="197"/>
      <c r="I23" s="8"/>
      <c r="J23" s="8"/>
      <c r="K23" s="8"/>
      <c r="L23" s="198"/>
      <c r="M23" s="198"/>
      <c r="N23" s="198"/>
    </row>
    <row r="24" spans="2:14" ht="15" x14ac:dyDescent="0.25">
      <c r="B24" s="7"/>
      <c r="C24" s="8"/>
      <c r="D24" s="8"/>
      <c r="E24" s="8"/>
      <c r="F24" s="197"/>
      <c r="G24" s="197"/>
      <c r="H24" s="197"/>
      <c r="I24" s="8"/>
      <c r="J24" s="8"/>
      <c r="K24" s="8"/>
      <c r="L24" s="198"/>
      <c r="M24" s="198"/>
      <c r="N24" s="198"/>
    </row>
    <row r="25" spans="2:14" ht="15" x14ac:dyDescent="0.25">
      <c r="B25" s="7"/>
      <c r="C25" s="8"/>
      <c r="D25" s="8"/>
      <c r="E25" s="8"/>
      <c r="F25" s="197"/>
      <c r="G25" s="197"/>
      <c r="H25" s="197"/>
      <c r="I25" s="8"/>
      <c r="J25" s="8"/>
      <c r="K25" s="8"/>
      <c r="L25" s="198"/>
      <c r="M25" s="198"/>
      <c r="N25" s="198"/>
    </row>
    <row r="26" spans="2:14" ht="15" x14ac:dyDescent="0.25">
      <c r="B26" s="7"/>
      <c r="C26" s="8"/>
      <c r="D26" s="8"/>
      <c r="E26" s="8"/>
      <c r="F26" s="197"/>
      <c r="G26" s="197"/>
      <c r="H26" s="197"/>
      <c r="I26" s="8"/>
      <c r="J26" s="8"/>
      <c r="K26" s="8"/>
      <c r="L26" s="198"/>
      <c r="M26" s="198"/>
      <c r="N26" s="198"/>
    </row>
    <row r="27" spans="2:14" ht="15" x14ac:dyDescent="0.25">
      <c r="B27" s="7"/>
      <c r="C27" s="8"/>
      <c r="D27" s="8"/>
      <c r="E27" s="8"/>
      <c r="F27" s="197"/>
      <c r="G27" s="197"/>
      <c r="H27" s="197"/>
      <c r="I27" s="8"/>
      <c r="J27" s="8"/>
      <c r="K27" s="8"/>
      <c r="L27" s="198"/>
      <c r="M27" s="198"/>
      <c r="N27" s="198"/>
    </row>
    <row r="28" spans="2:14" ht="15" x14ac:dyDescent="0.25">
      <c r="I28" s="216" t="s">
        <v>145</v>
      </c>
      <c r="J28" s="217"/>
      <c r="K28" s="217"/>
      <c r="L28" s="218"/>
    </row>
    <row r="29" spans="2:14" ht="15.75" thickBot="1" x14ac:dyDescent="0.3">
      <c r="I29" s="219" t="s">
        <v>146</v>
      </c>
      <c r="J29" s="220"/>
      <c r="K29" s="220"/>
      <c r="L29" s="221"/>
    </row>
    <row r="30" spans="2:14" x14ac:dyDescent="0.2">
      <c r="J30" s="3" t="str">
        <f>'ASTM E739 stat (Max Strain)'!J14</f>
        <v>(X=21647.9Y^-6.06)</v>
      </c>
    </row>
    <row r="31" spans="2:14" x14ac:dyDescent="0.2">
      <c r="K31" s="3" t="e">
        <f>'ASTM E739 stat (Strain Range)'!J14</f>
        <v>#VALUE!</v>
      </c>
    </row>
    <row r="32" spans="2:14" x14ac:dyDescent="0.2">
      <c r="L32" s="3" t="e">
        <f>'ASTM E739 stat (Max Stress)'!J14</f>
        <v>#VALUE!</v>
      </c>
    </row>
  </sheetData>
  <pageMargins left="0.32" right="0.22" top="1" bottom="1" header="0.5" footer="0.5"/>
  <pageSetup paperSize="9" scale="91" orientation="landscape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3</vt:i4>
      </vt:variant>
    </vt:vector>
  </HeadingPairs>
  <TitlesOfParts>
    <vt:vector size="9" baseType="lpstr">
      <vt:lpstr>Plan</vt:lpstr>
      <vt:lpstr>Results</vt:lpstr>
      <vt:lpstr>ASTM E739 stat (Max Strain)</vt:lpstr>
      <vt:lpstr>ASTM E739 stat (Strain Range)</vt:lpstr>
      <vt:lpstr>ASTM E739 stat (Max Stress)</vt:lpstr>
      <vt:lpstr>Report Tables</vt:lpstr>
      <vt:lpstr>Max Strain based</vt:lpstr>
      <vt:lpstr>Strain Range based</vt:lpstr>
      <vt:lpstr>Max Stress based</vt:lpstr>
    </vt:vector>
  </TitlesOfParts>
  <Company>Risø National Laboratory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PC-03402</dc:creator>
  <cp:lastModifiedBy>Povl Brøndsted</cp:lastModifiedBy>
  <cp:lastPrinted>2015-08-13T12:25:23Z</cp:lastPrinted>
  <dcterms:created xsi:type="dcterms:W3CDTF">2001-10-01T05:54:03Z</dcterms:created>
  <dcterms:modified xsi:type="dcterms:W3CDTF">2015-08-25T07:56:56Z</dcterms:modified>
</cp:coreProperties>
</file>