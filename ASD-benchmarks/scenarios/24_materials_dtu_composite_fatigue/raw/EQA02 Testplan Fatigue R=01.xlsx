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chartsheets/sheet2.xml" ContentType="application/vnd.openxmlformats-officedocument.spreadsheetml.chartsheet+xml"/>
  <Override PartName="/xl/worksheets/sheet5.xml" ContentType="application/vnd.openxmlformats-officedocument.spreadsheetml.worksheet+xml"/>
  <Override PartName="/xl/chartsheets/sheet3.xml" ContentType="application/vnd.openxmlformats-officedocument.spreadsheetml.chart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15" windowWidth="12390" windowHeight="8640" tabRatio="640" activeTab="2"/>
  </bookViews>
  <sheets>
    <sheet name="Plan" sheetId="3" r:id="rId1"/>
    <sheet name="Results" sheetId="2" r:id="rId2"/>
    <sheet name="ASTM E739 stat (Max Strain)" sheetId="10" r:id="rId3"/>
    <sheet name="Max Strain based" sheetId="5" r:id="rId4"/>
    <sheet name="ASTM E739 stat (Strain Range)" sheetId="21" r:id="rId5"/>
    <sheet name="Strain Range based" sheetId="22" r:id="rId6"/>
    <sheet name="ASTM E739 stat (Max Stress)" sheetId="23" r:id="rId7"/>
    <sheet name="Max Stress based" sheetId="24" r:id="rId8"/>
    <sheet name="Report Tables" sheetId="25" r:id="rId9"/>
  </sheets>
  <calcPr calcId="145621"/>
</workbook>
</file>

<file path=xl/calcChain.xml><?xml version="1.0" encoding="utf-8"?>
<calcChain xmlns="http://schemas.openxmlformats.org/spreadsheetml/2006/main">
  <c r="A12" i="10" l="1"/>
  <c r="B12" i="10"/>
  <c r="H22" i="3" l="1"/>
  <c r="G22" i="3"/>
  <c r="I22" i="2"/>
  <c r="G22" i="2"/>
  <c r="H22" i="2"/>
  <c r="A7" i="10" l="1"/>
  <c r="C7" i="10" s="1"/>
  <c r="B7" i="10"/>
  <c r="D7" i="10"/>
  <c r="F7" i="10" s="1"/>
  <c r="A19" i="2"/>
  <c r="B19" i="2"/>
  <c r="C19" i="2"/>
  <c r="D19" i="2"/>
  <c r="E19" i="2"/>
  <c r="F19" i="2"/>
  <c r="A33" i="2" s="1"/>
  <c r="G19" i="2"/>
  <c r="J19" i="2" s="1"/>
  <c r="H19" i="2"/>
  <c r="D33" i="2" s="1"/>
  <c r="R19" i="2"/>
  <c r="S19" i="2"/>
  <c r="B33" i="2"/>
  <c r="A18" i="2"/>
  <c r="B18" i="2"/>
  <c r="C18" i="2"/>
  <c r="D18" i="2"/>
  <c r="E18" i="2"/>
  <c r="J18" i="2" s="1"/>
  <c r="F18" i="2"/>
  <c r="C32" i="2" s="1"/>
  <c r="G18" i="2"/>
  <c r="H18" i="2"/>
  <c r="D32" i="2" s="1"/>
  <c r="R18" i="2"/>
  <c r="S18" i="2"/>
  <c r="B32" i="2"/>
  <c r="A11" i="10"/>
  <c r="C11" i="10" s="1"/>
  <c r="E11" i="10" s="1"/>
  <c r="E33" i="2" l="1"/>
  <c r="C33" i="2"/>
  <c r="E7" i="10"/>
  <c r="G7" i="10"/>
  <c r="I19" i="2"/>
  <c r="F33" i="2" s="1"/>
  <c r="K19" i="2"/>
  <c r="L19" i="2"/>
  <c r="M19" i="2"/>
  <c r="I18" i="2"/>
  <c r="F32" i="2" s="1"/>
  <c r="K18" i="2"/>
  <c r="L18" i="2"/>
  <c r="M18" i="2"/>
  <c r="A32" i="2"/>
  <c r="B11" i="10" s="1"/>
  <c r="D11" i="10" s="1"/>
  <c r="F11" i="10" s="1"/>
  <c r="E32" i="2"/>
  <c r="G16" i="2"/>
  <c r="G17" i="2"/>
  <c r="B10" i="10"/>
  <c r="D10" i="10" s="1"/>
  <c r="A6" i="10"/>
  <c r="C6" i="10" s="1"/>
  <c r="B6" i="10"/>
  <c r="D6" i="10"/>
  <c r="F6" i="10" s="1"/>
  <c r="A5" i="10"/>
  <c r="B5" i="10"/>
  <c r="D5" i="10" s="1"/>
  <c r="F5" i="10" s="1"/>
  <c r="C5" i="10"/>
  <c r="E5" i="10" s="1"/>
  <c r="G11" i="10" l="1"/>
  <c r="F10" i="10"/>
  <c r="E6" i="10"/>
  <c r="G6" i="10"/>
  <c r="G5" i="10"/>
  <c r="B20" i="3"/>
  <c r="B19" i="3"/>
  <c r="B18" i="3"/>
  <c r="E18" i="3"/>
  <c r="E19" i="3"/>
  <c r="E20" i="3"/>
  <c r="B15" i="3"/>
  <c r="B16" i="3"/>
  <c r="B17" i="3"/>
  <c r="M5" i="25" l="1"/>
  <c r="M6" i="25"/>
  <c r="M7" i="25"/>
  <c r="M8" i="25"/>
  <c r="F9" i="25"/>
  <c r="G9" i="25"/>
  <c r="M9" i="25"/>
  <c r="F10" i="25"/>
  <c r="G10" i="25"/>
  <c r="M10" i="25"/>
  <c r="F11" i="25"/>
  <c r="G11" i="25"/>
  <c r="M11" i="25"/>
  <c r="F12" i="25"/>
  <c r="G12" i="25"/>
  <c r="M12" i="25"/>
  <c r="F15" i="25" l="1"/>
  <c r="F14" i="25"/>
  <c r="F13" i="25"/>
  <c r="F4" i="25"/>
  <c r="F3" i="25"/>
  <c r="B12" i="3"/>
  <c r="B11" i="3"/>
  <c r="B10" i="3"/>
  <c r="B9" i="3"/>
  <c r="M15" i="25"/>
  <c r="M14" i="25"/>
  <c r="M13" i="25"/>
  <c r="K15" i="25"/>
  <c r="Q12" i="2"/>
  <c r="P12" i="2"/>
  <c r="O12" i="2"/>
  <c r="G8" i="25" s="1"/>
  <c r="N12" i="2"/>
  <c r="F8" i="25" s="1"/>
  <c r="Q11" i="2"/>
  <c r="P11" i="2"/>
  <c r="O11" i="2"/>
  <c r="G7" i="25" s="1"/>
  <c r="N11" i="2"/>
  <c r="F7" i="25" s="1"/>
  <c r="Q10" i="2"/>
  <c r="P10" i="2"/>
  <c r="O10" i="2"/>
  <c r="G6" i="25" s="1"/>
  <c r="N10" i="2"/>
  <c r="F6" i="25" s="1"/>
  <c r="Q9" i="2"/>
  <c r="P9" i="2"/>
  <c r="O9" i="2"/>
  <c r="G5" i="25" s="1"/>
  <c r="N9" i="2"/>
  <c r="F5" i="25" s="1"/>
  <c r="F17" i="2"/>
  <c r="E31" i="2" s="1"/>
  <c r="F16" i="2"/>
  <c r="F15" i="2"/>
  <c r="F14" i="2"/>
  <c r="F13" i="2"/>
  <c r="F12" i="2"/>
  <c r="F11" i="2"/>
  <c r="F10" i="2"/>
  <c r="E25" i="2" l="1"/>
  <c r="L7" i="25"/>
  <c r="E29" i="2"/>
  <c r="L11" i="25"/>
  <c r="E27" i="2"/>
  <c r="L9" i="25"/>
  <c r="A24" i="2"/>
  <c r="L6" i="25"/>
  <c r="A28" i="2"/>
  <c r="L10" i="25"/>
  <c r="E26" i="2"/>
  <c r="L8" i="25"/>
  <c r="E30" i="2"/>
  <c r="L12" i="25"/>
  <c r="A31" i="2"/>
  <c r="A27" i="2"/>
  <c r="C27" i="2"/>
  <c r="C24" i="2"/>
  <c r="E28" i="2"/>
  <c r="A30" i="2"/>
  <c r="C28" i="2"/>
  <c r="A26" i="2"/>
  <c r="E24" i="2"/>
  <c r="A25" i="2"/>
  <c r="A29" i="2"/>
  <c r="C26" i="2"/>
  <c r="C30" i="2"/>
  <c r="C31" i="2"/>
  <c r="C25" i="2"/>
  <c r="C29" i="2"/>
  <c r="F9" i="2"/>
  <c r="L5" i="25" s="1"/>
  <c r="E12" i="3"/>
  <c r="E11" i="3"/>
  <c r="E11" i="2" s="1"/>
  <c r="E7" i="25" s="1"/>
  <c r="E10" i="3"/>
  <c r="E10" i="2" s="1"/>
  <c r="E6" i="25" s="1"/>
  <c r="E9" i="3"/>
  <c r="E9" i="2" s="1"/>
  <c r="E5" i="25" s="1"/>
  <c r="L14" i="25"/>
  <c r="H14" i="25"/>
  <c r="R17" i="2"/>
  <c r="H13" i="25" s="1"/>
  <c r="S11" i="2"/>
  <c r="S12" i="2"/>
  <c r="S13" i="2"/>
  <c r="S14" i="2"/>
  <c r="S15" i="2"/>
  <c r="S16" i="2"/>
  <c r="S17" i="2"/>
  <c r="C14" i="25"/>
  <c r="D14" i="25"/>
  <c r="I14" i="25"/>
  <c r="G14" i="25"/>
  <c r="D16" i="2"/>
  <c r="D12" i="25" s="1"/>
  <c r="C16" i="2"/>
  <c r="C12" i="25" s="1"/>
  <c r="A16" i="2"/>
  <c r="D15" i="2"/>
  <c r="D11" i="25" s="1"/>
  <c r="C15" i="2"/>
  <c r="C11" i="25" s="1"/>
  <c r="A15" i="2"/>
  <c r="D14" i="2"/>
  <c r="D10" i="25" s="1"/>
  <c r="C14" i="2"/>
  <c r="C10" i="25" s="1"/>
  <c r="A14" i="2"/>
  <c r="D13" i="2"/>
  <c r="D9" i="25" s="1"/>
  <c r="C13" i="2"/>
  <c r="C9" i="25" s="1"/>
  <c r="A13" i="2"/>
  <c r="E12" i="2"/>
  <c r="E8" i="25" s="1"/>
  <c r="D12" i="2"/>
  <c r="D8" i="25" s="1"/>
  <c r="C12" i="2"/>
  <c r="C8" i="25" s="1"/>
  <c r="B12" i="2"/>
  <c r="B8" i="25" s="1"/>
  <c r="A12" i="2"/>
  <c r="D11" i="2"/>
  <c r="D7" i="25" s="1"/>
  <c r="C11" i="2"/>
  <c r="C7" i="25" s="1"/>
  <c r="B11" i="2"/>
  <c r="B7" i="25" s="1"/>
  <c r="A11" i="2"/>
  <c r="D10" i="2"/>
  <c r="D6" i="25" s="1"/>
  <c r="C10" i="2"/>
  <c r="C6" i="25" s="1"/>
  <c r="B10" i="2"/>
  <c r="B6" i="25" s="1"/>
  <c r="A10" i="2"/>
  <c r="D9" i="2"/>
  <c r="D5" i="25" s="1"/>
  <c r="C9" i="2"/>
  <c r="C5" i="25" s="1"/>
  <c r="B9" i="2"/>
  <c r="B5" i="25" s="1"/>
  <c r="A9" i="2"/>
  <c r="I12" i="25"/>
  <c r="G15" i="2"/>
  <c r="G14" i="2"/>
  <c r="I10" i="25" s="1"/>
  <c r="G13" i="2"/>
  <c r="G12" i="2"/>
  <c r="G11" i="2"/>
  <c r="S10" i="2"/>
  <c r="G10" i="2"/>
  <c r="S9" i="2"/>
  <c r="G9" i="2"/>
  <c r="I5" i="25" s="1"/>
  <c r="R16" i="2"/>
  <c r="H12" i="25" s="1"/>
  <c r="R15" i="2"/>
  <c r="H11" i="25" s="1"/>
  <c r="R14" i="2"/>
  <c r="H10" i="25" s="1"/>
  <c r="R13" i="2"/>
  <c r="H9" i="25" s="1"/>
  <c r="R12" i="2"/>
  <c r="H8" i="25" s="1"/>
  <c r="R11" i="2"/>
  <c r="H7" i="25" s="1"/>
  <c r="R10" i="2"/>
  <c r="H6" i="25" s="1"/>
  <c r="R9" i="2"/>
  <c r="H5" i="25" s="1"/>
  <c r="B14" i="25"/>
  <c r="B16" i="2"/>
  <c r="B12" i="25" s="1"/>
  <c r="B15" i="2"/>
  <c r="B11" i="25" s="1"/>
  <c r="B14" i="3"/>
  <c r="B14" i="2" s="1"/>
  <c r="B10" i="25" s="1"/>
  <c r="B13" i="3"/>
  <c r="B13" i="2" s="1"/>
  <c r="B9" i="25" s="1"/>
  <c r="B15" i="25"/>
  <c r="C15" i="25"/>
  <c r="D15" i="25"/>
  <c r="E15" i="25"/>
  <c r="G15" i="25"/>
  <c r="H15" i="25"/>
  <c r="I15" i="25"/>
  <c r="J15" i="25"/>
  <c r="L15" i="25"/>
  <c r="K4" i="25"/>
  <c r="J4" i="25"/>
  <c r="I4" i="25"/>
  <c r="H4" i="25"/>
  <c r="G4" i="25"/>
  <c r="E4" i="25"/>
  <c r="D4" i="25"/>
  <c r="C4" i="25"/>
  <c r="B4" i="25"/>
  <c r="M3" i="25"/>
  <c r="L3" i="25"/>
  <c r="K3" i="25"/>
  <c r="J3" i="25"/>
  <c r="I3" i="25"/>
  <c r="H3" i="25"/>
  <c r="G3" i="25"/>
  <c r="E3" i="25"/>
  <c r="D3" i="25"/>
  <c r="C3" i="25"/>
  <c r="B3" i="25"/>
  <c r="B24" i="2" l="1"/>
  <c r="I6" i="25"/>
  <c r="B25" i="2"/>
  <c r="I7" i="25"/>
  <c r="B27" i="2"/>
  <c r="I9" i="25"/>
  <c r="B29" i="2"/>
  <c r="I11" i="25"/>
  <c r="B26" i="2"/>
  <c r="I8" i="25"/>
  <c r="J11" i="2"/>
  <c r="B30" i="2"/>
  <c r="B28" i="2"/>
  <c r="J9" i="2"/>
  <c r="B23" i="2"/>
  <c r="E23" i="2"/>
  <c r="A23" i="2"/>
  <c r="C23" i="2"/>
  <c r="J12" i="2"/>
  <c r="J10" i="2"/>
  <c r="I9" i="2" l="1"/>
  <c r="K5" i="25" s="1"/>
  <c r="I11" i="2"/>
  <c r="K7" i="25" s="1"/>
  <c r="I12" i="2"/>
  <c r="K8" i="25" s="1"/>
  <c r="I10" i="2"/>
  <c r="K6" i="25" s="1"/>
  <c r="F23" i="2" l="1"/>
  <c r="F26" i="2"/>
  <c r="F25" i="2"/>
  <c r="F24" i="2"/>
  <c r="M19" i="23"/>
  <c r="M18" i="23"/>
  <c r="M17" i="23"/>
  <c r="M16" i="23"/>
  <c r="M15" i="23"/>
  <c r="M14" i="23"/>
  <c r="M13" i="23"/>
  <c r="M12" i="23"/>
  <c r="M11" i="23"/>
  <c r="M19" i="21"/>
  <c r="M18" i="21"/>
  <c r="M17" i="21"/>
  <c r="M16" i="21"/>
  <c r="M15" i="21"/>
  <c r="M14" i="21"/>
  <c r="M13" i="21"/>
  <c r="M12" i="21"/>
  <c r="M11" i="21"/>
  <c r="L13" i="25" l="1"/>
  <c r="E17" i="3"/>
  <c r="E16" i="3"/>
  <c r="E16" i="2" s="1"/>
  <c r="E15" i="3"/>
  <c r="E15" i="2" s="1"/>
  <c r="E14" i="3"/>
  <c r="E14" i="2" s="1"/>
  <c r="E13" i="3"/>
  <c r="E13" i="2" s="1"/>
  <c r="E9" i="25" s="1"/>
  <c r="E11" i="25" l="1"/>
  <c r="J15" i="2"/>
  <c r="E10" i="25"/>
  <c r="J14" i="2"/>
  <c r="E12" i="25"/>
  <c r="J16" i="2"/>
  <c r="J13" i="2"/>
  <c r="I13" i="25"/>
  <c r="B31" i="2"/>
  <c r="A10" i="10" s="1"/>
  <c r="C10" i="10" s="1"/>
  <c r="M19" i="10"/>
  <c r="E10" i="10" l="1"/>
  <c r="G10" i="10"/>
  <c r="I14" i="2"/>
  <c r="I16" i="2"/>
  <c r="I15" i="2"/>
  <c r="I13" i="2"/>
  <c r="K9" i="25" s="1"/>
  <c r="E17" i="2"/>
  <c r="D17" i="2"/>
  <c r="D13" i="25" s="1"/>
  <c r="C17" i="2"/>
  <c r="C13" i="25" s="1"/>
  <c r="B17" i="2"/>
  <c r="B13" i="25" s="1"/>
  <c r="A17" i="2"/>
  <c r="A4" i="10"/>
  <c r="C4" i="10" s="1"/>
  <c r="F6" i="2"/>
  <c r="E6" i="2"/>
  <c r="D6" i="2"/>
  <c r="K14" i="2" s="1"/>
  <c r="C6" i="2"/>
  <c r="A5" i="2"/>
  <c r="B4" i="2"/>
  <c r="D1" i="2" s="1"/>
  <c r="A4" i="2"/>
  <c r="A3" i="2"/>
  <c r="A1" i="2"/>
  <c r="L14" i="2" l="1"/>
  <c r="M14" i="2"/>
  <c r="K9" i="2"/>
  <c r="K10" i="2"/>
  <c r="K12" i="2"/>
  <c r="K11" i="2"/>
  <c r="K16" i="2"/>
  <c r="K13" i="2"/>
  <c r="K15" i="2"/>
  <c r="K12" i="25"/>
  <c r="F30" i="2"/>
  <c r="K10" i="25"/>
  <c r="F28" i="2"/>
  <c r="E14" i="25"/>
  <c r="K11" i="25"/>
  <c r="F29" i="2"/>
  <c r="F27" i="2"/>
  <c r="J14" i="25"/>
  <c r="H17" i="2"/>
  <c r="E13" i="25"/>
  <c r="J17" i="2"/>
  <c r="K17" i="2" s="1"/>
  <c r="H16" i="2"/>
  <c r="J12" i="25" s="1"/>
  <c r="H11" i="2"/>
  <c r="J7" i="25" s="1"/>
  <c r="H9" i="2"/>
  <c r="J5" i="25" s="1"/>
  <c r="H13" i="2"/>
  <c r="J9" i="25" s="1"/>
  <c r="H12" i="2"/>
  <c r="J8" i="25" s="1"/>
  <c r="H15" i="2"/>
  <c r="J11" i="25" s="1"/>
  <c r="H10" i="2"/>
  <c r="J6" i="25" s="1"/>
  <c r="H14" i="2"/>
  <c r="J10" i="25" s="1"/>
  <c r="E4" i="10"/>
  <c r="B3" i="21"/>
  <c r="D3" i="21" s="1"/>
  <c r="F3" i="21" s="1"/>
  <c r="B2" i="21"/>
  <c r="D2" i="21" s="1"/>
  <c r="B2" i="23"/>
  <c r="D2" i="23" s="1"/>
  <c r="M7" i="10"/>
  <c r="B4" i="10"/>
  <c r="D4" i="10" s="1"/>
  <c r="F4" i="10" s="1"/>
  <c r="A4" i="23"/>
  <c r="C4" i="23" s="1"/>
  <c r="A3" i="23"/>
  <c r="C3" i="23" s="1"/>
  <c r="A5" i="23"/>
  <c r="C5" i="23" s="1"/>
  <c r="L15" i="2" l="1"/>
  <c r="M15" i="2"/>
  <c r="L13" i="2"/>
  <c r="M13" i="2"/>
  <c r="M11" i="2"/>
  <c r="L11" i="2"/>
  <c r="M12" i="2"/>
  <c r="L12" i="2"/>
  <c r="M10" i="2"/>
  <c r="L10" i="2"/>
  <c r="L16" i="2"/>
  <c r="M16" i="2"/>
  <c r="L9" i="2"/>
  <c r="M9" i="2"/>
  <c r="K14" i="25"/>
  <c r="D28" i="2"/>
  <c r="D30" i="2"/>
  <c r="D29" i="2"/>
  <c r="J13" i="25"/>
  <c r="D31" i="2"/>
  <c r="D24" i="2"/>
  <c r="A3" i="21" s="1"/>
  <c r="C3" i="21" s="1"/>
  <c r="D23" i="2"/>
  <c r="A2" i="21" s="1"/>
  <c r="D27" i="2"/>
  <c r="D26" i="2"/>
  <c r="D25" i="2"/>
  <c r="A4" i="21" s="1"/>
  <c r="C4" i="21" s="1"/>
  <c r="L17" i="2"/>
  <c r="I17" i="2"/>
  <c r="M17" i="2"/>
  <c r="B4" i="21"/>
  <c r="D4" i="21" s="1"/>
  <c r="F4" i="21" s="1"/>
  <c r="B3" i="23"/>
  <c r="D3" i="23" s="1"/>
  <c r="F3" i="23" s="1"/>
  <c r="B5" i="21"/>
  <c r="D5" i="21" s="1"/>
  <c r="F5" i="21" s="1"/>
  <c r="G13" i="25"/>
  <c r="B5" i="23"/>
  <c r="D5" i="23" s="1"/>
  <c r="F5" i="23" s="1"/>
  <c r="B4" i="23"/>
  <c r="D4" i="23" s="1"/>
  <c r="F4" i="23" s="1"/>
  <c r="G4" i="10"/>
  <c r="E3" i="23"/>
  <c r="M3" i="23"/>
  <c r="M4" i="23"/>
  <c r="E4" i="23"/>
  <c r="M7" i="23"/>
  <c r="M6" i="23"/>
  <c r="M10" i="23"/>
  <c r="F2" i="23"/>
  <c r="M5" i="23"/>
  <c r="E5" i="23"/>
  <c r="M8" i="23"/>
  <c r="F2" i="21"/>
  <c r="A2" i="23"/>
  <c r="M8" i="10"/>
  <c r="M17" i="10"/>
  <c r="M18" i="10"/>
  <c r="A5" i="21"/>
  <c r="C5" i="21" s="1"/>
  <c r="M4" i="10"/>
  <c r="M6" i="10"/>
  <c r="M2" i="10"/>
  <c r="M9" i="10"/>
  <c r="K13" i="25" l="1"/>
  <c r="F31" i="2"/>
  <c r="I5" i="21"/>
  <c r="G4" i="23"/>
  <c r="I5" i="23"/>
  <c r="G3" i="23"/>
  <c r="I3" i="21"/>
  <c r="G5" i="23"/>
  <c r="I3" i="23"/>
  <c r="C2" i="21"/>
  <c r="I20" i="21"/>
  <c r="I19" i="21"/>
  <c r="G3" i="21"/>
  <c r="E3" i="21"/>
  <c r="M3" i="21"/>
  <c r="M10" i="21"/>
  <c r="E5" i="21"/>
  <c r="M5" i="21"/>
  <c r="G5" i="21"/>
  <c r="M8" i="21"/>
  <c r="G4" i="21"/>
  <c r="M4" i="21"/>
  <c r="E4" i="21"/>
  <c r="M7" i="21"/>
  <c r="M9" i="21"/>
  <c r="M6" i="21"/>
  <c r="C2" i="23"/>
  <c r="M5" i="10"/>
  <c r="I3" i="10"/>
  <c r="M16" i="10"/>
  <c r="M3" i="10"/>
  <c r="M14" i="10"/>
  <c r="M13" i="10"/>
  <c r="M10" i="10" l="1"/>
  <c r="G2" i="23"/>
  <c r="E2" i="23"/>
  <c r="M2" i="23"/>
  <c r="I2" i="21"/>
  <c r="G2" i="21"/>
  <c r="I6" i="21" s="1"/>
  <c r="I1" i="21"/>
  <c r="E2" i="21"/>
  <c r="I4" i="21" s="1"/>
  <c r="M2" i="21"/>
  <c r="O93" i="21"/>
  <c r="O77" i="21"/>
  <c r="O61" i="21"/>
  <c r="O45" i="21"/>
  <c r="O29" i="21"/>
  <c r="O92" i="21"/>
  <c r="O76" i="21"/>
  <c r="O60" i="21"/>
  <c r="O44" i="21"/>
  <c r="O26" i="21"/>
  <c r="O17" i="21"/>
  <c r="O87" i="21"/>
  <c r="O55" i="21"/>
  <c r="O21" i="21"/>
  <c r="O67" i="21"/>
  <c r="O98" i="21"/>
  <c r="O66" i="21"/>
  <c r="O34" i="21"/>
  <c r="O6" i="21"/>
  <c r="O75" i="21"/>
  <c r="O13" i="21"/>
  <c r="O20" i="21"/>
  <c r="O8" i="21"/>
  <c r="O30" i="21"/>
  <c r="O102" i="21"/>
  <c r="O85" i="21"/>
  <c r="O97" i="21"/>
  <c r="O81" i="21"/>
  <c r="O65" i="21"/>
  <c r="O49" i="21"/>
  <c r="O33" i="21"/>
  <c r="O96" i="21"/>
  <c r="O80" i="21"/>
  <c r="O64" i="21"/>
  <c r="O48" i="21"/>
  <c r="O32" i="21"/>
  <c r="O18" i="21"/>
  <c r="O95" i="21"/>
  <c r="O63" i="21"/>
  <c r="O31" i="21"/>
  <c r="O83" i="21"/>
  <c r="O25" i="21"/>
  <c r="O74" i="21"/>
  <c r="O42" i="21"/>
  <c r="O10" i="21"/>
  <c r="O91" i="21"/>
  <c r="O15" i="21"/>
  <c r="O28" i="21"/>
  <c r="O3" i="21"/>
  <c r="O62" i="21"/>
  <c r="O12" i="21"/>
  <c r="O101" i="21"/>
  <c r="O69" i="21"/>
  <c r="O53" i="21"/>
  <c r="O37" i="21"/>
  <c r="O100" i="21"/>
  <c r="O84" i="21"/>
  <c r="O68" i="21"/>
  <c r="O52" i="21"/>
  <c r="O36" i="21"/>
  <c r="O22" i="21"/>
  <c r="O14" i="21"/>
  <c r="O71" i="21"/>
  <c r="O39" i="21"/>
  <c r="O5" i="21"/>
  <c r="O35" i="21"/>
  <c r="O82" i="21"/>
  <c r="O50" i="21"/>
  <c r="O19" i="21"/>
  <c r="O99" i="21"/>
  <c r="O43" i="21"/>
  <c r="O54" i="21"/>
  <c r="O4" i="21"/>
  <c r="O94" i="21"/>
  <c r="O46" i="21"/>
  <c r="O38" i="21"/>
  <c r="O89" i="21"/>
  <c r="O73" i="21"/>
  <c r="O57" i="21"/>
  <c r="O41" i="21"/>
  <c r="O27" i="21"/>
  <c r="O88" i="21"/>
  <c r="O72" i="21"/>
  <c r="O56" i="21"/>
  <c r="O40" i="21"/>
  <c r="O24" i="21"/>
  <c r="O16" i="21"/>
  <c r="O79" i="21"/>
  <c r="O47" i="21"/>
  <c r="O9" i="21"/>
  <c r="O51" i="21"/>
  <c r="O90" i="21"/>
  <c r="O58" i="21"/>
  <c r="O23" i="21"/>
  <c r="O2" i="21"/>
  <c r="O59" i="21"/>
  <c r="O86" i="21"/>
  <c r="O11" i="21"/>
  <c r="O7" i="21"/>
  <c r="O78" i="21"/>
  <c r="O70" i="21"/>
  <c r="O96" i="10" l="1"/>
  <c r="U96" i="10" s="1"/>
  <c r="I10" i="21"/>
  <c r="W78" i="21"/>
  <c r="U78" i="21"/>
  <c r="Y78" i="21"/>
  <c r="W90" i="21"/>
  <c r="U90" i="21"/>
  <c r="Y90" i="21"/>
  <c r="Y56" i="21"/>
  <c r="U56" i="21"/>
  <c r="W56" i="21"/>
  <c r="W38" i="21"/>
  <c r="U38" i="21"/>
  <c r="Y38" i="21"/>
  <c r="W50" i="21"/>
  <c r="Y50" i="21"/>
  <c r="U50" i="21"/>
  <c r="U36" i="21"/>
  <c r="Y36" i="21"/>
  <c r="W36" i="21"/>
  <c r="Y101" i="21"/>
  <c r="W101" i="21"/>
  <c r="U101" i="21"/>
  <c r="Y42" i="21"/>
  <c r="W42" i="21"/>
  <c r="U42" i="21"/>
  <c r="W32" i="21"/>
  <c r="Y32" i="21"/>
  <c r="U32" i="21"/>
  <c r="W81" i="21"/>
  <c r="U81" i="21"/>
  <c r="Y81" i="21"/>
  <c r="Y75" i="21"/>
  <c r="W75" i="21"/>
  <c r="U75" i="21"/>
  <c r="Y87" i="21"/>
  <c r="W87" i="21"/>
  <c r="U87" i="21"/>
  <c r="Y70" i="21"/>
  <c r="U70" i="21"/>
  <c r="W70" i="21"/>
  <c r="Y58" i="21"/>
  <c r="W58" i="21"/>
  <c r="U58" i="21"/>
  <c r="Y40" i="21"/>
  <c r="U40" i="21"/>
  <c r="W40" i="21"/>
  <c r="U89" i="21"/>
  <c r="Y89" i="21"/>
  <c r="W89" i="21"/>
  <c r="U4" i="21"/>
  <c r="Y4" i="21"/>
  <c r="W4" i="21"/>
  <c r="U5" i="21"/>
  <c r="Y5" i="21"/>
  <c r="W5" i="21"/>
  <c r="Y84" i="21"/>
  <c r="W84" i="21"/>
  <c r="U84" i="21"/>
  <c r="U3" i="21"/>
  <c r="Y3" i="21"/>
  <c r="W3" i="21"/>
  <c r="W83" i="21"/>
  <c r="Y83" i="21"/>
  <c r="U83" i="21"/>
  <c r="U80" i="21"/>
  <c r="W80" i="21"/>
  <c r="Y80" i="21"/>
  <c r="W102" i="21"/>
  <c r="Y102" i="21"/>
  <c r="U102" i="21"/>
  <c r="W66" i="21"/>
  <c r="U66" i="21"/>
  <c r="Y66" i="21"/>
  <c r="Y93" i="21"/>
  <c r="U93" i="21"/>
  <c r="W93" i="21"/>
  <c r="W23" i="21"/>
  <c r="U23" i="21"/>
  <c r="Y23" i="21"/>
  <c r="Y9" i="21"/>
  <c r="W9" i="21"/>
  <c r="U9" i="21"/>
  <c r="U88" i="21"/>
  <c r="W88" i="21"/>
  <c r="Y88" i="21"/>
  <c r="Y94" i="21"/>
  <c r="U94" i="21"/>
  <c r="W94" i="21"/>
  <c r="Y7" i="21"/>
  <c r="W7" i="21"/>
  <c r="U7" i="21"/>
  <c r="U2" i="21"/>
  <c r="Y2" i="21"/>
  <c r="W2" i="21"/>
  <c r="Y51" i="21"/>
  <c r="U51" i="21"/>
  <c r="W51" i="21"/>
  <c r="Y16" i="21"/>
  <c r="W16" i="21"/>
  <c r="U16" i="21"/>
  <c r="W72" i="21"/>
  <c r="U72" i="21"/>
  <c r="Y72" i="21"/>
  <c r="W57" i="21"/>
  <c r="U57" i="21"/>
  <c r="Y57" i="21"/>
  <c r="W46" i="21"/>
  <c r="U46" i="21"/>
  <c r="Y46" i="21"/>
  <c r="W43" i="21"/>
  <c r="U43" i="21"/>
  <c r="Y43" i="21"/>
  <c r="W82" i="21"/>
  <c r="U82" i="21"/>
  <c r="Y82" i="21"/>
  <c r="U71" i="21"/>
  <c r="Y71" i="21"/>
  <c r="W71" i="21"/>
  <c r="W52" i="21"/>
  <c r="U52" i="21"/>
  <c r="Y52" i="21"/>
  <c r="U37" i="21"/>
  <c r="W37" i="21"/>
  <c r="Y37" i="21"/>
  <c r="U12" i="21"/>
  <c r="W12" i="21"/>
  <c r="Y12" i="21"/>
  <c r="U15" i="21"/>
  <c r="Y15" i="21"/>
  <c r="W15" i="21"/>
  <c r="U74" i="21"/>
  <c r="W74" i="21"/>
  <c r="Y74" i="21"/>
  <c r="U63" i="21"/>
  <c r="Y63" i="21"/>
  <c r="W63" i="21"/>
  <c r="U48" i="21"/>
  <c r="Y48" i="21"/>
  <c r="W48" i="21"/>
  <c r="Y33" i="21"/>
  <c r="U33" i="21"/>
  <c r="W33" i="21"/>
  <c r="Y97" i="21"/>
  <c r="W97" i="21"/>
  <c r="U97" i="21"/>
  <c r="Y8" i="21"/>
  <c r="U8" i="21"/>
  <c r="W8" i="21"/>
  <c r="Y6" i="21"/>
  <c r="W6" i="21"/>
  <c r="U6" i="21"/>
  <c r="Y67" i="21"/>
  <c r="W67" i="21"/>
  <c r="U67" i="21"/>
  <c r="Y17" i="21"/>
  <c r="W17" i="21"/>
  <c r="U17" i="21"/>
  <c r="U76" i="21"/>
  <c r="Y76" i="21"/>
  <c r="W76" i="21"/>
  <c r="U61" i="21"/>
  <c r="W61" i="21"/>
  <c r="Y61" i="21"/>
  <c r="I7" i="21"/>
  <c r="U59" i="21"/>
  <c r="Y59" i="21"/>
  <c r="W59" i="21"/>
  <c r="Y79" i="21"/>
  <c r="U79" i="21"/>
  <c r="W79" i="21"/>
  <c r="U41" i="21"/>
  <c r="W41" i="21"/>
  <c r="Y41" i="21"/>
  <c r="W54" i="21"/>
  <c r="U54" i="21"/>
  <c r="Y54" i="21"/>
  <c r="W39" i="21"/>
  <c r="Y39" i="21"/>
  <c r="U39" i="21"/>
  <c r="U100" i="21"/>
  <c r="Y100" i="21"/>
  <c r="W100" i="21"/>
  <c r="Y28" i="21"/>
  <c r="W28" i="21"/>
  <c r="U28" i="21"/>
  <c r="Y31" i="21"/>
  <c r="U31" i="21"/>
  <c r="W31" i="21"/>
  <c r="W96" i="21"/>
  <c r="U96" i="21"/>
  <c r="Y96" i="21"/>
  <c r="W30" i="21"/>
  <c r="U30" i="21"/>
  <c r="Y30" i="21"/>
  <c r="W98" i="21"/>
  <c r="U98" i="21"/>
  <c r="Y98" i="21"/>
  <c r="U60" i="21"/>
  <c r="Y60" i="21"/>
  <c r="W60" i="21"/>
  <c r="U45" i="21"/>
  <c r="W45" i="21"/>
  <c r="Y45" i="21"/>
  <c r="U86" i="21"/>
  <c r="W86" i="21"/>
  <c r="Y86" i="21"/>
  <c r="U47" i="21"/>
  <c r="Y47" i="21"/>
  <c r="W47" i="21"/>
  <c r="Y27" i="21"/>
  <c r="U27" i="21"/>
  <c r="W27" i="21"/>
  <c r="U19" i="21"/>
  <c r="W19" i="21"/>
  <c r="Y19" i="21"/>
  <c r="U22" i="21"/>
  <c r="W22" i="21"/>
  <c r="Y22" i="21"/>
  <c r="U69" i="21"/>
  <c r="Y69" i="21"/>
  <c r="W69" i="21"/>
  <c r="W10" i="21"/>
  <c r="U10" i="21"/>
  <c r="Y10" i="21"/>
  <c r="Y18" i="21"/>
  <c r="U18" i="21"/>
  <c r="W18" i="21"/>
  <c r="U65" i="21"/>
  <c r="Y65" i="21"/>
  <c r="W65" i="21"/>
  <c r="U13" i="21"/>
  <c r="W13" i="21"/>
  <c r="Y13" i="21"/>
  <c r="U55" i="21"/>
  <c r="W55" i="21"/>
  <c r="Y55" i="21"/>
  <c r="Y44" i="21"/>
  <c r="W44" i="21"/>
  <c r="U44" i="21"/>
  <c r="W29" i="21"/>
  <c r="Y29" i="21"/>
  <c r="U29" i="21"/>
  <c r="Y11" i="21"/>
  <c r="W11" i="21"/>
  <c r="U11" i="21"/>
  <c r="Y24" i="21"/>
  <c r="W24" i="21"/>
  <c r="U24" i="21"/>
  <c r="Y73" i="21"/>
  <c r="W73" i="21"/>
  <c r="U73" i="21"/>
  <c r="Y99" i="21"/>
  <c r="U99" i="21"/>
  <c r="W99" i="21"/>
  <c r="Y35" i="21"/>
  <c r="W35" i="21"/>
  <c r="U35" i="21"/>
  <c r="W14" i="21"/>
  <c r="U14" i="21"/>
  <c r="Y14" i="21"/>
  <c r="W68" i="21"/>
  <c r="U68" i="21"/>
  <c r="Y68" i="21"/>
  <c r="W53" i="21"/>
  <c r="U53" i="21"/>
  <c r="Y53" i="21"/>
  <c r="W62" i="21"/>
  <c r="Y62" i="21"/>
  <c r="U62" i="21"/>
  <c r="W91" i="21"/>
  <c r="U91" i="21"/>
  <c r="Y91" i="21"/>
  <c r="W25" i="21"/>
  <c r="U25" i="21"/>
  <c r="Y25" i="21"/>
  <c r="W95" i="21"/>
  <c r="Y95" i="21"/>
  <c r="U95" i="21"/>
  <c r="Y64" i="21"/>
  <c r="W64" i="21"/>
  <c r="U64" i="21"/>
  <c r="U49" i="21"/>
  <c r="Y49" i="21"/>
  <c r="W49" i="21"/>
  <c r="Y85" i="21"/>
  <c r="W85" i="21"/>
  <c r="U85" i="21"/>
  <c r="W20" i="21"/>
  <c r="U20" i="21"/>
  <c r="Y20" i="21"/>
  <c r="U34" i="21"/>
  <c r="Y34" i="21"/>
  <c r="W34" i="21"/>
  <c r="W21" i="21"/>
  <c r="U21" i="21"/>
  <c r="Y21" i="21"/>
  <c r="Y26" i="21"/>
  <c r="W26" i="21"/>
  <c r="U26" i="21"/>
  <c r="W92" i="21"/>
  <c r="U92" i="21"/>
  <c r="Y92" i="21"/>
  <c r="Y77" i="21"/>
  <c r="U77" i="21"/>
  <c r="W77" i="21"/>
  <c r="J24" i="21"/>
  <c r="I11" i="21"/>
  <c r="I8" i="21"/>
  <c r="I9" i="21"/>
  <c r="O4" i="10"/>
  <c r="O11" i="10"/>
  <c r="O18" i="10"/>
  <c r="O16" i="10"/>
  <c r="O33" i="10"/>
  <c r="O57" i="10"/>
  <c r="O38" i="10"/>
  <c r="O20" i="10"/>
  <c r="O32" i="10"/>
  <c r="O48" i="10"/>
  <c r="O27" i="10"/>
  <c r="O28" i="10"/>
  <c r="O31" i="10"/>
  <c r="O47" i="10"/>
  <c r="O73" i="10"/>
  <c r="O78" i="10"/>
  <c r="O68" i="10"/>
  <c r="O69" i="10"/>
  <c r="O67" i="10"/>
  <c r="O94" i="10"/>
  <c r="O87" i="10"/>
  <c r="O85" i="10"/>
  <c r="O101" i="10"/>
  <c r="O99" i="10"/>
  <c r="O92" i="10"/>
  <c r="M15" i="10"/>
  <c r="I4" i="10"/>
  <c r="I1" i="10"/>
  <c r="I11" i="10" s="1"/>
  <c r="I2" i="10"/>
  <c r="O3" i="10"/>
  <c r="O7" i="10"/>
  <c r="O9" i="10"/>
  <c r="O15" i="10"/>
  <c r="O19" i="10"/>
  <c r="O53" i="10"/>
  <c r="O34" i="10"/>
  <c r="O50" i="10"/>
  <c r="O26" i="10"/>
  <c r="O44" i="10"/>
  <c r="O21" i="10"/>
  <c r="O49" i="10"/>
  <c r="O25" i="10"/>
  <c r="O43" i="10"/>
  <c r="O65" i="10"/>
  <c r="O70" i="10"/>
  <c r="O64" i="10"/>
  <c r="O61" i="10"/>
  <c r="O59" i="10"/>
  <c r="O82" i="10"/>
  <c r="O83" i="10"/>
  <c r="O81" i="10"/>
  <c r="O97" i="10"/>
  <c r="O98" i="10"/>
  <c r="O88" i="10"/>
  <c r="O2" i="10"/>
  <c r="O6" i="10"/>
  <c r="O10" i="10"/>
  <c r="O12" i="10"/>
  <c r="O14" i="10"/>
  <c r="O41" i="10"/>
  <c r="O30" i="10"/>
  <c r="O46" i="10"/>
  <c r="O24" i="10"/>
  <c r="O40" i="10"/>
  <c r="O56" i="10"/>
  <c r="O45" i="10"/>
  <c r="O58" i="10"/>
  <c r="O39" i="10"/>
  <c r="O55" i="10"/>
  <c r="O62" i="10"/>
  <c r="O60" i="10"/>
  <c r="O76" i="10"/>
  <c r="O74" i="10"/>
  <c r="O75" i="10"/>
  <c r="O79" i="10"/>
  <c r="O95" i="10"/>
  <c r="O93" i="10"/>
  <c r="O90" i="10"/>
  <c r="O84" i="10"/>
  <c r="O100" i="10"/>
  <c r="O5" i="10"/>
  <c r="O8" i="10"/>
  <c r="O13" i="10"/>
  <c r="O17" i="10"/>
  <c r="O37" i="10"/>
  <c r="O22" i="10"/>
  <c r="O42" i="10"/>
  <c r="O23" i="10"/>
  <c r="O36" i="10"/>
  <c r="O52" i="10"/>
  <c r="O29" i="10"/>
  <c r="O54" i="10"/>
  <c r="O35" i="10"/>
  <c r="O51" i="10"/>
  <c r="O77" i="10"/>
  <c r="O63" i="10"/>
  <c r="O72" i="10"/>
  <c r="O66" i="10"/>
  <c r="O71" i="10"/>
  <c r="O102" i="10"/>
  <c r="O91" i="10"/>
  <c r="O89" i="10"/>
  <c r="O86" i="10"/>
  <c r="O80" i="10"/>
  <c r="Y96" i="10" l="1"/>
  <c r="I15" i="21"/>
  <c r="I16" i="21"/>
  <c r="J25" i="21"/>
  <c r="I12" i="21"/>
  <c r="I23" i="21"/>
  <c r="I14" i="21"/>
  <c r="I10" i="10"/>
  <c r="Y80" i="10"/>
  <c r="U80" i="10"/>
  <c r="W102" i="10"/>
  <c r="U102" i="10"/>
  <c r="W63" i="10"/>
  <c r="Y63" i="10"/>
  <c r="Y54" i="10"/>
  <c r="W54" i="10"/>
  <c r="U23" i="10"/>
  <c r="Y23" i="10"/>
  <c r="Y17" i="10"/>
  <c r="W17" i="10"/>
  <c r="U100" i="10"/>
  <c r="Y100" i="10"/>
  <c r="W95" i="10"/>
  <c r="Y95" i="10"/>
  <c r="Y75" i="10"/>
  <c r="W76" i="10"/>
  <c r="Y76" i="10"/>
  <c r="W39" i="10"/>
  <c r="Y39" i="10"/>
  <c r="W40" i="10"/>
  <c r="Y40" i="10"/>
  <c r="Y41" i="10"/>
  <c r="W41" i="10"/>
  <c r="Y6" i="10"/>
  <c r="U6" i="10"/>
  <c r="U97" i="10"/>
  <c r="Y97" i="10"/>
  <c r="Y58" i="10"/>
  <c r="W59" i="10"/>
  <c r="U59" i="10"/>
  <c r="Y65" i="10"/>
  <c r="U65" i="10"/>
  <c r="W21" i="10"/>
  <c r="U21" i="10"/>
  <c r="W34" i="10"/>
  <c r="Y34" i="10"/>
  <c r="U9" i="10"/>
  <c r="W9" i="10"/>
  <c r="Y9" i="10"/>
  <c r="Y66" i="10"/>
  <c r="Y67" i="10"/>
  <c r="U67" i="10"/>
  <c r="Y73" i="10"/>
  <c r="W73" i="10"/>
  <c r="Y26" i="10"/>
  <c r="Y27" i="10"/>
  <c r="W27" i="10"/>
  <c r="Y38" i="10"/>
  <c r="W38" i="10"/>
  <c r="U72" i="10"/>
  <c r="Y72" i="10"/>
  <c r="Y36" i="10"/>
  <c r="Y37" i="10"/>
  <c r="U37" i="10"/>
  <c r="U5" i="10"/>
  <c r="Y5" i="10"/>
  <c r="W74" i="10"/>
  <c r="U74" i="10"/>
  <c r="W55" i="10"/>
  <c r="Y55" i="10"/>
  <c r="U56" i="10"/>
  <c r="Y56" i="10"/>
  <c r="Y30" i="10"/>
  <c r="U30" i="10"/>
  <c r="W10" i="10"/>
  <c r="Y10" i="10"/>
  <c r="W98" i="10"/>
  <c r="U98" i="10"/>
  <c r="W82" i="10"/>
  <c r="U82" i="10"/>
  <c r="Y70" i="10"/>
  <c r="W70" i="10"/>
  <c r="Y49" i="10"/>
  <c r="U49" i="10"/>
  <c r="W50" i="10"/>
  <c r="U50" i="10"/>
  <c r="W15" i="10"/>
  <c r="Y15" i="10"/>
  <c r="Y98" i="10"/>
  <c r="W99" i="10"/>
  <c r="Y99" i="10"/>
  <c r="Y94" i="10"/>
  <c r="U94" i="10"/>
  <c r="W78" i="10"/>
  <c r="U78" i="10"/>
  <c r="Y28" i="10"/>
  <c r="U28" i="10"/>
  <c r="U20" i="10"/>
  <c r="Y20" i="10"/>
  <c r="W16" i="10"/>
  <c r="U16" i="10"/>
  <c r="U89" i="10"/>
  <c r="W89" i="10"/>
  <c r="U66" i="10"/>
  <c r="W66" i="10"/>
  <c r="Y50" i="10"/>
  <c r="U51" i="10"/>
  <c r="Y51" i="10"/>
  <c r="U52" i="10"/>
  <c r="Y52" i="10"/>
  <c r="Y21" i="10"/>
  <c r="W22" i="10"/>
  <c r="U22" i="10"/>
  <c r="W8" i="10"/>
  <c r="Y8" i="10"/>
  <c r="Y89" i="10"/>
  <c r="W90" i="10"/>
  <c r="U90" i="10"/>
  <c r="Y74" i="10"/>
  <c r="U75" i="10"/>
  <c r="W75" i="10"/>
  <c r="Y62" i="10"/>
  <c r="W62" i="10"/>
  <c r="Y45" i="10"/>
  <c r="W45" i="10"/>
  <c r="Y46" i="10"/>
  <c r="U46" i="10"/>
  <c r="W12" i="10"/>
  <c r="Y12" i="10"/>
  <c r="Y88" i="10"/>
  <c r="U88" i="10"/>
  <c r="Y82" i="10"/>
  <c r="W83" i="10"/>
  <c r="Y83" i="10"/>
  <c r="U64" i="10"/>
  <c r="Y64" i="10"/>
  <c r="W25" i="10"/>
  <c r="Y25" i="10"/>
  <c r="U26" i="10"/>
  <c r="W26" i="10"/>
  <c r="Y19" i="10"/>
  <c r="W19" i="10"/>
  <c r="W3" i="10"/>
  <c r="Y3" i="10"/>
  <c r="Y91" i="10"/>
  <c r="W92" i="10"/>
  <c r="Y92" i="10"/>
  <c r="W87" i="10"/>
  <c r="Y87" i="10"/>
  <c r="U68" i="10"/>
  <c r="Y68" i="10"/>
  <c r="U31" i="10"/>
  <c r="W31" i="10"/>
  <c r="Y31" i="10"/>
  <c r="U32" i="10"/>
  <c r="W32" i="10"/>
  <c r="Y32" i="10"/>
  <c r="Y33" i="10"/>
  <c r="W33" i="10"/>
  <c r="U4" i="10"/>
  <c r="Y4" i="10"/>
  <c r="I7" i="10"/>
  <c r="W101" i="10"/>
  <c r="Y101" i="10"/>
  <c r="W18" i="10"/>
  <c r="U18" i="10"/>
  <c r="Y18" i="10"/>
  <c r="Y90" i="10"/>
  <c r="W91" i="10"/>
  <c r="U91" i="10"/>
  <c r="U35" i="10"/>
  <c r="W35" i="10"/>
  <c r="Y35" i="10"/>
  <c r="U36" i="10"/>
  <c r="W36" i="10"/>
  <c r="W93" i="10"/>
  <c r="Y93" i="10"/>
  <c r="Y86" i="10"/>
  <c r="W86" i="10"/>
  <c r="W71" i="10"/>
  <c r="Y71" i="10"/>
  <c r="Y77" i="10"/>
  <c r="W77" i="10"/>
  <c r="Y29" i="10"/>
  <c r="W29" i="10"/>
  <c r="U42" i="10"/>
  <c r="W42" i="10"/>
  <c r="Y13" i="10"/>
  <c r="U13" i="10"/>
  <c r="Y84" i="10"/>
  <c r="W84" i="10"/>
  <c r="Y78" i="10"/>
  <c r="W79" i="10"/>
  <c r="Y79" i="10"/>
  <c r="Y59" i="10"/>
  <c r="W60" i="10"/>
  <c r="Y60" i="10"/>
  <c r="W58" i="10"/>
  <c r="U58" i="10"/>
  <c r="U24" i="10"/>
  <c r="Y24" i="10"/>
  <c r="U14" i="10"/>
  <c r="Y14" i="10"/>
  <c r="U2" i="10"/>
  <c r="W2" i="10"/>
  <c r="Y2" i="10"/>
  <c r="U81" i="10"/>
  <c r="Y81" i="10"/>
  <c r="W61" i="10"/>
  <c r="Y61" i="10"/>
  <c r="Y42" i="10"/>
  <c r="W43" i="10"/>
  <c r="U43" i="10"/>
  <c r="Y43" i="10"/>
  <c r="W44" i="10"/>
  <c r="Y44" i="10"/>
  <c r="Y53" i="10"/>
  <c r="W53" i="10"/>
  <c r="Y7" i="10"/>
  <c r="U7" i="10"/>
  <c r="W85" i="10"/>
  <c r="Y85" i="10"/>
  <c r="Y69" i="10"/>
  <c r="W69" i="10"/>
  <c r="W47" i="10"/>
  <c r="Y47" i="10"/>
  <c r="U48" i="10"/>
  <c r="Y48" i="10"/>
  <c r="Y57" i="10"/>
  <c r="W57" i="10"/>
  <c r="U11" i="10"/>
  <c r="Y11" i="10"/>
  <c r="K23" i="21" l="1"/>
  <c r="J12" i="21"/>
  <c r="K12" i="21" s="1"/>
  <c r="L29" i="21"/>
  <c r="I24" i="21"/>
  <c r="K24" i="21" s="1"/>
  <c r="P91" i="21" s="1"/>
  <c r="I13" i="21"/>
  <c r="J24" i="10"/>
  <c r="I15" i="10" s="1"/>
  <c r="W24" i="10"/>
  <c r="W5" i="10"/>
  <c r="W46" i="10"/>
  <c r="W30" i="10"/>
  <c r="U17" i="10"/>
  <c r="U87" i="10"/>
  <c r="U99" i="10"/>
  <c r="W13" i="10"/>
  <c r="W7" i="10"/>
  <c r="U41" i="10"/>
  <c r="U83" i="10"/>
  <c r="U101" i="10"/>
  <c r="U95" i="10"/>
  <c r="U15" i="10"/>
  <c r="W68" i="10"/>
  <c r="U29" i="10"/>
  <c r="W11" i="10"/>
  <c r="U76" i="10"/>
  <c r="U8" i="10"/>
  <c r="U92" i="10"/>
  <c r="U93" i="10"/>
  <c r="U44" i="10"/>
  <c r="U34" i="10"/>
  <c r="U25" i="10"/>
  <c r="U57" i="10"/>
  <c r="U54" i="10"/>
  <c r="W28" i="10"/>
  <c r="U12" i="10"/>
  <c r="U61" i="10"/>
  <c r="U47" i="10"/>
  <c r="U70" i="10"/>
  <c r="W52" i="10"/>
  <c r="U19" i="10"/>
  <c r="U71" i="10"/>
  <c r="W72" i="10"/>
  <c r="U45" i="10"/>
  <c r="U53" i="10"/>
  <c r="W67" i="10"/>
  <c r="W49" i="10"/>
  <c r="W20" i="10"/>
  <c r="W48" i="10"/>
  <c r="W100" i="10"/>
  <c r="W80" i="10"/>
  <c r="W97" i="10"/>
  <c r="U55" i="10"/>
  <c r="W4" i="10"/>
  <c r="U84" i="10"/>
  <c r="U39" i="10"/>
  <c r="W94" i="10"/>
  <c r="W51" i="10"/>
  <c r="U85" i="10"/>
  <c r="W14" i="10"/>
  <c r="U63" i="10"/>
  <c r="U86" i="10"/>
  <c r="W37" i="10"/>
  <c r="U3" i="10"/>
  <c r="U33" i="10"/>
  <c r="U79" i="10"/>
  <c r="W81" i="10"/>
  <c r="U69" i="10"/>
  <c r="W23" i="10"/>
  <c r="W6" i="10"/>
  <c r="W88" i="10"/>
  <c r="U27" i="10"/>
  <c r="U77" i="10"/>
  <c r="W56" i="10"/>
  <c r="W64" i="10"/>
  <c r="U60" i="10"/>
  <c r="W65" i="10"/>
  <c r="U38" i="10"/>
  <c r="U10" i="10"/>
  <c r="U62" i="10"/>
  <c r="U40" i="10"/>
  <c r="U73" i="10"/>
  <c r="W96" i="10"/>
  <c r="Y22" i="10"/>
  <c r="Y16" i="10"/>
  <c r="M11" i="10"/>
  <c r="M12" i="10"/>
  <c r="Y102" i="10"/>
  <c r="P16" i="21" l="1"/>
  <c r="P45" i="21"/>
  <c r="R45" i="21" s="1"/>
  <c r="V45" i="21" s="1"/>
  <c r="P70" i="21"/>
  <c r="P95" i="21"/>
  <c r="S95" i="21" s="1"/>
  <c r="X95" i="21" s="1"/>
  <c r="P32" i="21"/>
  <c r="R32" i="21" s="1"/>
  <c r="V32" i="21" s="1"/>
  <c r="P61" i="21"/>
  <c r="R61" i="21" s="1"/>
  <c r="V61" i="21" s="1"/>
  <c r="P86" i="21"/>
  <c r="R86" i="21" s="1"/>
  <c r="V86" i="21" s="1"/>
  <c r="P48" i="21"/>
  <c r="S48" i="21" s="1"/>
  <c r="X48" i="21" s="1"/>
  <c r="P77" i="21"/>
  <c r="S77" i="21" s="1"/>
  <c r="X77" i="21" s="1"/>
  <c r="P102" i="21"/>
  <c r="S102" i="21" s="1"/>
  <c r="X102" i="21" s="1"/>
  <c r="P64" i="21"/>
  <c r="R64" i="21" s="1"/>
  <c r="V64" i="21" s="1"/>
  <c r="P93" i="21"/>
  <c r="S93" i="21" s="1"/>
  <c r="X93" i="21" s="1"/>
  <c r="P15" i="21"/>
  <c r="R15" i="21" s="1"/>
  <c r="V15" i="21" s="1"/>
  <c r="P80" i="21"/>
  <c r="R80" i="21" s="1"/>
  <c r="V80" i="21" s="1"/>
  <c r="P31" i="21"/>
  <c r="S31" i="21" s="1"/>
  <c r="X31" i="21" s="1"/>
  <c r="P96" i="21"/>
  <c r="R96" i="21" s="1"/>
  <c r="V96" i="21" s="1"/>
  <c r="P13" i="21"/>
  <c r="P38" i="21"/>
  <c r="S38" i="21" s="1"/>
  <c r="X38" i="21" s="1"/>
  <c r="P63" i="21"/>
  <c r="S63" i="21" s="1"/>
  <c r="X63" i="21" s="1"/>
  <c r="P6" i="21"/>
  <c r="S6" i="21" s="1"/>
  <c r="X6" i="21" s="1"/>
  <c r="P22" i="21"/>
  <c r="S22" i="21" s="1"/>
  <c r="X22" i="21" s="1"/>
  <c r="P47" i="21"/>
  <c r="R47" i="21" s="1"/>
  <c r="V47" i="21" s="1"/>
  <c r="P29" i="21"/>
  <c r="R29" i="21" s="1"/>
  <c r="V29" i="21" s="1"/>
  <c r="P54" i="21"/>
  <c r="S54" i="21" s="1"/>
  <c r="X54" i="21" s="1"/>
  <c r="P79" i="21"/>
  <c r="P20" i="21"/>
  <c r="S20" i="21" s="1"/>
  <c r="X20" i="21" s="1"/>
  <c r="P52" i="21"/>
  <c r="R52" i="21" s="1"/>
  <c r="V52" i="21" s="1"/>
  <c r="P84" i="21"/>
  <c r="R84" i="21" s="1"/>
  <c r="V84" i="21" s="1"/>
  <c r="P17" i="21"/>
  <c r="S17" i="21" s="1"/>
  <c r="X17" i="21" s="1"/>
  <c r="P49" i="21"/>
  <c r="S49" i="21" s="1"/>
  <c r="X49" i="21" s="1"/>
  <c r="P81" i="21"/>
  <c r="S81" i="21" s="1"/>
  <c r="X81" i="21" s="1"/>
  <c r="P10" i="21"/>
  <c r="S10" i="21" s="1"/>
  <c r="X10" i="21" s="1"/>
  <c r="P42" i="21"/>
  <c r="P74" i="21"/>
  <c r="R74" i="21" s="1"/>
  <c r="V74" i="21" s="1"/>
  <c r="P90" i="21"/>
  <c r="R90" i="21" s="1"/>
  <c r="V90" i="21" s="1"/>
  <c r="P3" i="21"/>
  <c r="S3" i="21" s="1"/>
  <c r="X3" i="21" s="1"/>
  <c r="P35" i="21"/>
  <c r="R35" i="21" s="1"/>
  <c r="V35" i="21" s="1"/>
  <c r="P51" i="21"/>
  <c r="R51" i="21" s="1"/>
  <c r="V51" i="21" s="1"/>
  <c r="P67" i="21"/>
  <c r="R67" i="21" s="1"/>
  <c r="V67" i="21" s="1"/>
  <c r="P83" i="21"/>
  <c r="R83" i="21" s="1"/>
  <c r="V83" i="21" s="1"/>
  <c r="P99" i="21"/>
  <c r="P8" i="21"/>
  <c r="P24" i="21"/>
  <c r="R24" i="21" s="1"/>
  <c r="V24" i="21" s="1"/>
  <c r="P40" i="21"/>
  <c r="S40" i="21" s="1"/>
  <c r="X40" i="21" s="1"/>
  <c r="P56" i="21"/>
  <c r="S56" i="21" s="1"/>
  <c r="X56" i="21" s="1"/>
  <c r="P72" i="21"/>
  <c r="S72" i="21" s="1"/>
  <c r="X72" i="21" s="1"/>
  <c r="P88" i="21"/>
  <c r="S88" i="21" s="1"/>
  <c r="X88" i="21" s="1"/>
  <c r="P5" i="21"/>
  <c r="R5" i="21" s="1"/>
  <c r="V5" i="21" s="1"/>
  <c r="P21" i="21"/>
  <c r="R21" i="21" s="1"/>
  <c r="V21" i="21" s="1"/>
  <c r="P37" i="21"/>
  <c r="P53" i="21"/>
  <c r="P69" i="21"/>
  <c r="S69" i="21" s="1"/>
  <c r="X69" i="21" s="1"/>
  <c r="P85" i="21"/>
  <c r="S85" i="21" s="1"/>
  <c r="X85" i="21" s="1"/>
  <c r="P101" i="21"/>
  <c r="S101" i="21" s="1"/>
  <c r="X101" i="21" s="1"/>
  <c r="P14" i="21"/>
  <c r="R14" i="21" s="1"/>
  <c r="V14" i="21" s="1"/>
  <c r="P30" i="21"/>
  <c r="S30" i="21" s="1"/>
  <c r="X30" i="21" s="1"/>
  <c r="P46" i="21"/>
  <c r="P62" i="21"/>
  <c r="P78" i="21"/>
  <c r="R78" i="21" s="1"/>
  <c r="V78" i="21" s="1"/>
  <c r="P94" i="21"/>
  <c r="S94" i="21" s="1"/>
  <c r="X94" i="21" s="1"/>
  <c r="P7" i="21"/>
  <c r="R7" i="21" s="1"/>
  <c r="V7" i="21" s="1"/>
  <c r="P23" i="21"/>
  <c r="R23" i="21" s="1"/>
  <c r="V23" i="21" s="1"/>
  <c r="P39" i="21"/>
  <c r="S39" i="21" s="1"/>
  <c r="X39" i="21" s="1"/>
  <c r="P55" i="21"/>
  <c r="S55" i="21" s="1"/>
  <c r="X55" i="21" s="1"/>
  <c r="P71" i="21"/>
  <c r="R71" i="21" s="1"/>
  <c r="V71" i="21" s="1"/>
  <c r="P87" i="21"/>
  <c r="P4" i="21"/>
  <c r="S4" i="21" s="1"/>
  <c r="X4" i="21" s="1"/>
  <c r="P36" i="21"/>
  <c r="R36" i="21" s="1"/>
  <c r="V36" i="21" s="1"/>
  <c r="P68" i="21"/>
  <c r="S68" i="21" s="1"/>
  <c r="X68" i="21" s="1"/>
  <c r="P100" i="21"/>
  <c r="S100" i="21" s="1"/>
  <c r="X100" i="21" s="1"/>
  <c r="P33" i="21"/>
  <c r="R33" i="21" s="1"/>
  <c r="V33" i="21" s="1"/>
  <c r="P65" i="21"/>
  <c r="R65" i="21" s="1"/>
  <c r="V65" i="21" s="1"/>
  <c r="P97" i="21"/>
  <c r="S97" i="21" s="1"/>
  <c r="X97" i="21" s="1"/>
  <c r="P26" i="21"/>
  <c r="P58" i="21"/>
  <c r="S58" i="21" s="1"/>
  <c r="X58" i="21" s="1"/>
  <c r="P19" i="21"/>
  <c r="R19" i="21" s="1"/>
  <c r="V19" i="21" s="1"/>
  <c r="P12" i="21"/>
  <c r="R12" i="21" s="1"/>
  <c r="V12" i="21" s="1"/>
  <c r="P28" i="21"/>
  <c r="S28" i="21" s="1"/>
  <c r="X28" i="21" s="1"/>
  <c r="P44" i="21"/>
  <c r="S44" i="21" s="1"/>
  <c r="X44" i="21" s="1"/>
  <c r="P60" i="21"/>
  <c r="S60" i="21" s="1"/>
  <c r="X60" i="21" s="1"/>
  <c r="P76" i="21"/>
  <c r="S76" i="21" s="1"/>
  <c r="X76" i="21" s="1"/>
  <c r="P92" i="21"/>
  <c r="P9" i="21"/>
  <c r="P25" i="21"/>
  <c r="S25" i="21" s="1"/>
  <c r="X25" i="21" s="1"/>
  <c r="P41" i="21"/>
  <c r="S41" i="21" s="1"/>
  <c r="X41" i="21" s="1"/>
  <c r="P57" i="21"/>
  <c r="S57" i="21" s="1"/>
  <c r="X57" i="21" s="1"/>
  <c r="P73" i="21"/>
  <c r="R73" i="21" s="1"/>
  <c r="V73" i="21" s="1"/>
  <c r="P89" i="21"/>
  <c r="S89" i="21" s="1"/>
  <c r="X89" i="21" s="1"/>
  <c r="P2" i="21"/>
  <c r="S2" i="21" s="1"/>
  <c r="X2" i="21" s="1"/>
  <c r="P18" i="21"/>
  <c r="P34" i="21"/>
  <c r="P50" i="21"/>
  <c r="R50" i="21" s="1"/>
  <c r="V50" i="21" s="1"/>
  <c r="P66" i="21"/>
  <c r="R66" i="21" s="1"/>
  <c r="V66" i="21" s="1"/>
  <c r="P82" i="21"/>
  <c r="R82" i="21" s="1"/>
  <c r="V82" i="21" s="1"/>
  <c r="P98" i="21"/>
  <c r="S98" i="21" s="1"/>
  <c r="X98" i="21" s="1"/>
  <c r="P11" i="21"/>
  <c r="R11" i="21" s="1"/>
  <c r="V11" i="21" s="1"/>
  <c r="P27" i="21"/>
  <c r="S27" i="21" s="1"/>
  <c r="X27" i="21" s="1"/>
  <c r="P43" i="21"/>
  <c r="P59" i="21"/>
  <c r="R59" i="21" s="1"/>
  <c r="V59" i="21" s="1"/>
  <c r="P75" i="21"/>
  <c r="S75" i="21" s="1"/>
  <c r="X75" i="21" s="1"/>
  <c r="I25" i="21"/>
  <c r="S79" i="21"/>
  <c r="X79" i="21" s="1"/>
  <c r="S8" i="21"/>
  <c r="X8" i="21" s="1"/>
  <c r="S70" i="21"/>
  <c r="X70" i="21" s="1"/>
  <c r="R62" i="21"/>
  <c r="V62" i="21" s="1"/>
  <c r="S37" i="21"/>
  <c r="X37" i="21" s="1"/>
  <c r="S9" i="21"/>
  <c r="X9" i="21" s="1"/>
  <c r="Q63" i="21"/>
  <c r="T63" i="21" s="1"/>
  <c r="Q39" i="21"/>
  <c r="T39" i="21" s="1"/>
  <c r="Q21" i="21"/>
  <c r="T21" i="21" s="1"/>
  <c r="N14" i="21"/>
  <c r="Q82" i="21"/>
  <c r="T82" i="21" s="1"/>
  <c r="Q66" i="21"/>
  <c r="T66" i="21" s="1"/>
  <c r="Q50" i="21"/>
  <c r="T50" i="21" s="1"/>
  <c r="Q38" i="21"/>
  <c r="T38" i="21" s="1"/>
  <c r="Q15" i="21"/>
  <c r="T15" i="21" s="1"/>
  <c r="Q89" i="21"/>
  <c r="T89" i="21" s="1"/>
  <c r="Q57" i="21"/>
  <c r="T57" i="21" s="1"/>
  <c r="I29" i="21"/>
  <c r="N6" i="21"/>
  <c r="Q61" i="21"/>
  <c r="T61" i="21" s="1"/>
  <c r="Q100" i="21"/>
  <c r="T100" i="21" s="1"/>
  <c r="Q68" i="21"/>
  <c r="T68" i="21" s="1"/>
  <c r="Q44" i="21"/>
  <c r="T44" i="21" s="1"/>
  <c r="N15" i="21"/>
  <c r="N7" i="21"/>
  <c r="Q101" i="21"/>
  <c r="T101" i="21" s="1"/>
  <c r="Q53" i="21"/>
  <c r="T53" i="21" s="1"/>
  <c r="Q17" i="21"/>
  <c r="T17" i="21" s="1"/>
  <c r="Q80" i="21"/>
  <c r="T80" i="21" s="1"/>
  <c r="N9" i="21"/>
  <c r="Q88" i="21"/>
  <c r="T88" i="21" s="1"/>
  <c r="Q6" i="21"/>
  <c r="T6" i="21" s="1"/>
  <c r="Q40" i="21"/>
  <c r="T40" i="21" s="1"/>
  <c r="Q96" i="21"/>
  <c r="T96" i="21" s="1"/>
  <c r="Q83" i="21"/>
  <c r="T83" i="21" s="1"/>
  <c r="Q59" i="21"/>
  <c r="T59" i="21" s="1"/>
  <c r="Q31" i="21"/>
  <c r="T31" i="21" s="1"/>
  <c r="Q102" i="21"/>
  <c r="T102" i="21" s="1"/>
  <c r="Q74" i="21"/>
  <c r="T74" i="21" s="1"/>
  <c r="Q42" i="21"/>
  <c r="T42" i="21" s="1"/>
  <c r="Q20" i="21"/>
  <c r="T20" i="21" s="1"/>
  <c r="Q73" i="21"/>
  <c r="T73" i="21" s="1"/>
  <c r="N10" i="21"/>
  <c r="Q29" i="21"/>
  <c r="T29" i="21" s="1"/>
  <c r="Q52" i="21"/>
  <c r="T52" i="21" s="1"/>
  <c r="Q11" i="21"/>
  <c r="T11" i="21" s="1"/>
  <c r="Q85" i="21"/>
  <c r="T85" i="21" s="1"/>
  <c r="N12" i="21"/>
  <c r="N8" i="21"/>
  <c r="N4" i="21"/>
  <c r="Q32" i="21"/>
  <c r="T32" i="21" s="1"/>
  <c r="Q87" i="21"/>
  <c r="T87" i="21" s="1"/>
  <c r="Q35" i="21"/>
  <c r="T35" i="21" s="1"/>
  <c r="Q13" i="21"/>
  <c r="T13" i="21" s="1"/>
  <c r="Q78" i="21"/>
  <c r="T78" i="21" s="1"/>
  <c r="Q46" i="21"/>
  <c r="T46" i="21" s="1"/>
  <c r="Q23" i="21"/>
  <c r="T23" i="21" s="1"/>
  <c r="Q81" i="21"/>
  <c r="T81" i="21" s="1"/>
  <c r="N19" i="21"/>
  <c r="Q45" i="21"/>
  <c r="T45" i="21" s="1"/>
  <c r="Q60" i="21"/>
  <c r="T60" i="21" s="1"/>
  <c r="Q12" i="21"/>
  <c r="T12" i="21" s="1"/>
  <c r="Q93" i="21"/>
  <c r="T93" i="21" s="1"/>
  <c r="Q16" i="21"/>
  <c r="T16" i="21" s="1"/>
  <c r="Q9" i="21"/>
  <c r="T9" i="21" s="1"/>
  <c r="Q5" i="21"/>
  <c r="T5" i="21" s="1"/>
  <c r="Q64" i="21"/>
  <c r="T64" i="21" s="1"/>
  <c r="Q91" i="21"/>
  <c r="T91" i="21" s="1"/>
  <c r="Q79" i="21"/>
  <c r="T79" i="21" s="1"/>
  <c r="Q67" i="21"/>
  <c r="T67" i="21" s="1"/>
  <c r="Q55" i="21"/>
  <c r="T55" i="21" s="1"/>
  <c r="Q43" i="21"/>
  <c r="T43" i="21" s="1"/>
  <c r="Q25" i="21"/>
  <c r="T25" i="21" s="1"/>
  <c r="N16" i="21"/>
  <c r="Q98" i="21"/>
  <c r="T98" i="21" s="1"/>
  <c r="Q86" i="21"/>
  <c r="T86" i="21" s="1"/>
  <c r="Q70" i="21"/>
  <c r="T70" i="21" s="1"/>
  <c r="Q54" i="21"/>
  <c r="T54" i="21" s="1"/>
  <c r="Q28" i="21"/>
  <c r="T28" i="21" s="1"/>
  <c r="Q19" i="21"/>
  <c r="T19" i="21" s="1"/>
  <c r="Q97" i="21"/>
  <c r="T97" i="21" s="1"/>
  <c r="Q65" i="21"/>
  <c r="T65" i="21" s="1"/>
  <c r="Q33" i="21"/>
  <c r="T33" i="21" s="1"/>
  <c r="Q7" i="21"/>
  <c r="T7" i="21" s="1"/>
  <c r="Q77" i="21"/>
  <c r="T77" i="21" s="1"/>
  <c r="Q18" i="21"/>
  <c r="T18" i="21" s="1"/>
  <c r="Q76" i="21"/>
  <c r="T76" i="21" s="1"/>
  <c r="Q24" i="21"/>
  <c r="T24" i="21" s="1"/>
  <c r="Q8" i="21"/>
  <c r="T8" i="21" s="1"/>
  <c r="N3" i="21"/>
  <c r="Q69" i="21"/>
  <c r="T69" i="21" s="1"/>
  <c r="N11" i="21"/>
  <c r="Q10" i="21"/>
  <c r="T10" i="21" s="1"/>
  <c r="N5" i="21"/>
  <c r="Q22" i="21"/>
  <c r="T22" i="21" s="1"/>
  <c r="Q72" i="21"/>
  <c r="T72" i="21" s="1"/>
  <c r="Q2" i="21"/>
  <c r="T2" i="21" s="1"/>
  <c r="Q95" i="21"/>
  <c r="T95" i="21" s="1"/>
  <c r="Q71" i="21"/>
  <c r="T71" i="21" s="1"/>
  <c r="Q47" i="21"/>
  <c r="T47" i="21" s="1"/>
  <c r="N17" i="21"/>
  <c r="Q90" i="21"/>
  <c r="T90" i="21" s="1"/>
  <c r="Q58" i="21"/>
  <c r="T58" i="21" s="1"/>
  <c r="Q30" i="21"/>
  <c r="T30" i="21" s="1"/>
  <c r="Q41" i="21"/>
  <c r="T41" i="21" s="1"/>
  <c r="N2" i="21"/>
  <c r="Q84" i="21"/>
  <c r="T84" i="21" s="1"/>
  <c r="Q26" i="21"/>
  <c r="T26" i="21" s="1"/>
  <c r="Q27" i="21"/>
  <c r="T27" i="21" s="1"/>
  <c r="J13" i="21"/>
  <c r="Q14" i="21"/>
  <c r="T14" i="21" s="1"/>
  <c r="Q99" i="21"/>
  <c r="T99" i="21" s="1"/>
  <c r="Q75" i="21"/>
  <c r="T75" i="21" s="1"/>
  <c r="Q51" i="21"/>
  <c r="T51" i="21" s="1"/>
  <c r="N18" i="21"/>
  <c r="Q94" i="21"/>
  <c r="T94" i="21" s="1"/>
  <c r="Q62" i="21"/>
  <c r="T62" i="21" s="1"/>
  <c r="Q34" i="21"/>
  <c r="T34" i="21" s="1"/>
  <c r="N13" i="21"/>
  <c r="Q49" i="21"/>
  <c r="T49" i="21" s="1"/>
  <c r="Q3" i="21"/>
  <c r="T3" i="21" s="1"/>
  <c r="Q92" i="21"/>
  <c r="T92" i="21" s="1"/>
  <c r="Q36" i="21"/>
  <c r="T36" i="21" s="1"/>
  <c r="Q4" i="21"/>
  <c r="T4" i="21" s="1"/>
  <c r="Q37" i="21"/>
  <c r="T37" i="21" s="1"/>
  <c r="Q48" i="21"/>
  <c r="T48" i="21" s="1"/>
  <c r="Q56" i="21"/>
  <c r="T56" i="21" s="1"/>
  <c r="R99" i="21"/>
  <c r="V99" i="21" s="1"/>
  <c r="I18" i="21"/>
  <c r="K18" i="21" s="1"/>
  <c r="S43" i="21"/>
  <c r="X43" i="21" s="1"/>
  <c r="R34" i="21"/>
  <c r="V34" i="21" s="1"/>
  <c r="R53" i="21"/>
  <c r="V53" i="21" s="1"/>
  <c r="I17" i="21"/>
  <c r="S92" i="21"/>
  <c r="X92" i="21" s="1"/>
  <c r="S91" i="21"/>
  <c r="X91" i="21" s="1"/>
  <c r="R13" i="21"/>
  <c r="V13" i="21" s="1"/>
  <c r="R42" i="21"/>
  <c r="V42" i="21" s="1"/>
  <c r="L23" i="21"/>
  <c r="R16" i="21"/>
  <c r="V16" i="21" s="1"/>
  <c r="R46" i="21"/>
  <c r="V46" i="21" s="1"/>
  <c r="R18" i="21"/>
  <c r="V18" i="21" s="1"/>
  <c r="R26" i="21"/>
  <c r="V26" i="21" s="1"/>
  <c r="R87" i="21"/>
  <c r="V87" i="21" s="1"/>
  <c r="I5" i="10"/>
  <c r="I8" i="10" s="1"/>
  <c r="J25" i="10"/>
  <c r="I6" i="10"/>
  <c r="I9" i="10" s="1"/>
  <c r="I23" i="10" s="1"/>
  <c r="I16" i="10"/>
  <c r="S24" i="21" l="1"/>
  <c r="X24" i="21" s="1"/>
  <c r="S21" i="21"/>
  <c r="X21" i="21" s="1"/>
  <c r="R8" i="21"/>
  <c r="V8" i="21" s="1"/>
  <c r="R22" i="21"/>
  <c r="V22" i="21" s="1"/>
  <c r="R4" i="21"/>
  <c r="V4" i="21" s="1"/>
  <c r="S7" i="21"/>
  <c r="X7" i="21" s="1"/>
  <c r="R69" i="21"/>
  <c r="V69" i="21" s="1"/>
  <c r="R98" i="21"/>
  <c r="V98" i="21" s="1"/>
  <c r="R9" i="21"/>
  <c r="V9" i="21" s="1"/>
  <c r="S62" i="21"/>
  <c r="X62" i="21" s="1"/>
  <c r="R55" i="21"/>
  <c r="V55" i="21" s="1"/>
  <c r="R63" i="21"/>
  <c r="V63" i="21" s="1"/>
  <c r="S90" i="21"/>
  <c r="X90" i="21" s="1"/>
  <c r="S23" i="21"/>
  <c r="X23" i="21" s="1"/>
  <c r="R40" i="21"/>
  <c r="V40" i="21" s="1"/>
  <c r="S51" i="21"/>
  <c r="X51" i="21" s="1"/>
  <c r="S74" i="21"/>
  <c r="X74" i="21" s="1"/>
  <c r="R68" i="21"/>
  <c r="V68" i="21" s="1"/>
  <c r="R101" i="21"/>
  <c r="V101" i="21" s="1"/>
  <c r="R28" i="21"/>
  <c r="V28" i="21" s="1"/>
  <c r="R6" i="21"/>
  <c r="V6" i="21" s="1"/>
  <c r="S35" i="21"/>
  <c r="X35" i="21" s="1"/>
  <c r="R39" i="21"/>
  <c r="V39" i="21" s="1"/>
  <c r="R70" i="21"/>
  <c r="V70" i="21" s="1"/>
  <c r="R37" i="21"/>
  <c r="V37" i="21" s="1"/>
  <c r="R72" i="21"/>
  <c r="V72" i="21" s="1"/>
  <c r="R79" i="21"/>
  <c r="V79" i="21" s="1"/>
  <c r="S47" i="21"/>
  <c r="X47" i="21" s="1"/>
  <c r="S65" i="21"/>
  <c r="X65" i="21" s="1"/>
  <c r="R93" i="21"/>
  <c r="V93" i="21" s="1"/>
  <c r="S29" i="21"/>
  <c r="X29" i="21" s="1"/>
  <c r="R91" i="21"/>
  <c r="V91" i="21" s="1"/>
  <c r="S12" i="21"/>
  <c r="X12" i="21" s="1"/>
  <c r="R77" i="21"/>
  <c r="V77" i="21" s="1"/>
  <c r="R97" i="21"/>
  <c r="V97" i="21" s="1"/>
  <c r="S64" i="21"/>
  <c r="X64" i="21" s="1"/>
  <c r="S34" i="21"/>
  <c r="X34" i="21" s="1"/>
  <c r="S46" i="21"/>
  <c r="X46" i="21" s="1"/>
  <c r="R49" i="21"/>
  <c r="V49" i="21" s="1"/>
  <c r="S32" i="21"/>
  <c r="X32" i="21" s="1"/>
  <c r="R27" i="21"/>
  <c r="V27" i="21" s="1"/>
  <c r="R85" i="21"/>
  <c r="V85" i="21" s="1"/>
  <c r="J18" i="21"/>
  <c r="S15" i="21"/>
  <c r="X15" i="21" s="1"/>
  <c r="S33" i="21"/>
  <c r="X33" i="21" s="1"/>
  <c r="S11" i="21"/>
  <c r="X11" i="21" s="1"/>
  <c r="S80" i="21"/>
  <c r="X80" i="21" s="1"/>
  <c r="K13" i="21"/>
  <c r="J14" i="21"/>
  <c r="K31" i="25" s="1"/>
  <c r="R41" i="21"/>
  <c r="V41" i="21" s="1"/>
  <c r="S26" i="21"/>
  <c r="X26" i="21" s="1"/>
  <c r="R88" i="21"/>
  <c r="V88" i="21" s="1"/>
  <c r="R25" i="21"/>
  <c r="V25" i="21" s="1"/>
  <c r="R81" i="21"/>
  <c r="V81" i="21" s="1"/>
  <c r="S82" i="21"/>
  <c r="X82" i="21" s="1"/>
  <c r="S45" i="21"/>
  <c r="X45" i="21" s="1"/>
  <c r="S36" i="21"/>
  <c r="X36" i="21" s="1"/>
  <c r="S66" i="21"/>
  <c r="X66" i="21" s="1"/>
  <c r="S83" i="21"/>
  <c r="X83" i="21" s="1"/>
  <c r="R75" i="21"/>
  <c r="V75" i="21" s="1"/>
  <c r="S19" i="21"/>
  <c r="X19" i="21" s="1"/>
  <c r="R54" i="21"/>
  <c r="V54" i="21" s="1"/>
  <c r="R30" i="21"/>
  <c r="V30" i="21" s="1"/>
  <c r="S13" i="21"/>
  <c r="X13" i="21" s="1"/>
  <c r="R48" i="21"/>
  <c r="V48" i="21" s="1"/>
  <c r="R2" i="21"/>
  <c r="V2" i="21" s="1"/>
  <c r="S71" i="21"/>
  <c r="X71" i="21" s="1"/>
  <c r="R31" i="21"/>
  <c r="V31" i="21" s="1"/>
  <c r="R100" i="21"/>
  <c r="V100" i="21" s="1"/>
  <c r="S14" i="21"/>
  <c r="X14" i="21" s="1"/>
  <c r="R56" i="21"/>
  <c r="V56" i="21" s="1"/>
  <c r="S42" i="21"/>
  <c r="X42" i="21" s="1"/>
  <c r="J17" i="21"/>
  <c r="K17" i="21"/>
  <c r="S18" i="21"/>
  <c r="X18" i="21" s="1"/>
  <c r="S86" i="21"/>
  <c r="X86" i="21" s="1"/>
  <c r="R20" i="21"/>
  <c r="V20" i="21" s="1"/>
  <c r="R58" i="21"/>
  <c r="V58" i="21" s="1"/>
  <c r="R3" i="21"/>
  <c r="V3" i="21" s="1"/>
  <c r="S99" i="21"/>
  <c r="X99" i="21" s="1"/>
  <c r="S52" i="21"/>
  <c r="X52" i="21" s="1"/>
  <c r="R94" i="21"/>
  <c r="V94" i="21" s="1"/>
  <c r="S96" i="21"/>
  <c r="X96" i="21" s="1"/>
  <c r="R92" i="21"/>
  <c r="V92" i="21" s="1"/>
  <c r="R76" i="21"/>
  <c r="V76" i="21" s="1"/>
  <c r="S59" i="21"/>
  <c r="X59" i="21" s="1"/>
  <c r="R10" i="21"/>
  <c r="V10" i="21" s="1"/>
  <c r="S5" i="21"/>
  <c r="X5" i="21" s="1"/>
  <c r="R57" i="21"/>
  <c r="V57" i="21" s="1"/>
  <c r="S73" i="21"/>
  <c r="X73" i="21" s="1"/>
  <c r="S67" i="21"/>
  <c r="X67" i="21" s="1"/>
  <c r="S84" i="21"/>
  <c r="X84" i="21" s="1"/>
  <c r="S78" i="21"/>
  <c r="X78" i="21" s="1"/>
  <c r="S61" i="21"/>
  <c r="X61" i="21" s="1"/>
  <c r="R89" i="21"/>
  <c r="V89" i="21" s="1"/>
  <c r="R43" i="21"/>
  <c r="V43" i="21" s="1"/>
  <c r="R17" i="21"/>
  <c r="V17" i="21" s="1"/>
  <c r="R44" i="21"/>
  <c r="V44" i="21" s="1"/>
  <c r="S87" i="21"/>
  <c r="X87" i="21" s="1"/>
  <c r="R38" i="21"/>
  <c r="V38" i="21" s="1"/>
  <c r="S16" i="21"/>
  <c r="X16" i="21" s="1"/>
  <c r="S50" i="21"/>
  <c r="X50" i="21" s="1"/>
  <c r="R102" i="21"/>
  <c r="V102" i="21" s="1"/>
  <c r="R60" i="21"/>
  <c r="V60" i="21" s="1"/>
  <c r="R95" i="21"/>
  <c r="V95" i="21" s="1"/>
  <c r="S53" i="21"/>
  <c r="X53" i="21" s="1"/>
  <c r="I14" i="10"/>
  <c r="I24" i="10"/>
  <c r="K24" i="10" s="1"/>
  <c r="P100" i="10" s="1"/>
  <c r="I12" i="10"/>
  <c r="J12" i="10" s="1"/>
  <c r="K12" i="10" s="1"/>
  <c r="K23" i="10"/>
  <c r="P9" i="10" l="1"/>
  <c r="P25" i="10"/>
  <c r="P41" i="10"/>
  <c r="P57" i="10"/>
  <c r="P73" i="10"/>
  <c r="P89" i="10"/>
  <c r="P2" i="10"/>
  <c r="P18" i="10"/>
  <c r="P34" i="10"/>
  <c r="P50" i="10"/>
  <c r="P66" i="10"/>
  <c r="P82" i="10"/>
  <c r="P98" i="10"/>
  <c r="P11" i="10"/>
  <c r="P27" i="10"/>
  <c r="P43" i="10"/>
  <c r="P59" i="10"/>
  <c r="P75" i="10"/>
  <c r="P91" i="10"/>
  <c r="P8" i="10"/>
  <c r="P24" i="10"/>
  <c r="P40" i="10"/>
  <c r="P56" i="10"/>
  <c r="P72" i="10"/>
  <c r="P88" i="10"/>
  <c r="P13" i="10"/>
  <c r="P29" i="10"/>
  <c r="P45" i="10"/>
  <c r="P61" i="10"/>
  <c r="P77" i="10"/>
  <c r="P93" i="10"/>
  <c r="P6" i="10"/>
  <c r="P22" i="10"/>
  <c r="P38" i="10"/>
  <c r="P54" i="10"/>
  <c r="P70" i="10"/>
  <c r="P86" i="10"/>
  <c r="P102" i="10"/>
  <c r="P15" i="10"/>
  <c r="P31" i="10"/>
  <c r="P47" i="10"/>
  <c r="P63" i="10"/>
  <c r="P79" i="10"/>
  <c r="P95" i="10"/>
  <c r="P12" i="10"/>
  <c r="P28" i="10"/>
  <c r="P44" i="10"/>
  <c r="P60" i="10"/>
  <c r="P76" i="10"/>
  <c r="P92" i="10"/>
  <c r="P17" i="10"/>
  <c r="P33" i="10"/>
  <c r="P49" i="10"/>
  <c r="P65" i="10"/>
  <c r="P81" i="10"/>
  <c r="P97" i="10"/>
  <c r="P10" i="10"/>
  <c r="P26" i="10"/>
  <c r="P42" i="10"/>
  <c r="P58" i="10"/>
  <c r="P74" i="10"/>
  <c r="P90" i="10"/>
  <c r="P3" i="10"/>
  <c r="P19" i="10"/>
  <c r="P35" i="10"/>
  <c r="P51" i="10"/>
  <c r="P67" i="10"/>
  <c r="P83" i="10"/>
  <c r="P99" i="10"/>
  <c r="P16" i="10"/>
  <c r="P32" i="10"/>
  <c r="P48" i="10"/>
  <c r="P64" i="10"/>
  <c r="P80" i="10"/>
  <c r="P96" i="10"/>
  <c r="P5" i="10"/>
  <c r="P21" i="10"/>
  <c r="P37" i="10"/>
  <c r="P53" i="10"/>
  <c r="P69" i="10"/>
  <c r="P85" i="10"/>
  <c r="P101" i="10"/>
  <c r="P14" i="10"/>
  <c r="P30" i="10"/>
  <c r="P46" i="10"/>
  <c r="P62" i="10"/>
  <c r="P78" i="10"/>
  <c r="P94" i="10"/>
  <c r="P7" i="10"/>
  <c r="P23" i="10"/>
  <c r="P39" i="10"/>
  <c r="P55" i="10"/>
  <c r="P71" i="10"/>
  <c r="P87" i="10"/>
  <c r="P4" i="10"/>
  <c r="P20" i="10"/>
  <c r="P36" i="10"/>
  <c r="P52" i="10"/>
  <c r="P68" i="10"/>
  <c r="P84" i="10"/>
  <c r="I18" i="10"/>
  <c r="L23" i="10"/>
  <c r="I25" i="10"/>
  <c r="I17" i="10"/>
  <c r="K17" i="10" s="1"/>
  <c r="L29" i="10"/>
  <c r="I13" i="10"/>
  <c r="R17" i="10" l="1"/>
  <c r="V17" i="10" s="1"/>
  <c r="N5" i="10"/>
  <c r="J17" i="10"/>
  <c r="Q38" i="10"/>
  <c r="T38" i="10" s="1"/>
  <c r="R98" i="10"/>
  <c r="V98" i="10" s="1"/>
  <c r="Q30" i="10"/>
  <c r="T30" i="10" s="1"/>
  <c r="S72" i="10"/>
  <c r="X72" i="10" s="1"/>
  <c r="N4" i="10"/>
  <c r="N15" i="10"/>
  <c r="R28" i="10"/>
  <c r="V28" i="10" s="1"/>
  <c r="N10" i="10"/>
  <c r="R9" i="10"/>
  <c r="V9" i="10" s="1"/>
  <c r="R53" i="10"/>
  <c r="V53" i="10" s="1"/>
  <c r="Q3" i="10"/>
  <c r="T3" i="10" s="1"/>
  <c r="N6" i="10"/>
  <c r="S87" i="10"/>
  <c r="X87" i="10" s="1"/>
  <c r="S49" i="10"/>
  <c r="X49" i="10" s="1"/>
  <c r="S91" i="10"/>
  <c r="X91" i="10" s="1"/>
  <c r="R34" i="10"/>
  <c r="V34" i="10" s="1"/>
  <c r="Q70" i="10"/>
  <c r="T70" i="10" s="1"/>
  <c r="R90" i="10"/>
  <c r="V90" i="10" s="1"/>
  <c r="Q40" i="10"/>
  <c r="T40" i="10" s="1"/>
  <c r="S53" i="10"/>
  <c r="X53" i="10" s="1"/>
  <c r="R77" i="10"/>
  <c r="V77" i="10" s="1"/>
  <c r="R20" i="10"/>
  <c r="V20" i="10" s="1"/>
  <c r="Q74" i="10"/>
  <c r="T74" i="10" s="1"/>
  <c r="R85" i="10"/>
  <c r="V85" i="10" s="1"/>
  <c r="R83" i="10"/>
  <c r="V83" i="10" s="1"/>
  <c r="S76" i="10"/>
  <c r="X76" i="10" s="1"/>
  <c r="S92" i="10"/>
  <c r="X92" i="10" s="1"/>
  <c r="Q49" i="10"/>
  <c r="T49" i="10" s="1"/>
  <c r="S61" i="10"/>
  <c r="X61" i="10" s="1"/>
  <c r="R89" i="10"/>
  <c r="V89" i="10" s="1"/>
  <c r="R21" i="10"/>
  <c r="V21" i="10" s="1"/>
  <c r="R100" i="10"/>
  <c r="V100" i="10" s="1"/>
  <c r="R7" i="10"/>
  <c r="V7" i="10" s="1"/>
  <c r="S37" i="10"/>
  <c r="X37" i="10" s="1"/>
  <c r="R91" i="10"/>
  <c r="V91" i="10" s="1"/>
  <c r="Q26" i="10"/>
  <c r="T26" i="10" s="1"/>
  <c r="S25" i="10"/>
  <c r="X25" i="10" s="1"/>
  <c r="R13" i="10"/>
  <c r="V13" i="10" s="1"/>
  <c r="Q69" i="10"/>
  <c r="T69" i="10" s="1"/>
  <c r="S34" i="10"/>
  <c r="X34" i="10" s="1"/>
  <c r="I29" i="10"/>
  <c r="Q13" i="10"/>
  <c r="T13" i="10" s="1"/>
  <c r="Q33" i="10"/>
  <c r="T33" i="10" s="1"/>
  <c r="S12" i="10"/>
  <c r="X12" i="10" s="1"/>
  <c r="Q61" i="10"/>
  <c r="T61" i="10" s="1"/>
  <c r="Q56" i="10"/>
  <c r="T56" i="10" s="1"/>
  <c r="S102" i="10"/>
  <c r="X102" i="10" s="1"/>
  <c r="R23" i="10"/>
  <c r="V23" i="10" s="1"/>
  <c r="S55" i="10"/>
  <c r="X55" i="10" s="1"/>
  <c r="Q92" i="10"/>
  <c r="T92" i="10" s="1"/>
  <c r="R5" i="10"/>
  <c r="V5" i="10" s="1"/>
  <c r="Q50" i="10"/>
  <c r="T50" i="10" s="1"/>
  <c r="S36" i="10"/>
  <c r="X36" i="10" s="1"/>
  <c r="S10" i="10"/>
  <c r="X10" i="10" s="1"/>
  <c r="R70" i="10"/>
  <c r="V70" i="10" s="1"/>
  <c r="R95" i="10"/>
  <c r="V95" i="10" s="1"/>
  <c r="J18" i="10"/>
  <c r="S39" i="10"/>
  <c r="X39" i="10" s="1"/>
  <c r="S4" i="10"/>
  <c r="X4" i="10" s="1"/>
  <c r="Q25" i="10"/>
  <c r="T25" i="10" s="1"/>
  <c r="S82" i="10"/>
  <c r="X82" i="10" s="1"/>
  <c r="S62" i="10"/>
  <c r="X62" i="10" s="1"/>
  <c r="Q20" i="10"/>
  <c r="T20" i="10" s="1"/>
  <c r="S45" i="10"/>
  <c r="X45" i="10" s="1"/>
  <c r="Q94" i="10"/>
  <c r="T94" i="10" s="1"/>
  <c r="Q76" i="10"/>
  <c r="T76" i="10" s="1"/>
  <c r="S46" i="10"/>
  <c r="X46" i="10" s="1"/>
  <c r="R56" i="10"/>
  <c r="V56" i="10" s="1"/>
  <c r="R84" i="10"/>
  <c r="V84" i="10" s="1"/>
  <c r="S41" i="10"/>
  <c r="X41" i="10" s="1"/>
  <c r="R58" i="10"/>
  <c r="V58" i="10" s="1"/>
  <c r="Q22" i="10"/>
  <c r="T22" i="10" s="1"/>
  <c r="S56" i="10"/>
  <c r="X56" i="10" s="1"/>
  <c r="S58" i="10"/>
  <c r="X58" i="10" s="1"/>
  <c r="S17" i="10"/>
  <c r="X17" i="10" s="1"/>
  <c r="R68" i="10"/>
  <c r="V68" i="10" s="1"/>
  <c r="S101" i="10"/>
  <c r="X101" i="10" s="1"/>
  <c r="Q42" i="10"/>
  <c r="T42" i="10" s="1"/>
  <c r="S51" i="10"/>
  <c r="X51" i="10" s="1"/>
  <c r="S86" i="10"/>
  <c r="X86" i="10" s="1"/>
  <c r="S13" i="10"/>
  <c r="X13" i="10" s="1"/>
  <c r="S2" i="10"/>
  <c r="X2" i="10" s="1"/>
  <c r="Q7" i="10"/>
  <c r="T7" i="10" s="1"/>
  <c r="Q60" i="10"/>
  <c r="T60" i="10" s="1"/>
  <c r="R79" i="10"/>
  <c r="V79" i="10" s="1"/>
  <c r="S83" i="10"/>
  <c r="X83" i="10" s="1"/>
  <c r="Q84" i="10"/>
  <c r="T84" i="10" s="1"/>
  <c r="Q88" i="10"/>
  <c r="T88" i="10" s="1"/>
  <c r="S52" i="10"/>
  <c r="X52" i="10" s="1"/>
  <c r="R25" i="10"/>
  <c r="V25" i="10" s="1"/>
  <c r="R8" i="10"/>
  <c r="V8" i="10" s="1"/>
  <c r="Q5" i="10"/>
  <c r="T5" i="10" s="1"/>
  <c r="Q48" i="10"/>
  <c r="T48" i="10" s="1"/>
  <c r="S15" i="10"/>
  <c r="X15" i="10" s="1"/>
  <c r="R62" i="10"/>
  <c r="V62" i="10" s="1"/>
  <c r="Q11" i="10"/>
  <c r="T11" i="10" s="1"/>
  <c r="R14" i="10"/>
  <c r="V14" i="10" s="1"/>
  <c r="S90" i="10"/>
  <c r="X90" i="10" s="1"/>
  <c r="R19" i="10"/>
  <c r="V19" i="10" s="1"/>
  <c r="R44" i="10"/>
  <c r="V44" i="10" s="1"/>
  <c r="Q24" i="10"/>
  <c r="T24" i="10" s="1"/>
  <c r="S38" i="10"/>
  <c r="X38" i="10" s="1"/>
  <c r="Q59" i="10"/>
  <c r="T59" i="10" s="1"/>
  <c r="R36" i="10"/>
  <c r="V36" i="10" s="1"/>
  <c r="S35" i="10"/>
  <c r="X35" i="10" s="1"/>
  <c r="R38" i="10"/>
  <c r="V38" i="10" s="1"/>
  <c r="R88" i="10"/>
  <c r="V88" i="10" s="1"/>
  <c r="R86" i="10"/>
  <c r="V86" i="10" s="1"/>
  <c r="R51" i="10"/>
  <c r="V51" i="10" s="1"/>
  <c r="S71" i="10"/>
  <c r="X71" i="10" s="1"/>
  <c r="Q71" i="10"/>
  <c r="T71" i="10" s="1"/>
  <c r="S3" i="10"/>
  <c r="X3" i="10" s="1"/>
  <c r="R11" i="10"/>
  <c r="V11" i="10" s="1"/>
  <c r="Q41" i="10"/>
  <c r="T41" i="10" s="1"/>
  <c r="R87" i="10"/>
  <c r="V87" i="10" s="1"/>
  <c r="Q75" i="10"/>
  <c r="T75" i="10" s="1"/>
  <c r="S96" i="10"/>
  <c r="X96" i="10" s="1"/>
  <c r="R78" i="10"/>
  <c r="V78" i="10" s="1"/>
  <c r="R6" i="10"/>
  <c r="V6" i="10" s="1"/>
  <c r="R2" i="10"/>
  <c r="V2" i="10" s="1"/>
  <c r="S85" i="10"/>
  <c r="X85" i="10" s="1"/>
  <c r="R45" i="10"/>
  <c r="V45" i="10" s="1"/>
  <c r="S66" i="10"/>
  <c r="X66" i="10" s="1"/>
  <c r="Q8" i="10"/>
  <c r="T8" i="10" s="1"/>
  <c r="R41" i="10"/>
  <c r="V41" i="10" s="1"/>
  <c r="R46" i="10"/>
  <c r="V46" i="10" s="1"/>
  <c r="N17" i="10"/>
  <c r="J13" i="10"/>
  <c r="J14" i="10" s="1"/>
  <c r="J30" i="25" s="1"/>
  <c r="Q100" i="10"/>
  <c r="T100" i="10" s="1"/>
  <c r="R40" i="10"/>
  <c r="V40" i="10" s="1"/>
  <c r="Q62" i="10"/>
  <c r="T62" i="10" s="1"/>
  <c r="Q52" i="10"/>
  <c r="T52" i="10" s="1"/>
  <c r="Q27" i="10"/>
  <c r="T27" i="10" s="1"/>
  <c r="R69" i="10"/>
  <c r="V69" i="10" s="1"/>
  <c r="R37" i="10"/>
  <c r="V37" i="10" s="1"/>
  <c r="R63" i="10"/>
  <c r="V63" i="10" s="1"/>
  <c r="S84" i="10"/>
  <c r="X84" i="10" s="1"/>
  <c r="R39" i="10"/>
  <c r="V39" i="10" s="1"/>
  <c r="S97" i="10"/>
  <c r="X97" i="10" s="1"/>
  <c r="R18" i="10"/>
  <c r="V18" i="10" s="1"/>
  <c r="Q6" i="10"/>
  <c r="T6" i="10" s="1"/>
  <c r="Q19" i="10"/>
  <c r="T19" i="10" s="1"/>
  <c r="R12" i="10"/>
  <c r="V12" i="10" s="1"/>
  <c r="Q58" i="10"/>
  <c r="T58" i="10" s="1"/>
  <c r="R93" i="10"/>
  <c r="V93" i="10" s="1"/>
  <c r="R29" i="10"/>
  <c r="V29" i="10" s="1"/>
  <c r="Q83" i="10"/>
  <c r="T83" i="10" s="1"/>
  <c r="R99" i="10"/>
  <c r="V99" i="10" s="1"/>
  <c r="R102" i="10"/>
  <c r="V102" i="10" s="1"/>
  <c r="Q31" i="10"/>
  <c r="T31" i="10" s="1"/>
  <c r="N18" i="10"/>
  <c r="R73" i="10"/>
  <c r="V73" i="10" s="1"/>
  <c r="S63" i="10"/>
  <c r="X63" i="10" s="1"/>
  <c r="R27" i="10"/>
  <c r="V27" i="10" s="1"/>
  <c r="R33" i="10"/>
  <c r="V33" i="10" s="1"/>
  <c r="Q86" i="10"/>
  <c r="T86" i="10" s="1"/>
  <c r="Q21" i="10"/>
  <c r="T21" i="10" s="1"/>
  <c r="R80" i="10"/>
  <c r="V80" i="10" s="1"/>
  <c r="S60" i="10"/>
  <c r="X60" i="10" s="1"/>
  <c r="S42" i="10"/>
  <c r="X42" i="10" s="1"/>
  <c r="R61" i="10"/>
  <c r="V61" i="10" s="1"/>
  <c r="R66" i="10"/>
  <c r="V66" i="10" s="1"/>
  <c r="R76" i="10"/>
  <c r="V76" i="10" s="1"/>
  <c r="Q95" i="10"/>
  <c r="T95" i="10" s="1"/>
  <c r="Q90" i="10"/>
  <c r="T90" i="10" s="1"/>
  <c r="R16" i="10"/>
  <c r="V16" i="10" s="1"/>
  <c r="S27" i="10"/>
  <c r="X27" i="10" s="1"/>
  <c r="N12" i="10"/>
  <c r="R96" i="10"/>
  <c r="V96" i="10" s="1"/>
  <c r="S69" i="10"/>
  <c r="X69" i="10" s="1"/>
  <c r="Q2" i="10"/>
  <c r="T2" i="10" s="1"/>
  <c r="Q10" i="10"/>
  <c r="T10" i="10" s="1"/>
  <c r="R65" i="10"/>
  <c r="V65" i="10" s="1"/>
  <c r="S98" i="10"/>
  <c r="X98" i="10" s="1"/>
  <c r="S81" i="10"/>
  <c r="X81" i="10" s="1"/>
  <c r="Q9" i="10"/>
  <c r="T9" i="10" s="1"/>
  <c r="S14" i="10"/>
  <c r="X14" i="10" s="1"/>
  <c r="R26" i="10"/>
  <c r="V26" i="10" s="1"/>
  <c r="Q28" i="10"/>
  <c r="T28" i="10" s="1"/>
  <c r="R48" i="10"/>
  <c r="V48" i="10" s="1"/>
  <c r="R49" i="10"/>
  <c r="V49" i="10" s="1"/>
  <c r="R72" i="10"/>
  <c r="V72" i="10" s="1"/>
  <c r="S79" i="10"/>
  <c r="X79" i="10" s="1"/>
  <c r="R57" i="10"/>
  <c r="V57" i="10" s="1"/>
  <c r="R92" i="10"/>
  <c r="V92" i="10" s="1"/>
  <c r="R15" i="10"/>
  <c r="V15" i="10" s="1"/>
  <c r="Q16" i="10"/>
  <c r="T16" i="10" s="1"/>
  <c r="S77" i="10"/>
  <c r="X77" i="10" s="1"/>
  <c r="Q17" i="10"/>
  <c r="T17" i="10" s="1"/>
  <c r="Q91" i="10"/>
  <c r="T91" i="10" s="1"/>
  <c r="N16" i="10"/>
  <c r="Q96" i="10"/>
  <c r="T96" i="10" s="1"/>
  <c r="S65" i="10"/>
  <c r="X65" i="10" s="1"/>
  <c r="S95" i="10"/>
  <c r="X95" i="10" s="1"/>
  <c r="S88" i="10"/>
  <c r="X88" i="10" s="1"/>
  <c r="R3" i="10"/>
  <c r="V3" i="10" s="1"/>
  <c r="R35" i="10"/>
  <c r="V35" i="10" s="1"/>
  <c r="Q39" i="10"/>
  <c r="T39" i="10" s="1"/>
  <c r="Q81" i="10"/>
  <c r="T81" i="10" s="1"/>
  <c r="R42" i="10"/>
  <c r="V42" i="10" s="1"/>
  <c r="R52" i="10"/>
  <c r="V52" i="10" s="1"/>
  <c r="S28" i="10"/>
  <c r="X28" i="10" s="1"/>
  <c r="Q93" i="10"/>
  <c r="T93" i="10" s="1"/>
  <c r="Q29" i="10"/>
  <c r="T29" i="10" s="1"/>
  <c r="S47" i="10"/>
  <c r="X47" i="10" s="1"/>
  <c r="Q43" i="10"/>
  <c r="T43" i="10" s="1"/>
  <c r="S30" i="10"/>
  <c r="X30" i="10" s="1"/>
  <c r="N11" i="10"/>
  <c r="S29" i="10"/>
  <c r="X29" i="10" s="1"/>
  <c r="S99" i="10"/>
  <c r="X99" i="10" s="1"/>
  <c r="S33" i="10"/>
  <c r="X33" i="10" s="1"/>
  <c r="S40" i="10"/>
  <c r="X40" i="10" s="1"/>
  <c r="R32" i="10"/>
  <c r="V32" i="10" s="1"/>
  <c r="S50" i="10"/>
  <c r="X50" i="10" s="1"/>
  <c r="Q53" i="10"/>
  <c r="T53" i="10" s="1"/>
  <c r="Q82" i="10"/>
  <c r="T82" i="10" s="1"/>
  <c r="Q64" i="10"/>
  <c r="T64" i="10" s="1"/>
  <c r="S89" i="10"/>
  <c r="X89" i="10" s="1"/>
  <c r="N8" i="10"/>
  <c r="R64" i="10"/>
  <c r="V64" i="10" s="1"/>
  <c r="Q46" i="10"/>
  <c r="T46" i="10" s="1"/>
  <c r="Q102" i="10"/>
  <c r="T102" i="10" s="1"/>
  <c r="S20" i="10"/>
  <c r="X20" i="10" s="1"/>
  <c r="R22" i="10"/>
  <c r="V22" i="10" s="1"/>
  <c r="Q101" i="10"/>
  <c r="T101" i="10" s="1"/>
  <c r="S19" i="10"/>
  <c r="X19" i="10" s="1"/>
  <c r="N9" i="10"/>
  <c r="Q68" i="10"/>
  <c r="T68" i="10" s="1"/>
  <c r="S64" i="10"/>
  <c r="X64" i="10" s="1"/>
  <c r="S93" i="10"/>
  <c r="X93" i="10" s="1"/>
  <c r="Q89" i="10"/>
  <c r="T89" i="10" s="1"/>
  <c r="S80" i="10"/>
  <c r="X80" i="10" s="1"/>
  <c r="R67" i="10"/>
  <c r="V67" i="10" s="1"/>
  <c r="S18" i="10"/>
  <c r="X18" i="10" s="1"/>
  <c r="S26" i="10"/>
  <c r="X26" i="10" s="1"/>
  <c r="R30" i="10"/>
  <c r="V30" i="10" s="1"/>
  <c r="N7" i="10"/>
  <c r="Q77" i="10"/>
  <c r="T77" i="10" s="1"/>
  <c r="S21" i="10"/>
  <c r="X21" i="10" s="1"/>
  <c r="S48" i="10"/>
  <c r="X48" i="10" s="1"/>
  <c r="Q54" i="10"/>
  <c r="T54" i="10" s="1"/>
  <c r="S68" i="10"/>
  <c r="X68" i="10" s="1"/>
  <c r="Q18" i="10"/>
  <c r="T18" i="10" s="1"/>
  <c r="K18" i="10"/>
  <c r="N3" i="10"/>
  <c r="S70" i="10"/>
  <c r="X70" i="10" s="1"/>
  <c r="Q73" i="10"/>
  <c r="T73" i="10" s="1"/>
  <c r="Q32" i="10"/>
  <c r="T32" i="10" s="1"/>
  <c r="Q14" i="10"/>
  <c r="T14" i="10" s="1"/>
  <c r="R75" i="10"/>
  <c r="V75" i="10" s="1"/>
  <c r="S6" i="10"/>
  <c r="X6" i="10" s="1"/>
  <c r="Q78" i="10"/>
  <c r="T78" i="10" s="1"/>
  <c r="R50" i="10"/>
  <c r="V50" i="10" s="1"/>
  <c r="Q85" i="10"/>
  <c r="T85" i="10" s="1"/>
  <c r="R94" i="10"/>
  <c r="V94" i="10" s="1"/>
  <c r="Q55" i="10"/>
  <c r="T55" i="10" s="1"/>
  <c r="R43" i="10"/>
  <c r="V43" i="10" s="1"/>
  <c r="R74" i="10"/>
  <c r="V74" i="10" s="1"/>
  <c r="S75" i="10"/>
  <c r="X75" i="10" s="1"/>
  <c r="Q4" i="10"/>
  <c r="T4" i="10" s="1"/>
  <c r="R54" i="10"/>
  <c r="V54" i="10" s="1"/>
  <c r="Q44" i="10"/>
  <c r="T44" i="10" s="1"/>
  <c r="S44" i="10"/>
  <c r="X44" i="10" s="1"/>
  <c r="S59" i="10"/>
  <c r="X59" i="10" s="1"/>
  <c r="S31" i="10"/>
  <c r="X31" i="10" s="1"/>
  <c r="Q97" i="10"/>
  <c r="T97" i="10" s="1"/>
  <c r="R24" i="10"/>
  <c r="V24" i="10" s="1"/>
  <c r="N19" i="10"/>
  <c r="S22" i="10"/>
  <c r="X22" i="10" s="1"/>
  <c r="R60" i="10"/>
  <c r="V60" i="10" s="1"/>
  <c r="S43" i="10"/>
  <c r="X43" i="10" s="1"/>
  <c r="R81" i="10"/>
  <c r="V81" i="10" s="1"/>
  <c r="S54" i="10"/>
  <c r="X54" i="10" s="1"/>
  <c r="S94" i="10"/>
  <c r="X94" i="10" s="1"/>
  <c r="R55" i="10"/>
  <c r="V55" i="10" s="1"/>
  <c r="S100" i="10"/>
  <c r="X100" i="10" s="1"/>
  <c r="S32" i="10"/>
  <c r="X32" i="10" s="1"/>
  <c r="Q47" i="10"/>
  <c r="T47" i="10" s="1"/>
  <c r="Q57" i="10"/>
  <c r="T57" i="10" s="1"/>
  <c r="Q98" i="10"/>
  <c r="T98" i="10" s="1"/>
  <c r="Q15" i="10"/>
  <c r="T15" i="10" s="1"/>
  <c r="S7" i="10"/>
  <c r="X7" i="10" s="1"/>
  <c r="Q87" i="10"/>
  <c r="T87" i="10" s="1"/>
  <c r="S24" i="10"/>
  <c r="X24" i="10" s="1"/>
  <c r="N13" i="10"/>
  <c r="N2" i="10"/>
  <c r="S9" i="10"/>
  <c r="X9" i="10" s="1"/>
  <c r="Q80" i="10"/>
  <c r="T80" i="10" s="1"/>
  <c r="Q51" i="10"/>
  <c r="T51" i="10" s="1"/>
  <c r="Q35" i="10"/>
  <c r="T35" i="10" s="1"/>
  <c r="R31" i="10"/>
  <c r="V31" i="10" s="1"/>
  <c r="S23" i="10"/>
  <c r="X23" i="10" s="1"/>
  <c r="R82" i="10"/>
  <c r="V82" i="10" s="1"/>
  <c r="S73" i="10"/>
  <c r="X73" i="10" s="1"/>
  <c r="Q36" i="10"/>
  <c r="T36" i="10" s="1"/>
  <c r="R4" i="10"/>
  <c r="V4" i="10" s="1"/>
  <c r="Q65" i="10"/>
  <c r="T65" i="10" s="1"/>
  <c r="S8" i="10"/>
  <c r="X8" i="10" s="1"/>
  <c r="Q45" i="10"/>
  <c r="T45" i="10" s="1"/>
  <c r="R47" i="10"/>
  <c r="V47" i="10" s="1"/>
  <c r="Q37" i="10"/>
  <c r="T37" i="10" s="1"/>
  <c r="Q23" i="10"/>
  <c r="T23" i="10" s="1"/>
  <c r="S74" i="10"/>
  <c r="X74" i="10" s="1"/>
  <c r="R101" i="10"/>
  <c r="V101" i="10" s="1"/>
  <c r="S57" i="10"/>
  <c r="X57" i="10" s="1"/>
  <c r="Q67" i="10"/>
  <c r="T67" i="10" s="1"/>
  <c r="S5" i="10"/>
  <c r="X5" i="10" s="1"/>
  <c r="N14" i="10"/>
  <c r="S16" i="10"/>
  <c r="X16" i="10" s="1"/>
  <c r="R10" i="10"/>
  <c r="V10" i="10" s="1"/>
  <c r="Q66" i="10"/>
  <c r="T66" i="10" s="1"/>
  <c r="S78" i="10"/>
  <c r="X78" i="10" s="1"/>
  <c r="Q79" i="10"/>
  <c r="T79" i="10" s="1"/>
  <c r="Q63" i="10"/>
  <c r="T63" i="10" s="1"/>
  <c r="Q72" i="10"/>
  <c r="T72" i="10" s="1"/>
  <c r="R97" i="10"/>
  <c r="V97" i="10" s="1"/>
  <c r="S67" i="10"/>
  <c r="X67" i="10" s="1"/>
  <c r="R71" i="10"/>
  <c r="V71" i="10" s="1"/>
  <c r="Q12" i="10"/>
  <c r="T12" i="10" s="1"/>
  <c r="Q34" i="10"/>
  <c r="T34" i="10" s="1"/>
  <c r="S11" i="10"/>
  <c r="X11" i="10" s="1"/>
  <c r="R59" i="10"/>
  <c r="V59" i="10" s="1"/>
  <c r="Q99" i="10"/>
  <c r="T99" i="10" s="1"/>
  <c r="K13" i="10" l="1"/>
  <c r="I20" i="23" l="1"/>
  <c r="I19" i="23"/>
  <c r="M9" i="23" l="1"/>
  <c r="I4" i="23"/>
  <c r="I6" i="23"/>
  <c r="I2" i="23"/>
  <c r="I1" i="23"/>
  <c r="O89" i="23"/>
  <c r="O73" i="23"/>
  <c r="O57" i="23"/>
  <c r="O41" i="23"/>
  <c r="O27" i="23"/>
  <c r="O88" i="23"/>
  <c r="O72" i="23"/>
  <c r="O56" i="23"/>
  <c r="O40" i="23"/>
  <c r="O24" i="23"/>
  <c r="O16" i="23"/>
  <c r="O79" i="23"/>
  <c r="O47" i="23"/>
  <c r="O9" i="23"/>
  <c r="O42" i="23"/>
  <c r="O78" i="23"/>
  <c r="O46" i="23"/>
  <c r="O20" i="23"/>
  <c r="O4" i="23"/>
  <c r="O74" i="23"/>
  <c r="O51" i="23"/>
  <c r="O13" i="23"/>
  <c r="O3" i="23"/>
  <c r="O7" i="23"/>
  <c r="O67" i="23"/>
  <c r="O81" i="23"/>
  <c r="O65" i="23"/>
  <c r="O49" i="23"/>
  <c r="O33" i="23"/>
  <c r="O96" i="23"/>
  <c r="O80" i="23"/>
  <c r="O64" i="23"/>
  <c r="O48" i="23"/>
  <c r="O32" i="23"/>
  <c r="O18" i="23"/>
  <c r="O95" i="23"/>
  <c r="O63" i="23"/>
  <c r="O31" i="23"/>
  <c r="O58" i="23"/>
  <c r="O94" i="23"/>
  <c r="O62" i="23"/>
  <c r="O11" i="23"/>
  <c r="O90" i="23"/>
  <c r="O15" i="23"/>
  <c r="O75" i="23"/>
  <c r="O93" i="23"/>
  <c r="O77" i="23"/>
  <c r="O61" i="23"/>
  <c r="O45" i="23"/>
  <c r="O29" i="23"/>
  <c r="O92" i="23"/>
  <c r="O76" i="23"/>
  <c r="O60" i="23"/>
  <c r="O44" i="23"/>
  <c r="O26" i="23"/>
  <c r="O17" i="23"/>
  <c r="O87" i="23"/>
  <c r="O55" i="23"/>
  <c r="O21" i="23"/>
  <c r="O50" i="23"/>
  <c r="O86" i="23"/>
  <c r="O54" i="23"/>
  <c r="O28" i="23"/>
  <c r="O8" i="23"/>
  <c r="O82" i="23"/>
  <c r="O83" i="23"/>
  <c r="O19" i="23"/>
  <c r="O10" i="23"/>
  <c r="O59" i="23"/>
  <c r="O2" i="23"/>
  <c r="O97" i="23"/>
  <c r="O30" i="23"/>
  <c r="O34" i="23"/>
  <c r="O23" i="23"/>
  <c r="O91" i="23"/>
  <c r="O101" i="23"/>
  <c r="O85" i="23"/>
  <c r="O69" i="23"/>
  <c r="O53" i="23"/>
  <c r="O37" i="23"/>
  <c r="O100" i="23"/>
  <c r="O84" i="23"/>
  <c r="O68" i="23"/>
  <c r="O52" i="23"/>
  <c r="O36" i="23"/>
  <c r="O22" i="23"/>
  <c r="O14" i="23"/>
  <c r="O71" i="23"/>
  <c r="O39" i="23"/>
  <c r="O5" i="23"/>
  <c r="O102" i="23"/>
  <c r="O70" i="23"/>
  <c r="O38" i="23"/>
  <c r="O12" i="23"/>
  <c r="O98" i="23"/>
  <c r="O66" i="23"/>
  <c r="O25" i="23"/>
  <c r="O43" i="23"/>
  <c r="O99" i="23"/>
  <c r="O6" i="23"/>
  <c r="O35" i="23"/>
  <c r="I9" i="23" l="1"/>
  <c r="I10" i="23"/>
  <c r="I7" i="23"/>
  <c r="W35" i="23"/>
  <c r="U35" i="23"/>
  <c r="Y35" i="23"/>
  <c r="W38" i="23"/>
  <c r="U38" i="23"/>
  <c r="Y38" i="23"/>
  <c r="U36" i="23"/>
  <c r="Y36" i="23"/>
  <c r="W36" i="23"/>
  <c r="U100" i="23"/>
  <c r="W100" i="23"/>
  <c r="Y100" i="23"/>
  <c r="W34" i="23"/>
  <c r="U34" i="23"/>
  <c r="Y34" i="23"/>
  <c r="W82" i="23"/>
  <c r="U82" i="23"/>
  <c r="Y82" i="23"/>
  <c r="W87" i="23"/>
  <c r="U87" i="23"/>
  <c r="Y87" i="23"/>
  <c r="Y45" i="23"/>
  <c r="U45" i="23"/>
  <c r="W45" i="23"/>
  <c r="W62" i="23"/>
  <c r="U62" i="23"/>
  <c r="Y62" i="23"/>
  <c r="U63" i="23"/>
  <c r="Y63" i="23"/>
  <c r="W63" i="23"/>
  <c r="U33" i="23"/>
  <c r="Y33" i="23"/>
  <c r="W33" i="23"/>
  <c r="Y67" i="23"/>
  <c r="W67" i="23"/>
  <c r="U67" i="23"/>
  <c r="Y51" i="23"/>
  <c r="W51" i="23"/>
  <c r="U51" i="23"/>
  <c r="Y46" i="23"/>
  <c r="W46" i="23"/>
  <c r="U46" i="23"/>
  <c r="Y47" i="23"/>
  <c r="W47" i="23"/>
  <c r="U47" i="23"/>
  <c r="W40" i="23"/>
  <c r="U40" i="23"/>
  <c r="Y40" i="23"/>
  <c r="W27" i="23"/>
  <c r="Y27" i="23"/>
  <c r="U27" i="23"/>
  <c r="W89" i="23"/>
  <c r="U89" i="23"/>
  <c r="Y89" i="23"/>
  <c r="Y12" i="23"/>
  <c r="U12" i="23"/>
  <c r="W12" i="23"/>
  <c r="U22" i="23"/>
  <c r="Y22" i="23"/>
  <c r="W22" i="23"/>
  <c r="U84" i="23"/>
  <c r="W84" i="23"/>
  <c r="Y84" i="23"/>
  <c r="U23" i="23"/>
  <c r="Y23" i="23"/>
  <c r="W23" i="23"/>
  <c r="W54" i="23"/>
  <c r="U54" i="23"/>
  <c r="Y54" i="23"/>
  <c r="U44" i="23"/>
  <c r="Y44" i="23"/>
  <c r="W44" i="23"/>
  <c r="W11" i="23"/>
  <c r="Y11" i="23"/>
  <c r="U11" i="23"/>
  <c r="Y99" i="23"/>
  <c r="W99" i="23"/>
  <c r="U99" i="23"/>
  <c r="Y102" i="23"/>
  <c r="W102" i="23"/>
  <c r="U102" i="23"/>
  <c r="W68" i="23"/>
  <c r="Y68" i="23"/>
  <c r="U68" i="23"/>
  <c r="Y6" i="23"/>
  <c r="W6" i="23"/>
  <c r="U6" i="23"/>
  <c r="W66" i="23"/>
  <c r="U66" i="23"/>
  <c r="Y66" i="23"/>
  <c r="Y70" i="23"/>
  <c r="W70" i="23"/>
  <c r="U70" i="23"/>
  <c r="W71" i="23"/>
  <c r="U71" i="23"/>
  <c r="Y71" i="23"/>
  <c r="W52" i="23"/>
  <c r="U52" i="23"/>
  <c r="Y52" i="23"/>
  <c r="Y37" i="23"/>
  <c r="U37" i="23"/>
  <c r="W37" i="23"/>
  <c r="W101" i="23"/>
  <c r="Y101" i="23"/>
  <c r="U101" i="23"/>
  <c r="U30" i="23"/>
  <c r="Y30" i="23"/>
  <c r="W30" i="23"/>
  <c r="Y10" i="23"/>
  <c r="W10" i="23"/>
  <c r="U10" i="23"/>
  <c r="W8" i="23"/>
  <c r="Y8" i="23"/>
  <c r="U8" i="23"/>
  <c r="Y50" i="23"/>
  <c r="W50" i="23"/>
  <c r="U50" i="23"/>
  <c r="W17" i="23"/>
  <c r="Y17" i="23"/>
  <c r="U17" i="23"/>
  <c r="W76" i="23"/>
  <c r="Y76" i="23"/>
  <c r="U76" i="23"/>
  <c r="W61" i="23"/>
  <c r="Y61" i="23"/>
  <c r="U61" i="23"/>
  <c r="W15" i="23"/>
  <c r="U15" i="23"/>
  <c r="Y15" i="23"/>
  <c r="W94" i="23"/>
  <c r="U94" i="23"/>
  <c r="Y94" i="23"/>
  <c r="Y95" i="23"/>
  <c r="W95" i="23"/>
  <c r="U95" i="23"/>
  <c r="W64" i="23"/>
  <c r="U64" i="23"/>
  <c r="Y64" i="23"/>
  <c r="U49" i="23"/>
  <c r="Y49" i="23"/>
  <c r="W49" i="23"/>
  <c r="U7" i="23"/>
  <c r="Y7" i="23"/>
  <c r="W7" i="23"/>
  <c r="U74" i="23"/>
  <c r="Y74" i="23"/>
  <c r="W74" i="23"/>
  <c r="U78" i="23"/>
  <c r="Y78" i="23"/>
  <c r="W78" i="23"/>
  <c r="U79" i="23"/>
  <c r="Y79" i="23"/>
  <c r="W79" i="23"/>
  <c r="Y56" i="23"/>
  <c r="W56" i="23"/>
  <c r="U56" i="23"/>
  <c r="Y41" i="23"/>
  <c r="W41" i="23"/>
  <c r="U41" i="23"/>
  <c r="J24" i="23"/>
  <c r="I11" i="23"/>
  <c r="I8" i="23"/>
  <c r="U25" i="23"/>
  <c r="Y25" i="23"/>
  <c r="W25" i="23"/>
  <c r="U39" i="23"/>
  <c r="Y39" i="23"/>
  <c r="W39" i="23"/>
  <c r="Y85" i="23"/>
  <c r="U85" i="23"/>
  <c r="W85" i="23"/>
  <c r="W59" i="23"/>
  <c r="U59" i="23"/>
  <c r="Y59" i="23"/>
  <c r="W86" i="23"/>
  <c r="U86" i="23"/>
  <c r="Y86" i="23"/>
  <c r="U60" i="23"/>
  <c r="Y60" i="23"/>
  <c r="W60" i="23"/>
  <c r="U75" i="23"/>
  <c r="Y75" i="23"/>
  <c r="W75" i="23"/>
  <c r="U48" i="23"/>
  <c r="W48" i="23"/>
  <c r="Y48" i="23"/>
  <c r="U43" i="23"/>
  <c r="Y43" i="23"/>
  <c r="W43" i="23"/>
  <c r="Y5" i="23"/>
  <c r="W5" i="23"/>
  <c r="U5" i="23"/>
  <c r="Y69" i="23"/>
  <c r="U69" i="23"/>
  <c r="W69" i="23"/>
  <c r="W2" i="23"/>
  <c r="U2" i="23"/>
  <c r="Y2" i="23"/>
  <c r="W83" i="23"/>
  <c r="U83" i="23"/>
  <c r="Y83" i="23"/>
  <c r="W55" i="23"/>
  <c r="U55" i="23"/>
  <c r="Y55" i="23"/>
  <c r="Y29" i="23"/>
  <c r="U29" i="23"/>
  <c r="W29" i="23"/>
  <c r="Y93" i="23"/>
  <c r="U93" i="23"/>
  <c r="W93" i="23"/>
  <c r="W31" i="23"/>
  <c r="U31" i="23"/>
  <c r="Y31" i="23"/>
  <c r="Y32" i="23"/>
  <c r="U32" i="23"/>
  <c r="W32" i="23"/>
  <c r="Y96" i="23"/>
  <c r="W96" i="23"/>
  <c r="U96" i="23"/>
  <c r="U81" i="23"/>
  <c r="Y81" i="23"/>
  <c r="W81" i="23"/>
  <c r="W13" i="23"/>
  <c r="U13" i="23"/>
  <c r="Y13" i="23"/>
  <c r="W20" i="23"/>
  <c r="U20" i="23"/>
  <c r="Y20" i="23"/>
  <c r="Y9" i="23"/>
  <c r="U9" i="23"/>
  <c r="W9" i="23"/>
  <c r="U24" i="23"/>
  <c r="Y24" i="23"/>
  <c r="W24" i="23"/>
  <c r="U88" i="23"/>
  <c r="Y88" i="23"/>
  <c r="W88" i="23"/>
  <c r="U73" i="23"/>
  <c r="Y73" i="23"/>
  <c r="W73" i="23"/>
  <c r="W98" i="23"/>
  <c r="U98" i="23"/>
  <c r="Y98" i="23"/>
  <c r="U14" i="23"/>
  <c r="Y14" i="23"/>
  <c r="W14" i="23"/>
  <c r="Y53" i="23"/>
  <c r="U53" i="23"/>
  <c r="W53" i="23"/>
  <c r="Y91" i="23"/>
  <c r="W91" i="23"/>
  <c r="U91" i="23"/>
  <c r="Y97" i="23"/>
  <c r="W97" i="23"/>
  <c r="U97" i="23"/>
  <c r="U19" i="23"/>
  <c r="Y19" i="23"/>
  <c r="W19" i="23"/>
  <c r="U28" i="23"/>
  <c r="Y28" i="23"/>
  <c r="W28" i="23"/>
  <c r="U21" i="23"/>
  <c r="Y21" i="23"/>
  <c r="W21" i="23"/>
  <c r="Y26" i="23"/>
  <c r="W26" i="23"/>
  <c r="U26" i="23"/>
  <c r="U92" i="23"/>
  <c r="W92" i="23"/>
  <c r="Y92" i="23"/>
  <c r="U77" i="23"/>
  <c r="W77" i="23"/>
  <c r="Y77" i="23"/>
  <c r="W90" i="23"/>
  <c r="U90" i="23"/>
  <c r="Y90" i="23"/>
  <c r="Y58" i="23"/>
  <c r="W58" i="23"/>
  <c r="U58" i="23"/>
  <c r="Y18" i="23"/>
  <c r="U18" i="23"/>
  <c r="W18" i="23"/>
  <c r="U80" i="23"/>
  <c r="Y80" i="23"/>
  <c r="W80" i="23"/>
  <c r="W65" i="23"/>
  <c r="U65" i="23"/>
  <c r="Y65" i="23"/>
  <c r="W3" i="23"/>
  <c r="U3" i="23"/>
  <c r="Y3" i="23"/>
  <c r="U4" i="23"/>
  <c r="Y4" i="23"/>
  <c r="W4" i="23"/>
  <c r="W42" i="23"/>
  <c r="U42" i="23"/>
  <c r="Y42" i="23"/>
  <c r="Y16" i="23"/>
  <c r="U16" i="23"/>
  <c r="W16" i="23"/>
  <c r="U72" i="23"/>
  <c r="Y72" i="23"/>
  <c r="W72" i="23"/>
  <c r="U57" i="23"/>
  <c r="Y57" i="23"/>
  <c r="W57" i="23"/>
  <c r="I12" i="23" l="1"/>
  <c r="I13" i="23" s="1"/>
  <c r="Q32" i="23" s="1"/>
  <c r="T32" i="23" s="1"/>
  <c r="I14" i="23"/>
  <c r="I23" i="23"/>
  <c r="I24" i="23" s="1"/>
  <c r="K24" i="23" s="1"/>
  <c r="I16" i="23"/>
  <c r="I15" i="23"/>
  <c r="J25" i="23"/>
  <c r="J12" i="23" l="1"/>
  <c r="K12" i="23" s="1"/>
  <c r="L29" i="23"/>
  <c r="P102" i="23"/>
  <c r="P98" i="23"/>
  <c r="P94" i="23"/>
  <c r="P90" i="23"/>
  <c r="P86" i="23"/>
  <c r="P82" i="23"/>
  <c r="P78" i="23"/>
  <c r="P74" i="23"/>
  <c r="P70" i="23"/>
  <c r="P66" i="23"/>
  <c r="P62" i="23"/>
  <c r="P58" i="23"/>
  <c r="P54" i="23"/>
  <c r="P50" i="23"/>
  <c r="P46" i="23"/>
  <c r="P42" i="23"/>
  <c r="P38" i="23"/>
  <c r="P34" i="23"/>
  <c r="P30" i="23"/>
  <c r="P26" i="23"/>
  <c r="P22" i="23"/>
  <c r="P18" i="23"/>
  <c r="P14" i="23"/>
  <c r="P10" i="23"/>
  <c r="P6" i="23"/>
  <c r="P2" i="23"/>
  <c r="P101" i="23"/>
  <c r="P97" i="23"/>
  <c r="P93" i="23"/>
  <c r="P89" i="23"/>
  <c r="P85" i="23"/>
  <c r="P81" i="23"/>
  <c r="P77" i="23"/>
  <c r="P73" i="23"/>
  <c r="P69" i="23"/>
  <c r="P65" i="23"/>
  <c r="P61" i="23"/>
  <c r="P57" i="23"/>
  <c r="P53" i="23"/>
  <c r="P49" i="23"/>
  <c r="P45" i="23"/>
  <c r="P41" i="23"/>
  <c r="P37" i="23"/>
  <c r="P33" i="23"/>
  <c r="P29" i="23"/>
  <c r="P25" i="23"/>
  <c r="P21" i="23"/>
  <c r="P17" i="23"/>
  <c r="P13" i="23"/>
  <c r="P9" i="23"/>
  <c r="P5" i="23"/>
  <c r="P100" i="23"/>
  <c r="P96" i="23"/>
  <c r="P92" i="23"/>
  <c r="P88" i="23"/>
  <c r="P84" i="23"/>
  <c r="P80" i="23"/>
  <c r="P76" i="23"/>
  <c r="P72" i="23"/>
  <c r="P68" i="23"/>
  <c r="P64" i="23"/>
  <c r="P60" i="23"/>
  <c r="P56" i="23"/>
  <c r="P52" i="23"/>
  <c r="P48" i="23"/>
  <c r="P44" i="23"/>
  <c r="P40" i="23"/>
  <c r="P36" i="23"/>
  <c r="P32" i="23"/>
  <c r="P28" i="23"/>
  <c r="P24" i="23"/>
  <c r="P20" i="23"/>
  <c r="P16" i="23"/>
  <c r="P12" i="23"/>
  <c r="P8" i="23"/>
  <c r="P4" i="23"/>
  <c r="P99" i="23"/>
  <c r="P95" i="23"/>
  <c r="P91" i="23"/>
  <c r="P87" i="23"/>
  <c r="P83" i="23"/>
  <c r="P79" i="23"/>
  <c r="P75" i="23"/>
  <c r="P71" i="23"/>
  <c r="P67" i="23"/>
  <c r="P63" i="23"/>
  <c r="P59" i="23"/>
  <c r="P55" i="23"/>
  <c r="P51" i="23"/>
  <c r="P47" i="23"/>
  <c r="P43" i="23"/>
  <c r="P39" i="23"/>
  <c r="P35" i="23"/>
  <c r="P31" i="23"/>
  <c r="P27" i="23"/>
  <c r="P23" i="23"/>
  <c r="P19" i="23"/>
  <c r="P15" i="23"/>
  <c r="P11" i="23"/>
  <c r="P7" i="23"/>
  <c r="P3" i="23"/>
  <c r="Q84" i="23"/>
  <c r="T84" i="23" s="1"/>
  <c r="Q12" i="23"/>
  <c r="T12" i="23" s="1"/>
  <c r="N19" i="23"/>
  <c r="Q94" i="23"/>
  <c r="T94" i="23" s="1"/>
  <c r="Q40" i="23"/>
  <c r="T40" i="23" s="1"/>
  <c r="Q65" i="23"/>
  <c r="T65" i="23" s="1"/>
  <c r="Q54" i="23"/>
  <c r="T54" i="23" s="1"/>
  <c r="Q26" i="23"/>
  <c r="T26" i="23" s="1"/>
  <c r="J13" i="23"/>
  <c r="J14" i="23" s="1"/>
  <c r="L32" i="25" s="1"/>
  <c r="N15" i="23"/>
  <c r="Q13" i="23"/>
  <c r="T13" i="23" s="1"/>
  <c r="Q61" i="23"/>
  <c r="T61" i="23" s="1"/>
  <c r="Q83" i="23"/>
  <c r="T83" i="23" s="1"/>
  <c r="Q58" i="23"/>
  <c r="T58" i="23" s="1"/>
  <c r="Q39" i="23"/>
  <c r="T39" i="23" s="1"/>
  <c r="Q76" i="23"/>
  <c r="T76" i="23" s="1"/>
  <c r="Q82" i="23"/>
  <c r="T82" i="23" s="1"/>
  <c r="Q33" i="23"/>
  <c r="T33" i="23" s="1"/>
  <c r="Q79" i="23"/>
  <c r="T79" i="23" s="1"/>
  <c r="Q67" i="23"/>
  <c r="T67" i="23" s="1"/>
  <c r="Q17" i="23"/>
  <c r="T17" i="23" s="1"/>
  <c r="Q41" i="23"/>
  <c r="T41" i="23" s="1"/>
  <c r="Q91" i="23"/>
  <c r="T91" i="23" s="1"/>
  <c r="Q93" i="23"/>
  <c r="T93" i="23" s="1"/>
  <c r="Q68" i="23"/>
  <c r="T68" i="23" s="1"/>
  <c r="Q29" i="23"/>
  <c r="T29" i="23" s="1"/>
  <c r="Q9" i="23"/>
  <c r="T9" i="23" s="1"/>
  <c r="Q59" i="23"/>
  <c r="T59" i="23" s="1"/>
  <c r="Q31" i="23"/>
  <c r="T31" i="23" s="1"/>
  <c r="Q8" i="23"/>
  <c r="T8" i="23" s="1"/>
  <c r="Q88" i="23"/>
  <c r="T88" i="23" s="1"/>
  <c r="Q5" i="23"/>
  <c r="T5" i="23" s="1"/>
  <c r="Q98" i="23"/>
  <c r="T98" i="23" s="1"/>
  <c r="Q2" i="23"/>
  <c r="T2" i="23" s="1"/>
  <c r="N8" i="23"/>
  <c r="Q100" i="23"/>
  <c r="T100" i="23" s="1"/>
  <c r="Q50" i="23"/>
  <c r="T50" i="23" s="1"/>
  <c r="N3" i="23"/>
  <c r="Q69" i="23"/>
  <c r="T69" i="23" s="1"/>
  <c r="Q3" i="23"/>
  <c r="T3" i="23" s="1"/>
  <c r="Q90" i="23"/>
  <c r="T90" i="23" s="1"/>
  <c r="Q38" i="23"/>
  <c r="T38" i="23" s="1"/>
  <c r="Q14" i="23"/>
  <c r="T14" i="23" s="1"/>
  <c r="Q74" i="23"/>
  <c r="T74" i="23" s="1"/>
  <c r="Q57" i="23"/>
  <c r="T57" i="23" s="1"/>
  <c r="Q24" i="23"/>
  <c r="T24" i="23" s="1"/>
  <c r="N7" i="23"/>
  <c r="Q53" i="23"/>
  <c r="T53" i="23" s="1"/>
  <c r="N6" i="23"/>
  <c r="Q95" i="23"/>
  <c r="T95" i="23" s="1"/>
  <c r="Q27" i="23"/>
  <c r="T27" i="23" s="1"/>
  <c r="Q97" i="23"/>
  <c r="T97" i="23" s="1"/>
  <c r="Q37" i="23"/>
  <c r="T37" i="23" s="1"/>
  <c r="Q49" i="23"/>
  <c r="T49" i="23" s="1"/>
  <c r="Q81" i="23"/>
  <c r="T81" i="23" s="1"/>
  <c r="Q55" i="23"/>
  <c r="T55" i="23" s="1"/>
  <c r="Q47" i="23"/>
  <c r="T47" i="23" s="1"/>
  <c r="Q77" i="23"/>
  <c r="T77" i="23" s="1"/>
  <c r="Q18" i="23"/>
  <c r="T18" i="23" s="1"/>
  <c r="Q46" i="23"/>
  <c r="T46" i="23" s="1"/>
  <c r="N10" i="23"/>
  <c r="N17" i="23"/>
  <c r="N18" i="23"/>
  <c r="Q62" i="23"/>
  <c r="T62" i="23" s="1"/>
  <c r="N11" i="23"/>
  <c r="Q73" i="23"/>
  <c r="T73" i="23" s="1"/>
  <c r="N16" i="23"/>
  <c r="Q92" i="23"/>
  <c r="T92" i="23" s="1"/>
  <c r="N9" i="23"/>
  <c r="Q99" i="23"/>
  <c r="T99" i="23" s="1"/>
  <c r="Q28" i="23"/>
  <c r="T28" i="23" s="1"/>
  <c r="Q36" i="23"/>
  <c r="T36" i="23" s="1"/>
  <c r="Q20" i="23"/>
  <c r="T20" i="23" s="1"/>
  <c r="Q11" i="23"/>
  <c r="T11" i="23" s="1"/>
  <c r="N14" i="23"/>
  <c r="Q70" i="23"/>
  <c r="T70" i="23" s="1"/>
  <c r="Q48" i="23"/>
  <c r="T48" i="23" s="1"/>
  <c r="Q10" i="23"/>
  <c r="T10" i="23" s="1"/>
  <c r="Q19" i="23"/>
  <c r="T19" i="23" s="1"/>
  <c r="N4" i="23"/>
  <c r="Q22" i="23"/>
  <c r="T22" i="23" s="1"/>
  <c r="Q66" i="23"/>
  <c r="T66" i="23" s="1"/>
  <c r="N12" i="23"/>
  <c r="Q4" i="23"/>
  <c r="T4" i="23" s="1"/>
  <c r="Q101" i="23"/>
  <c r="T101" i="23" s="1"/>
  <c r="Q87" i="23"/>
  <c r="T87" i="23" s="1"/>
  <c r="Q30" i="23"/>
  <c r="T30" i="23" s="1"/>
  <c r="Q86" i="23"/>
  <c r="T86" i="23" s="1"/>
  <c r="Q72" i="23"/>
  <c r="T72" i="23" s="1"/>
  <c r="Q52" i="23"/>
  <c r="T52" i="23" s="1"/>
  <c r="Q89" i="23"/>
  <c r="T89" i="23" s="1"/>
  <c r="Q85" i="23"/>
  <c r="T85" i="23" s="1"/>
  <c r="Q7" i="23"/>
  <c r="T7" i="23" s="1"/>
  <c r="Q42" i="23"/>
  <c r="T42" i="23" s="1"/>
  <c r="Q71" i="23"/>
  <c r="T71" i="23" s="1"/>
  <c r="Q63" i="23"/>
  <c r="T63" i="23" s="1"/>
  <c r="Q44" i="23"/>
  <c r="T44" i="23" s="1"/>
  <c r="Q35" i="23"/>
  <c r="T35" i="23" s="1"/>
  <c r="Q21" i="23"/>
  <c r="T21" i="23" s="1"/>
  <c r="N5" i="23"/>
  <c r="Q102" i="23"/>
  <c r="T102" i="23" s="1"/>
  <c r="Q75" i="23"/>
  <c r="T75" i="23" s="1"/>
  <c r="Q80" i="23"/>
  <c r="T80" i="23" s="1"/>
  <c r="N13" i="23"/>
  <c r="Q64" i="23"/>
  <c r="T64" i="23" s="1"/>
  <c r="Q96" i="23"/>
  <c r="T96" i="23" s="1"/>
  <c r="I29" i="23"/>
  <c r="Q43" i="23"/>
  <c r="T43" i="23" s="1"/>
  <c r="N2" i="23"/>
  <c r="Q51" i="23"/>
  <c r="T51" i="23" s="1"/>
  <c r="Q16" i="23"/>
  <c r="T16" i="23" s="1"/>
  <c r="Q34" i="23"/>
  <c r="T34" i="23" s="1"/>
  <c r="Q60" i="23"/>
  <c r="T60" i="23" s="1"/>
  <c r="Q78" i="23"/>
  <c r="T78" i="23" s="1"/>
  <c r="Q45" i="23"/>
  <c r="T45" i="23" s="1"/>
  <c r="Q23" i="23"/>
  <c r="T23" i="23" s="1"/>
  <c r="Q25" i="23"/>
  <c r="T25" i="23" s="1"/>
  <c r="Q6" i="23"/>
  <c r="T6" i="23" s="1"/>
  <c r="Q56" i="23"/>
  <c r="T56" i="23" s="1"/>
  <c r="Q15" i="23"/>
  <c r="T15" i="23" s="1"/>
  <c r="K23" i="23"/>
  <c r="L23" i="23" s="1"/>
  <c r="I25" i="23"/>
  <c r="I17" i="23"/>
  <c r="I18" i="23"/>
  <c r="K13" i="23" l="1"/>
  <c r="S22" i="23"/>
  <c r="X22" i="23" s="1"/>
  <c r="R22" i="23"/>
  <c r="V22" i="23" s="1"/>
  <c r="S2" i="23"/>
  <c r="X2" i="23" s="1"/>
  <c r="R2" i="23"/>
  <c r="V2" i="23" s="1"/>
  <c r="R21" i="23"/>
  <c r="V21" i="23" s="1"/>
  <c r="S21" i="23"/>
  <c r="X21" i="23" s="1"/>
  <c r="S45" i="23"/>
  <c r="X45" i="23" s="1"/>
  <c r="R45" i="23"/>
  <c r="V45" i="23" s="1"/>
  <c r="R68" i="23"/>
  <c r="V68" i="23" s="1"/>
  <c r="S68" i="23"/>
  <c r="X68" i="23" s="1"/>
  <c r="R84" i="23"/>
  <c r="V84" i="23" s="1"/>
  <c r="S84" i="23"/>
  <c r="X84" i="23" s="1"/>
  <c r="J18" i="23"/>
  <c r="K18" i="23"/>
  <c r="S15" i="23"/>
  <c r="X15" i="23" s="1"/>
  <c r="R15" i="23"/>
  <c r="V15" i="23" s="1"/>
  <c r="R89" i="23"/>
  <c r="V89" i="23" s="1"/>
  <c r="S89" i="23"/>
  <c r="X89" i="23" s="1"/>
  <c r="S79" i="23"/>
  <c r="X79" i="23" s="1"/>
  <c r="R79" i="23"/>
  <c r="V79" i="23" s="1"/>
  <c r="R47" i="23"/>
  <c r="V47" i="23" s="1"/>
  <c r="S47" i="23"/>
  <c r="X47" i="23" s="1"/>
  <c r="S53" i="23"/>
  <c r="X53" i="23" s="1"/>
  <c r="R53" i="23"/>
  <c r="V53" i="23" s="1"/>
  <c r="R13" i="23"/>
  <c r="V13" i="23" s="1"/>
  <c r="S13" i="23"/>
  <c r="X13" i="23" s="1"/>
  <c r="S87" i="23"/>
  <c r="X87" i="23" s="1"/>
  <c r="R87" i="23"/>
  <c r="V87" i="23" s="1"/>
  <c r="R59" i="23"/>
  <c r="V59" i="23" s="1"/>
  <c r="S59" i="23"/>
  <c r="X59" i="23" s="1"/>
  <c r="S16" i="23"/>
  <c r="X16" i="23" s="1"/>
  <c r="R16" i="23"/>
  <c r="V16" i="23" s="1"/>
  <c r="R11" i="23"/>
  <c r="V11" i="23" s="1"/>
  <c r="S11" i="23"/>
  <c r="X11" i="23" s="1"/>
  <c r="S54" i="23"/>
  <c r="X54" i="23" s="1"/>
  <c r="R54" i="23"/>
  <c r="V54" i="23" s="1"/>
  <c r="R20" i="23"/>
  <c r="V20" i="23" s="1"/>
  <c r="S20" i="23"/>
  <c r="X20" i="23" s="1"/>
  <c r="S65" i="23"/>
  <c r="X65" i="23" s="1"/>
  <c r="R65" i="23"/>
  <c r="V65" i="23" s="1"/>
  <c r="S38" i="23"/>
  <c r="X38" i="23" s="1"/>
  <c r="R38" i="23"/>
  <c r="V38" i="23" s="1"/>
  <c r="R40" i="23"/>
  <c r="V40" i="23" s="1"/>
  <c r="S40" i="23"/>
  <c r="X40" i="23" s="1"/>
  <c r="R73" i="23"/>
  <c r="V73" i="23" s="1"/>
  <c r="S73" i="23"/>
  <c r="X73" i="23" s="1"/>
  <c r="S62" i="23"/>
  <c r="X62" i="23" s="1"/>
  <c r="R62" i="23"/>
  <c r="V62" i="23" s="1"/>
  <c r="S31" i="23"/>
  <c r="X31" i="23" s="1"/>
  <c r="R31" i="23"/>
  <c r="V31" i="23" s="1"/>
  <c r="R61" i="23"/>
  <c r="V61" i="23" s="1"/>
  <c r="S61" i="23"/>
  <c r="X61" i="23" s="1"/>
  <c r="S90" i="23"/>
  <c r="X90" i="23" s="1"/>
  <c r="R90" i="23"/>
  <c r="V90" i="23" s="1"/>
  <c r="R48" i="23"/>
  <c r="V48" i="23" s="1"/>
  <c r="S48" i="23"/>
  <c r="X48" i="23" s="1"/>
  <c r="S75" i="23"/>
  <c r="X75" i="23" s="1"/>
  <c r="R75" i="23"/>
  <c r="V75" i="23" s="1"/>
  <c r="S37" i="23"/>
  <c r="X37" i="23" s="1"/>
  <c r="R37" i="23"/>
  <c r="V37" i="23" s="1"/>
  <c r="R19" i="23"/>
  <c r="V19" i="23" s="1"/>
  <c r="S19" i="23"/>
  <c r="X19" i="23" s="1"/>
  <c r="R27" i="23"/>
  <c r="V27" i="23" s="1"/>
  <c r="S27" i="23"/>
  <c r="X27" i="23" s="1"/>
  <c r="S42" i="23"/>
  <c r="X42" i="23" s="1"/>
  <c r="R42" i="23"/>
  <c r="V42" i="23" s="1"/>
  <c r="S55" i="23"/>
  <c r="X55" i="23" s="1"/>
  <c r="R55" i="23"/>
  <c r="V55" i="23" s="1"/>
  <c r="S66" i="23"/>
  <c r="X66" i="23" s="1"/>
  <c r="R66" i="23"/>
  <c r="V66" i="23" s="1"/>
  <c r="R23" i="23"/>
  <c r="V23" i="23" s="1"/>
  <c r="S23" i="23"/>
  <c r="X23" i="23" s="1"/>
  <c r="S9" i="23"/>
  <c r="X9" i="23" s="1"/>
  <c r="R9" i="23"/>
  <c r="V9" i="23" s="1"/>
  <c r="R95" i="23"/>
  <c r="V95" i="23" s="1"/>
  <c r="S95" i="23"/>
  <c r="X95" i="23" s="1"/>
  <c r="S100" i="23"/>
  <c r="X100" i="23" s="1"/>
  <c r="R100" i="23"/>
  <c r="V100" i="23" s="1"/>
  <c r="R36" i="23"/>
  <c r="V36" i="23" s="1"/>
  <c r="S36" i="23"/>
  <c r="X36" i="23" s="1"/>
  <c r="R96" i="23"/>
  <c r="V96" i="23" s="1"/>
  <c r="S96" i="23"/>
  <c r="X96" i="23" s="1"/>
  <c r="S81" i="23"/>
  <c r="X81" i="23" s="1"/>
  <c r="R81" i="23"/>
  <c r="V81" i="23" s="1"/>
  <c r="R63" i="23"/>
  <c r="V63" i="23" s="1"/>
  <c r="S63" i="23"/>
  <c r="X63" i="23" s="1"/>
  <c r="S102" i="23"/>
  <c r="X102" i="23" s="1"/>
  <c r="R102" i="23"/>
  <c r="V102" i="23" s="1"/>
  <c r="S4" i="23"/>
  <c r="X4" i="23" s="1"/>
  <c r="R4" i="23"/>
  <c r="V4" i="23" s="1"/>
  <c r="S69" i="23"/>
  <c r="X69" i="23" s="1"/>
  <c r="R69" i="23"/>
  <c r="V69" i="23" s="1"/>
  <c r="R71" i="23"/>
  <c r="V71" i="23" s="1"/>
  <c r="S71" i="23"/>
  <c r="X71" i="23" s="1"/>
  <c r="S29" i="23"/>
  <c r="X29" i="23" s="1"/>
  <c r="R29" i="23"/>
  <c r="V29" i="23" s="1"/>
  <c r="S28" i="23"/>
  <c r="X28" i="23" s="1"/>
  <c r="R28" i="23"/>
  <c r="V28" i="23" s="1"/>
  <c r="S56" i="23"/>
  <c r="X56" i="23" s="1"/>
  <c r="R56" i="23"/>
  <c r="V56" i="23" s="1"/>
  <c r="R5" i="23"/>
  <c r="V5" i="23" s="1"/>
  <c r="S5" i="23"/>
  <c r="X5" i="23" s="1"/>
  <c r="R39" i="23"/>
  <c r="V39" i="23" s="1"/>
  <c r="S39" i="23"/>
  <c r="X39" i="23" s="1"/>
  <c r="R6" i="23"/>
  <c r="V6" i="23" s="1"/>
  <c r="S6" i="23"/>
  <c r="X6" i="23" s="1"/>
  <c r="R86" i="23"/>
  <c r="V86" i="23" s="1"/>
  <c r="S86" i="23"/>
  <c r="X86" i="23" s="1"/>
  <c r="R92" i="23"/>
  <c r="V92" i="23" s="1"/>
  <c r="S92" i="23"/>
  <c r="X92" i="23" s="1"/>
  <c r="R8" i="23"/>
  <c r="V8" i="23" s="1"/>
  <c r="S8" i="23"/>
  <c r="X8" i="23" s="1"/>
  <c r="R76" i="23"/>
  <c r="V76" i="23" s="1"/>
  <c r="S76" i="23"/>
  <c r="X76" i="23" s="1"/>
  <c r="R25" i="23"/>
  <c r="V25" i="23" s="1"/>
  <c r="S25" i="23"/>
  <c r="X25" i="23" s="1"/>
  <c r="S46" i="23"/>
  <c r="X46" i="23" s="1"/>
  <c r="R46" i="23"/>
  <c r="V46" i="23" s="1"/>
  <c r="R33" i="23"/>
  <c r="V33" i="23" s="1"/>
  <c r="S33" i="23"/>
  <c r="X33" i="23" s="1"/>
  <c r="R74" i="23"/>
  <c r="V74" i="23" s="1"/>
  <c r="S74" i="23"/>
  <c r="X74" i="23" s="1"/>
  <c r="S80" i="23"/>
  <c r="X80" i="23" s="1"/>
  <c r="R80" i="23"/>
  <c r="V80" i="23" s="1"/>
  <c r="S64" i="23"/>
  <c r="X64" i="23" s="1"/>
  <c r="R64" i="23"/>
  <c r="V64" i="23" s="1"/>
  <c r="R97" i="23"/>
  <c r="V97" i="23" s="1"/>
  <c r="S97" i="23"/>
  <c r="X97" i="23" s="1"/>
  <c r="S49" i="23"/>
  <c r="X49" i="23" s="1"/>
  <c r="R49" i="23"/>
  <c r="V49" i="23" s="1"/>
  <c r="S10" i="23"/>
  <c r="X10" i="23" s="1"/>
  <c r="R10" i="23"/>
  <c r="V10" i="23" s="1"/>
  <c r="R7" i="23"/>
  <c r="V7" i="23" s="1"/>
  <c r="S7" i="23"/>
  <c r="X7" i="23" s="1"/>
  <c r="R57" i="23"/>
  <c r="V57" i="23" s="1"/>
  <c r="S57" i="23"/>
  <c r="X57" i="23" s="1"/>
  <c r="S72" i="23"/>
  <c r="X72" i="23" s="1"/>
  <c r="R72" i="23"/>
  <c r="V72" i="23" s="1"/>
  <c r="S101" i="23"/>
  <c r="X101" i="23" s="1"/>
  <c r="R101" i="23"/>
  <c r="V101" i="23" s="1"/>
  <c r="R52" i="23"/>
  <c r="V52" i="23" s="1"/>
  <c r="S52" i="23"/>
  <c r="X52" i="23" s="1"/>
  <c r="R35" i="23"/>
  <c r="V35" i="23" s="1"/>
  <c r="S35" i="23"/>
  <c r="X35" i="23" s="1"/>
  <c r="R91" i="23"/>
  <c r="V91" i="23" s="1"/>
  <c r="S91" i="23"/>
  <c r="X91" i="23" s="1"/>
  <c r="R14" i="23"/>
  <c r="V14" i="23" s="1"/>
  <c r="S14" i="23"/>
  <c r="X14" i="23" s="1"/>
  <c r="S67" i="23"/>
  <c r="X67" i="23" s="1"/>
  <c r="R67" i="23"/>
  <c r="V67" i="23" s="1"/>
  <c r="R88" i="23"/>
  <c r="V88" i="23" s="1"/>
  <c r="S88" i="23"/>
  <c r="X88" i="23" s="1"/>
  <c r="R32" i="23"/>
  <c r="V32" i="23" s="1"/>
  <c r="S32" i="23"/>
  <c r="X32" i="23" s="1"/>
  <c r="R24" i="23"/>
  <c r="V24" i="23" s="1"/>
  <c r="S24" i="23"/>
  <c r="X24" i="23" s="1"/>
  <c r="R70" i="23"/>
  <c r="V70" i="23" s="1"/>
  <c r="S70" i="23"/>
  <c r="X70" i="23" s="1"/>
  <c r="S98" i="23"/>
  <c r="X98" i="23" s="1"/>
  <c r="R98" i="23"/>
  <c r="V98" i="23" s="1"/>
  <c r="S18" i="23"/>
  <c r="X18" i="23" s="1"/>
  <c r="R18" i="23"/>
  <c r="V18" i="23" s="1"/>
  <c r="S30" i="23"/>
  <c r="X30" i="23" s="1"/>
  <c r="R30" i="23"/>
  <c r="V30" i="23" s="1"/>
  <c r="R99" i="23"/>
  <c r="V99" i="23" s="1"/>
  <c r="S99" i="23"/>
  <c r="X99" i="23" s="1"/>
  <c r="R93" i="23"/>
  <c r="V93" i="23" s="1"/>
  <c r="S93" i="23"/>
  <c r="X93" i="23" s="1"/>
  <c r="R26" i="23"/>
  <c r="V26" i="23" s="1"/>
  <c r="S26" i="23"/>
  <c r="X26" i="23" s="1"/>
  <c r="S94" i="23"/>
  <c r="X94" i="23" s="1"/>
  <c r="R94" i="23"/>
  <c r="V94" i="23" s="1"/>
  <c r="S82" i="23"/>
  <c r="X82" i="23" s="1"/>
  <c r="R82" i="23"/>
  <c r="V82" i="23" s="1"/>
  <c r="S51" i="23"/>
  <c r="X51" i="23" s="1"/>
  <c r="R51" i="23"/>
  <c r="V51" i="23" s="1"/>
  <c r="S77" i="23"/>
  <c r="X77" i="23" s="1"/>
  <c r="R77" i="23"/>
  <c r="V77" i="23" s="1"/>
  <c r="S3" i="23"/>
  <c r="X3" i="23" s="1"/>
  <c r="R3" i="23"/>
  <c r="V3" i="23" s="1"/>
  <c r="R41" i="23"/>
  <c r="V41" i="23" s="1"/>
  <c r="S41" i="23"/>
  <c r="X41" i="23" s="1"/>
  <c r="S83" i="23"/>
  <c r="X83" i="23" s="1"/>
  <c r="R83" i="23"/>
  <c r="V83" i="23" s="1"/>
  <c r="S43" i="23"/>
  <c r="X43" i="23" s="1"/>
  <c r="R43" i="23"/>
  <c r="V43" i="23" s="1"/>
  <c r="R78" i="23"/>
  <c r="V78" i="23" s="1"/>
  <c r="S78" i="23"/>
  <c r="X78" i="23" s="1"/>
  <c r="R50" i="23"/>
  <c r="V50" i="23" s="1"/>
  <c r="S50" i="23"/>
  <c r="X50" i="23" s="1"/>
  <c r="S17" i="23"/>
  <c r="X17" i="23" s="1"/>
  <c r="R17" i="23"/>
  <c r="V17" i="23" s="1"/>
  <c r="R34" i="23"/>
  <c r="V34" i="23" s="1"/>
  <c r="S34" i="23"/>
  <c r="X34" i="23" s="1"/>
  <c r="S44" i="23"/>
  <c r="X44" i="23" s="1"/>
  <c r="R44" i="23"/>
  <c r="V44" i="23" s="1"/>
  <c r="K17" i="23"/>
  <c r="J17" i="23"/>
  <c r="S60" i="23"/>
  <c r="X60" i="23" s="1"/>
  <c r="R60" i="23"/>
  <c r="V60" i="23" s="1"/>
  <c r="S85" i="23"/>
  <c r="X85" i="23" s="1"/>
  <c r="R85" i="23"/>
  <c r="V85" i="23" s="1"/>
  <c r="S12" i="23"/>
  <c r="X12" i="23" s="1"/>
  <c r="R12" i="23"/>
  <c r="V12" i="23" s="1"/>
  <c r="S58" i="23"/>
  <c r="X58" i="23" s="1"/>
  <c r="R58" i="23"/>
  <c r="V58" i="23" s="1"/>
</calcChain>
</file>

<file path=xl/sharedStrings.xml><?xml version="1.0" encoding="utf-8"?>
<sst xmlns="http://schemas.openxmlformats.org/spreadsheetml/2006/main" count="378" uniqueCount="159">
  <si>
    <t>Plader:</t>
  </si>
  <si>
    <t>R=</t>
  </si>
  <si>
    <t>Specimen</t>
  </si>
  <si>
    <t>Width</t>
  </si>
  <si>
    <t>Thickness</t>
  </si>
  <si>
    <t>Strain Range</t>
  </si>
  <si>
    <t>Max load</t>
  </si>
  <si>
    <t>Amplitude</t>
  </si>
  <si>
    <t>Frequency</t>
  </si>
  <si>
    <t>Cycles to failure</t>
  </si>
  <si>
    <t>Comments</t>
  </si>
  <si>
    <t>#</t>
  </si>
  <si>
    <t>(mm)</t>
  </si>
  <si>
    <t>(%)</t>
  </si>
  <si>
    <t>(MPa)</t>
  </si>
  <si>
    <t>(kN)</t>
  </si>
  <si>
    <t>(Hz)</t>
  </si>
  <si>
    <t>Area</t>
  </si>
  <si>
    <t>Date</t>
  </si>
  <si>
    <t>Min Load</t>
  </si>
  <si>
    <t>Abs Max strain</t>
  </si>
  <si>
    <t>(mm2)</t>
  </si>
  <si>
    <t>Peak stress</t>
  </si>
  <si>
    <t>Max strain</t>
  </si>
  <si>
    <t>Prøvemaskine</t>
  </si>
  <si>
    <t>(GPa)</t>
  </si>
  <si>
    <t>Modtaget</t>
  </si>
  <si>
    <t>SN Points</t>
  </si>
  <si>
    <t>X</t>
  </si>
  <si>
    <t>Y</t>
  </si>
  <si>
    <t>X^2</t>
  </si>
  <si>
    <t>Y^2</t>
  </si>
  <si>
    <t>X*Y</t>
  </si>
  <si>
    <t>N</t>
  </si>
  <si>
    <t>YHAT</t>
  </si>
  <si>
    <t>Xconfi</t>
  </si>
  <si>
    <t>Yavg</t>
  </si>
  <si>
    <t>Y1</t>
  </si>
  <si>
    <t>Y2</t>
  </si>
  <si>
    <t>SN-line</t>
  </si>
  <si>
    <t>Lower conf</t>
  </si>
  <si>
    <t>Upper Conf</t>
  </si>
  <si>
    <t>SUMMARY OUTPUT</t>
  </si>
  <si>
    <t>SUMX</t>
  </si>
  <si>
    <t>SUMY</t>
  </si>
  <si>
    <t>Regression Statistics</t>
  </si>
  <si>
    <t>SUMXX</t>
  </si>
  <si>
    <t>Multiple R</t>
  </si>
  <si>
    <t>SUMYY</t>
  </si>
  <si>
    <t>R Square</t>
  </si>
  <si>
    <t>SUMXY</t>
  </si>
  <si>
    <t>Adjusted R Square</t>
  </si>
  <si>
    <t>SAKX</t>
  </si>
  <si>
    <t>Standard Error</t>
  </si>
  <si>
    <t>Observations</t>
  </si>
  <si>
    <t>SAPXY</t>
  </si>
  <si>
    <t>XMEAN</t>
  </si>
  <si>
    <t>ANOVA</t>
  </si>
  <si>
    <t>YMEAN</t>
  </si>
  <si>
    <t>df</t>
  </si>
  <si>
    <t>SS</t>
  </si>
  <si>
    <t>MS</t>
  </si>
  <si>
    <t>F</t>
  </si>
  <si>
    <t>Significance F</t>
  </si>
  <si>
    <t>A1</t>
  </si>
  <si>
    <t>Regression</t>
  </si>
  <si>
    <t>A0</t>
  </si>
  <si>
    <t>Residual</t>
  </si>
  <si>
    <t>R2</t>
  </si>
  <si>
    <t>Total</t>
  </si>
  <si>
    <t>T-VALUE</t>
  </si>
  <si>
    <t>F-VALUE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</si>
  <si>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</si>
  <si>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</si>
  <si>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</si>
  <si>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</si>
  <si>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</si>
  <si>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</si>
  <si>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</si>
  <si>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CONFIA1</t>
  </si>
  <si>
    <t>Intercept</t>
  </si>
  <si>
    <t>CONFIA0</t>
  </si>
  <si>
    <t>X Variable 1</t>
  </si>
  <si>
    <t>Xmin</t>
  </si>
  <si>
    <t>Xmax</t>
  </si>
  <si>
    <t>Variansanalysetabel</t>
  </si>
  <si>
    <t>SAK</t>
  </si>
  <si>
    <t xml:space="preserve">f </t>
  </si>
  <si>
    <t>RESIDUAL OUTPUT</t>
  </si>
  <si>
    <t>Regress</t>
  </si>
  <si>
    <t>Observation</t>
  </si>
  <si>
    <t>Predicted Y</t>
  </si>
  <si>
    <t>Residuals</t>
  </si>
  <si>
    <t>Standard Residuals</t>
  </si>
  <si>
    <t>N =</t>
  </si>
  <si>
    <t>*</t>
  </si>
  <si>
    <t>S^</t>
  </si>
  <si>
    <t>TVALUE</t>
  </si>
  <si>
    <t>FVALUE</t>
  </si>
  <si>
    <t>dato</t>
  </si>
  <si>
    <t xml:space="preserve">emner </t>
  </si>
  <si>
    <t>Max Strain</t>
  </si>
  <si>
    <t>Max Stress</t>
  </si>
  <si>
    <t>Med tabs</t>
  </si>
  <si>
    <t>Frekvens</t>
  </si>
  <si>
    <t>5 Hz</t>
  </si>
  <si>
    <t>E-mod 1. load</t>
  </si>
  <si>
    <t>E-mod. 2. load</t>
  </si>
  <si>
    <t>Cycles</t>
  </si>
  <si>
    <t>SN-Curve</t>
  </si>
  <si>
    <t>Astm Stat</t>
  </si>
  <si>
    <r>
      <t>(mm</t>
    </r>
    <r>
      <rPr>
        <vertAlign val="superscript"/>
        <sz val="9"/>
        <rFont val="Calibri"/>
        <family val="2"/>
        <scheme val="minor"/>
      </rPr>
      <t>2</t>
    </r>
    <r>
      <rPr>
        <sz val="9"/>
        <rFont val="Calibri"/>
        <family val="2"/>
        <scheme val="minor"/>
      </rPr>
      <t>)</t>
    </r>
  </si>
  <si>
    <t>E-mod 1</t>
  </si>
  <si>
    <t>E-mod 2</t>
  </si>
  <si>
    <t>Ini Emod</t>
  </si>
  <si>
    <t>E-mod</t>
  </si>
  <si>
    <t>Mean Load</t>
  </si>
  <si>
    <t>From Ten and Fat Datafiles</t>
  </si>
  <si>
    <r>
      <t>SAKY (SAK</t>
    </r>
    <r>
      <rPr>
        <vertAlign val="subscript"/>
        <sz val="10"/>
        <rFont val="Calibri"/>
        <family val="2"/>
        <scheme val="minor"/>
      </rPr>
      <t>total</t>
    </r>
    <r>
      <rPr>
        <sz val="10"/>
        <rFont val="Calibri"/>
        <family val="2"/>
        <scheme val="minor"/>
      </rPr>
      <t>)</t>
    </r>
  </si>
  <si>
    <r>
      <t>S</t>
    </r>
    <r>
      <rPr>
        <vertAlign val="superscript"/>
        <sz val="10"/>
        <rFont val="Calibri"/>
        <family val="2"/>
        <scheme val="minor"/>
      </rPr>
      <t>2</t>
    </r>
  </si>
  <si>
    <t>Bending ratio</t>
  </si>
  <si>
    <t>|E1+E2|/|E1+E2|</t>
  </si>
  <si>
    <t>From Ten-files</t>
  </si>
  <si>
    <t>Matlab "DataAnalysis"</t>
  </si>
  <si>
    <t>Spec.</t>
  </si>
  <si>
    <t>Modulus a [GPa]:</t>
  </si>
  <si>
    <t>Modulus b [GPa]:</t>
  </si>
  <si>
    <t>Modulus a1 [GPa]:</t>
  </si>
  <si>
    <t>Modulus b1 [GPa]:</t>
  </si>
  <si>
    <t>Modulus a2 [GPa]:</t>
  </si>
  <si>
    <t>Modulus b2 [GPa]:</t>
  </si>
  <si>
    <t>Geometri:</t>
  </si>
  <si>
    <t>prj nummer</t>
  </si>
  <si>
    <t>Udmattelse</t>
  </si>
  <si>
    <t>From Matlab Script Fatigue4.m</t>
  </si>
  <si>
    <t>Width 
 [mm]</t>
  </si>
  <si>
    <t>Thickness 
 [mm]</t>
  </si>
  <si>
    <t>E-mod. change 
 [%]</t>
  </si>
  <si>
    <t>E-mod. 
 [GPa]</t>
  </si>
  <si>
    <t>Bending</t>
  </si>
  <si>
    <t>Freq. 
 [Hz]</t>
  </si>
  <si>
    <t>R</t>
  </si>
  <si>
    <t>Peak strain 
 [%]</t>
  </si>
  <si>
    <t>Strain range 
 [%]</t>
  </si>
  <si>
    <t>Peak stress 
 [MPa]</t>
  </si>
  <si>
    <t>C</t>
  </si>
  <si>
    <t>m</t>
  </si>
  <si>
    <t>EQA02</t>
  </si>
  <si>
    <t>44055 I-1</t>
  </si>
  <si>
    <t>88R1342</t>
  </si>
  <si>
    <t>88R1331</t>
  </si>
  <si>
    <t>Fatige</t>
  </si>
  <si>
    <t>Fatigue</t>
  </si>
  <si>
    <t>88R8501</t>
  </si>
  <si>
    <t>Static</t>
  </si>
  <si>
    <t>_</t>
  </si>
  <si>
    <t>Runout</t>
  </si>
  <si>
    <t>Modulus (Gpa)</t>
  </si>
  <si>
    <t>Cycles @ 1% max strain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</si>
</sst>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 * #,##0.00_ ;_ * \-#,##0.00_ ;_ * &quot;-&quot;??_ ;_ @_ "/>
    <numFmt numFmtId="164" formatCode="0.0"/>
    <numFmt numFmtId="165" formatCode="d/mmm/yy"/>
    <numFmt numFmtId="166" formatCode="0.000"/>
    <numFmt numFmtId="167" formatCode="0.0000"/>
    <numFmt numFmtId="168" formatCode="0.000000"/>
    <numFmt numFmtId="169" formatCode="0.00000"/>
    <numFmt numFmtId="170" formatCode="_ * #,##0_ ;_ * \-#,##0_ ;_ * &quot;-&quot;??_ ;_ @_ "/>
    <numFmt numFmtId="171" formatCode="0.000E+00"/>
  </numFmts>
  <fonts count="30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4"/>
      <color indexed="8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9"/>
      <name val="Calibri"/>
      <family val="2"/>
      <scheme val="minor"/>
    </font>
    <font>
      <sz val="14"/>
      <name val="Calibri"/>
      <family val="2"/>
      <scheme val="minor"/>
    </font>
    <font>
      <sz val="12"/>
      <color indexed="10"/>
      <name val="Calibri"/>
      <family val="2"/>
      <scheme val="minor"/>
    </font>
    <font>
      <sz val="9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i/>
      <sz val="12"/>
      <name val="Calibri"/>
      <family val="2"/>
      <scheme val="minor"/>
    </font>
    <font>
      <sz val="10"/>
      <color indexed="10"/>
      <name val="Calibri"/>
      <family val="2"/>
      <scheme val="minor"/>
    </font>
    <font>
      <sz val="8"/>
      <name val="Calibri"/>
      <family val="2"/>
      <scheme val="minor"/>
    </font>
    <font>
      <sz val="12"/>
      <color indexed="9"/>
      <name val="Calibri"/>
      <family val="2"/>
      <scheme val="minor"/>
    </font>
    <font>
      <sz val="10"/>
      <color indexed="9"/>
      <name val="Calibri"/>
      <family val="2"/>
      <scheme val="minor"/>
    </font>
    <font>
      <sz val="14"/>
      <color indexed="9"/>
      <name val="Calibri"/>
      <family val="2"/>
      <scheme val="minor"/>
    </font>
    <font>
      <sz val="11"/>
      <color indexed="8"/>
      <name val="Calibri"/>
      <family val="2"/>
      <scheme val="minor"/>
    </font>
    <font>
      <vertAlign val="superscript"/>
      <sz val="9"/>
      <name val="Calibri"/>
      <family val="2"/>
      <scheme val="minor"/>
    </font>
    <font>
      <b/>
      <i/>
      <sz val="10"/>
      <name val="Calibri"/>
      <family val="2"/>
      <scheme val="minor"/>
    </font>
    <font>
      <i/>
      <sz val="10"/>
      <name val="Calibri"/>
      <family val="2"/>
      <scheme val="minor"/>
    </font>
    <font>
      <vertAlign val="subscript"/>
      <sz val="10"/>
      <name val="Calibri"/>
      <family val="2"/>
      <scheme val="minor"/>
    </font>
    <font>
      <vertAlign val="superscript"/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  <fill>
      <patternFill patternType="gray125">
        <bgColor rgb="FFFFFF00"/>
      </patternFill>
    </fill>
    <fill>
      <patternFill patternType="solid">
        <fgColor theme="9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1" fillId="0" borderId="0"/>
  </cellStyleXfs>
  <cellXfs count="233">
    <xf numFmtId="0" fontId="0" fillId="0" borderId="0" xfId="0"/>
    <xf numFmtId="0" fontId="0" fillId="0" borderId="0" xfId="0" applyBorder="1"/>
    <xf numFmtId="0" fontId="4" fillId="0" borderId="0" xfId="0" applyFont="1"/>
    <xf numFmtId="0" fontId="5" fillId="0" borderId="0" xfId="0" applyFont="1"/>
    <xf numFmtId="0" fontId="4" fillId="0" borderId="2" xfId="0" quotePrefix="1" applyFont="1" applyBorder="1" applyAlignment="1">
      <alignment horizontal="center"/>
    </xf>
    <xf numFmtId="0" fontId="4" fillId="0" borderId="5" xfId="0" quotePrefix="1" applyFont="1" applyBorder="1" applyAlignment="1">
      <alignment horizontal="center"/>
    </xf>
    <xf numFmtId="2" fontId="4" fillId="0" borderId="6" xfId="0" quotePrefix="1" applyNumberFormat="1" applyFont="1" applyBorder="1" applyAlignment="1">
      <alignment horizontal="right"/>
    </xf>
    <xf numFmtId="0" fontId="4" fillId="0" borderId="3" xfId="0" quotePrefix="1" applyFont="1" applyBorder="1" applyAlignment="1">
      <alignment horizontal="right"/>
    </xf>
    <xf numFmtId="2" fontId="4" fillId="0" borderId="3" xfId="0" quotePrefix="1" applyNumberFormat="1" applyFont="1" applyBorder="1" applyAlignment="1">
      <alignment horizontal="right"/>
    </xf>
    <xf numFmtId="1" fontId="4" fillId="0" borderId="3" xfId="0" quotePrefix="1" applyNumberFormat="1" applyFont="1" applyBorder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 applyBorder="1" applyAlignment="1">
      <alignment horizontal="center"/>
    </xf>
    <xf numFmtId="15" fontId="5" fillId="0" borderId="0" xfId="0" applyNumberFormat="1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14" fontId="6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6" fillId="0" borderId="7" xfId="0" applyFont="1" applyBorder="1" applyAlignment="1">
      <alignment horizontal="center"/>
    </xf>
    <xf numFmtId="0" fontId="6" fillId="0" borderId="8" xfId="0" applyFont="1" applyBorder="1"/>
    <xf numFmtId="2" fontId="6" fillId="0" borderId="16" xfId="0" applyNumberFormat="1" applyFont="1" applyBorder="1" applyAlignment="1">
      <alignment horizontal="center"/>
    </xf>
    <xf numFmtId="2" fontId="7" fillId="0" borderId="16" xfId="0" applyNumberFormat="1" applyFont="1" applyBorder="1" applyAlignment="1">
      <alignment horizontal="center"/>
    </xf>
    <xf numFmtId="2" fontId="6" fillId="0" borderId="16" xfId="0" applyNumberFormat="1" applyFont="1" applyFill="1" applyBorder="1" applyAlignment="1">
      <alignment horizontal="center"/>
    </xf>
    <xf numFmtId="16" fontId="6" fillId="3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center"/>
    </xf>
    <xf numFmtId="170" fontId="6" fillId="0" borderId="16" xfId="1" applyNumberFormat="1" applyFont="1" applyFill="1" applyBorder="1"/>
    <xf numFmtId="0" fontId="6" fillId="0" borderId="18" xfId="0" applyFont="1" applyBorder="1"/>
    <xf numFmtId="15" fontId="6" fillId="0" borderId="13" xfId="0" quotePrefix="1" applyNumberFormat="1" applyFont="1" applyFill="1" applyBorder="1" applyAlignment="1">
      <alignment horizontal="center"/>
    </xf>
    <xf numFmtId="2" fontId="6" fillId="0" borderId="14" xfId="0" applyNumberFormat="1" applyFont="1" applyFill="1" applyBorder="1" applyAlignment="1">
      <alignment horizontal="center"/>
    </xf>
    <xf numFmtId="16" fontId="6" fillId="0" borderId="0" xfId="0" applyNumberFormat="1" applyFont="1" applyAlignment="1">
      <alignment horizontal="right"/>
    </xf>
    <xf numFmtId="2" fontId="6" fillId="0" borderId="0" xfId="0" quotePrefix="1" applyNumberFormat="1" applyFont="1" applyAlignment="1">
      <alignment horizontal="centerContinuous"/>
    </xf>
    <xf numFmtId="0" fontId="6" fillId="0" borderId="31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6" fillId="0" borderId="33" xfId="0" applyFont="1" applyBorder="1"/>
    <xf numFmtId="0" fontId="7" fillId="0" borderId="15" xfId="0" applyFont="1" applyFill="1" applyBorder="1" applyAlignment="1">
      <alignment horizontal="center"/>
    </xf>
    <xf numFmtId="0" fontId="6" fillId="2" borderId="16" xfId="0" applyFont="1" applyFill="1" applyBorder="1" applyAlignment="1">
      <alignment horizontal="center"/>
    </xf>
    <xf numFmtId="2" fontId="7" fillId="0" borderId="16" xfId="0" applyNumberFormat="1" applyFont="1" applyFill="1" applyBorder="1" applyAlignment="1">
      <alignment horizontal="center"/>
    </xf>
    <xf numFmtId="0" fontId="7" fillId="0" borderId="16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2" fontId="7" fillId="0" borderId="14" xfId="0" applyNumberFormat="1" applyFont="1" applyFill="1" applyBorder="1" applyAlignment="1">
      <alignment horizontal="center"/>
    </xf>
    <xf numFmtId="15" fontId="6" fillId="1" borderId="0" xfId="0" quotePrefix="1" applyNumberFormat="1" applyFont="1" applyFill="1" applyBorder="1" applyAlignment="1">
      <alignment horizontal="center"/>
    </xf>
    <xf numFmtId="0" fontId="6" fillId="4" borderId="0" xfId="0" applyFont="1" applyFill="1" applyBorder="1" applyAlignment="1">
      <alignment horizontal="center"/>
    </xf>
    <xf numFmtId="2" fontId="6" fillId="1" borderId="0" xfId="0" applyNumberFormat="1" applyFont="1" applyFill="1" applyBorder="1" applyAlignment="1">
      <alignment horizontal="center"/>
    </xf>
    <xf numFmtId="2" fontId="7" fillId="1" borderId="0" xfId="0" applyNumberFormat="1" applyFont="1" applyFill="1" applyBorder="1" applyAlignment="1">
      <alignment horizontal="center"/>
    </xf>
    <xf numFmtId="170" fontId="6" fillId="1" borderId="0" xfId="1" applyNumberFormat="1" applyFont="1" applyFill="1" applyBorder="1"/>
    <xf numFmtId="0" fontId="7" fillId="1" borderId="0" xfId="0" applyFont="1" applyFill="1" applyBorder="1" applyAlignment="1">
      <alignment horizontal="center"/>
    </xf>
    <xf numFmtId="170" fontId="8" fillId="0" borderId="16" xfId="1" applyNumberFormat="1" applyFont="1" applyBorder="1" applyAlignment="1">
      <alignment horizontal="center"/>
    </xf>
    <xf numFmtId="170" fontId="6" fillId="0" borderId="14" xfId="1" applyNumberFormat="1" applyFont="1" applyFill="1" applyBorder="1"/>
    <xf numFmtId="0" fontId="10" fillId="0" borderId="0" xfId="0" applyFont="1"/>
    <xf numFmtId="0" fontId="12" fillId="0" borderId="0" xfId="0" applyFont="1"/>
    <xf numFmtId="0" fontId="11" fillId="0" borderId="0" xfId="0" applyFont="1" applyAlignment="1">
      <alignment horizontal="center"/>
    </xf>
    <xf numFmtId="0" fontId="6" fillId="0" borderId="0" xfId="0" applyFont="1"/>
    <xf numFmtId="1" fontId="5" fillId="0" borderId="0" xfId="0" applyNumberFormat="1" applyFont="1"/>
    <xf numFmtId="166" fontId="5" fillId="0" borderId="0" xfId="0" applyNumberFormat="1" applyFont="1"/>
    <xf numFmtId="0" fontId="10" fillId="0" borderId="21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1" fontId="5" fillId="0" borderId="7" xfId="0" applyNumberFormat="1" applyFont="1" applyBorder="1"/>
    <xf numFmtId="166" fontId="5" fillId="0" borderId="8" xfId="0" applyNumberFormat="1" applyFont="1" applyBorder="1"/>
    <xf numFmtId="1" fontId="5" fillId="0" borderId="1" xfId="0" applyNumberFormat="1" applyFont="1" applyBorder="1"/>
    <xf numFmtId="166" fontId="5" fillId="0" borderId="18" xfId="0" applyNumberFormat="1" applyFont="1" applyBorder="1"/>
    <xf numFmtId="166" fontId="5" fillId="0" borderId="12" xfId="0" applyNumberFormat="1" applyFont="1" applyBorder="1"/>
    <xf numFmtId="1" fontId="5" fillId="0" borderId="8" xfId="0" applyNumberFormat="1" applyFont="1" applyBorder="1"/>
    <xf numFmtId="1" fontId="5" fillId="0" borderId="18" xfId="0" applyNumberFormat="1" applyFont="1" applyBorder="1"/>
    <xf numFmtId="0" fontId="5" fillId="0" borderId="0" xfId="0" applyFont="1" applyBorder="1"/>
    <xf numFmtId="2" fontId="13" fillId="0" borderId="0" xfId="0" applyNumberFormat="1" applyFont="1" applyFill="1" applyBorder="1" applyAlignment="1">
      <alignment horizontal="center"/>
    </xf>
    <xf numFmtId="1" fontId="8" fillId="0" borderId="0" xfId="0" applyNumberFormat="1" applyFont="1" applyFill="1" applyBorder="1" applyAlignment="1">
      <alignment horizontal="center"/>
    </xf>
    <xf numFmtId="0" fontId="5" fillId="0" borderId="0" xfId="0" applyFont="1" applyFill="1" applyBorder="1"/>
    <xf numFmtId="2" fontId="8" fillId="0" borderId="0" xfId="0" applyNumberFormat="1" applyFont="1" applyFill="1" applyBorder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9" fillId="0" borderId="0" xfId="0" applyFont="1" applyBorder="1"/>
    <xf numFmtId="0" fontId="20" fillId="0" borderId="0" xfId="0" applyFont="1" applyBorder="1" applyAlignment="1">
      <alignment horizontal="center"/>
    </xf>
    <xf numFmtId="166" fontId="8" fillId="0" borderId="0" xfId="0" applyNumberFormat="1" applyFont="1" applyFill="1" applyBorder="1" applyAlignment="1">
      <alignment horizontal="center"/>
    </xf>
    <xf numFmtId="0" fontId="8" fillId="0" borderId="0" xfId="0" applyFont="1"/>
    <xf numFmtId="0" fontId="8" fillId="0" borderId="0" xfId="0" applyFont="1" applyFill="1" applyBorder="1"/>
    <xf numFmtId="0" fontId="21" fillId="0" borderId="0" xfId="0" applyFont="1" applyFill="1" applyBorder="1"/>
    <xf numFmtId="0" fontId="22" fillId="0" borderId="0" xfId="0" applyFont="1" applyFill="1" applyBorder="1"/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/>
    <xf numFmtId="0" fontId="6" fillId="0" borderId="0" xfId="0" applyFont="1" applyFill="1" applyBorder="1" applyAlignment="1">
      <alignment horizontal="right"/>
    </xf>
    <xf numFmtId="0" fontId="6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right"/>
    </xf>
    <xf numFmtId="2" fontId="21" fillId="0" borderId="0" xfId="0" applyNumberFormat="1" applyFont="1" applyFill="1" applyBorder="1" applyAlignment="1">
      <alignment horizontal="center"/>
    </xf>
    <xf numFmtId="170" fontId="21" fillId="0" borderId="0" xfId="1" applyNumberFormat="1" applyFont="1" applyFill="1" applyBorder="1"/>
    <xf numFmtId="0" fontId="6" fillId="0" borderId="0" xfId="0" applyFont="1" applyFill="1" applyBorder="1" applyAlignment="1">
      <alignment horizontal="center"/>
    </xf>
    <xf numFmtId="15" fontId="6" fillId="0" borderId="0" xfId="0" quotePrefix="1" applyNumberFormat="1" applyFont="1" applyFill="1" applyBorder="1" applyAlignment="1">
      <alignment horizontal="center"/>
    </xf>
    <xf numFmtId="2" fontId="6" fillId="0" borderId="0" xfId="0" applyNumberFormat="1" applyFont="1" applyFill="1" applyBorder="1" applyAlignment="1">
      <alignment horizontal="center"/>
    </xf>
    <xf numFmtId="2" fontId="7" fillId="0" borderId="0" xfId="0" applyNumberFormat="1" applyFont="1" applyFill="1" applyBorder="1" applyAlignment="1">
      <alignment horizontal="center"/>
    </xf>
    <xf numFmtId="170" fontId="6" fillId="0" borderId="0" xfId="1" applyNumberFormat="1" applyFont="1" applyFill="1" applyBorder="1"/>
    <xf numFmtId="0" fontId="7" fillId="0" borderId="0" xfId="0" applyFont="1" applyFill="1" applyBorder="1" applyAlignment="1">
      <alignment horizontal="center"/>
    </xf>
    <xf numFmtId="170" fontId="7" fillId="0" borderId="0" xfId="1" applyNumberFormat="1" applyFont="1" applyFill="1" applyBorder="1"/>
    <xf numFmtId="170" fontId="21" fillId="0" borderId="0" xfId="1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2" fontId="21" fillId="0" borderId="0" xfId="0" applyNumberFormat="1" applyFont="1" applyFill="1" applyBorder="1" applyAlignment="1">
      <alignment horizontal="right"/>
    </xf>
    <xf numFmtId="2" fontId="21" fillId="0" borderId="0" xfId="0" applyNumberFormat="1" applyFont="1" applyFill="1" applyBorder="1"/>
    <xf numFmtId="170" fontId="6" fillId="0" borderId="0" xfId="1" applyNumberFormat="1" applyFont="1" applyFill="1" applyBorder="1" applyAlignment="1">
      <alignment horizontal="center"/>
    </xf>
    <xf numFmtId="15" fontId="6" fillId="0" borderId="0" xfId="0" applyNumberFormat="1" applyFont="1" applyFill="1" applyBorder="1" applyAlignment="1">
      <alignment horizontal="center"/>
    </xf>
    <xf numFmtId="2" fontId="6" fillId="0" borderId="0" xfId="0" applyNumberFormat="1" applyFont="1" applyFill="1" applyBorder="1"/>
    <xf numFmtId="1" fontId="6" fillId="0" borderId="0" xfId="0" applyNumberFormat="1" applyFont="1" applyFill="1" applyBorder="1" applyAlignment="1">
      <alignment horizontal="right"/>
    </xf>
    <xf numFmtId="2" fontId="6" fillId="0" borderId="0" xfId="0" applyNumberFormat="1" applyFont="1" applyFill="1" applyBorder="1" applyAlignment="1">
      <alignment horizontal="right"/>
    </xf>
    <xf numFmtId="0" fontId="15" fillId="0" borderId="0" xfId="0" quotePrefix="1" applyFont="1" applyFill="1" applyBorder="1"/>
    <xf numFmtId="0" fontId="23" fillId="0" borderId="0" xfId="0" applyFont="1" applyFill="1" applyBorder="1"/>
    <xf numFmtId="0" fontId="7" fillId="0" borderId="0" xfId="0" applyFont="1" applyFill="1" applyBorder="1"/>
    <xf numFmtId="0" fontId="15" fillId="0" borderId="0" xfId="0" applyFont="1" applyFill="1" applyBorder="1" applyAlignment="1">
      <alignment horizontal="center"/>
    </xf>
    <xf numFmtId="0" fontId="14" fillId="0" borderId="0" xfId="0" applyFont="1" applyFill="1" applyBorder="1"/>
    <xf numFmtId="0" fontId="7" fillId="0" borderId="0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left"/>
    </xf>
    <xf numFmtId="15" fontId="7" fillId="0" borderId="0" xfId="0" applyNumberFormat="1" applyFont="1" applyFill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1" fontId="15" fillId="0" borderId="0" xfId="0" applyNumberFormat="1" applyFont="1" applyFill="1" applyBorder="1" applyAlignment="1">
      <alignment horizontal="center"/>
    </xf>
    <xf numFmtId="15" fontId="24" fillId="0" borderId="0" xfId="0" applyNumberFormat="1" applyFont="1" applyFill="1" applyBorder="1" applyAlignment="1">
      <alignment horizontal="center"/>
    </xf>
    <xf numFmtId="0" fontId="24" fillId="0" borderId="0" xfId="0" applyFont="1" applyFill="1" applyBorder="1"/>
    <xf numFmtId="0" fontId="17" fillId="0" borderId="0" xfId="0" applyFont="1" applyFill="1" applyBorder="1"/>
    <xf numFmtId="2" fontId="16" fillId="0" borderId="0" xfId="0" applyNumberFormat="1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/>
    </xf>
    <xf numFmtId="0" fontId="14" fillId="0" borderId="0" xfId="0" applyFont="1" applyFill="1" applyBorder="1" applyAlignment="1">
      <alignment horizontal="center"/>
    </xf>
    <xf numFmtId="0" fontId="11" fillId="0" borderId="0" xfId="0" applyFont="1" applyFill="1" applyBorder="1"/>
    <xf numFmtId="0" fontId="6" fillId="0" borderId="1" xfId="0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6" fillId="0" borderId="34" xfId="0" applyFont="1" applyBorder="1"/>
    <xf numFmtId="170" fontId="6" fillId="0" borderId="16" xfId="1" applyNumberFormat="1" applyFont="1" applyBorder="1"/>
    <xf numFmtId="0" fontId="7" fillId="0" borderId="14" xfId="0" applyFont="1" applyFill="1" applyBorder="1" applyAlignment="1">
      <alignment horizontal="center"/>
    </xf>
    <xf numFmtId="15" fontId="6" fillId="0" borderId="37" xfId="0" quotePrefix="1" applyNumberFormat="1" applyFont="1" applyFill="1" applyBorder="1" applyAlignment="1">
      <alignment horizontal="center"/>
    </xf>
    <xf numFmtId="0" fontId="7" fillId="0" borderId="29" xfId="0" applyFont="1" applyFill="1" applyBorder="1" applyAlignment="1">
      <alignment horizontal="center"/>
    </xf>
    <xf numFmtId="0" fontId="5" fillId="0" borderId="0" xfId="0" applyFont="1" applyAlignment="1">
      <alignment horizontal="left"/>
    </xf>
    <xf numFmtId="2" fontId="5" fillId="0" borderId="0" xfId="0" applyNumberFormat="1" applyFont="1" applyAlignment="1">
      <alignment horizontal="centerContinuous"/>
    </xf>
    <xf numFmtId="0" fontId="5" fillId="0" borderId="0" xfId="0" applyFont="1" applyFill="1"/>
    <xf numFmtId="0" fontId="5" fillId="0" borderId="0" xfId="0" applyFont="1" applyFill="1" applyAlignment="1">
      <alignment horizontal="right"/>
    </xf>
    <xf numFmtId="0" fontId="5" fillId="0" borderId="0" xfId="0" applyFont="1" applyFill="1" applyAlignment="1">
      <alignment horizontal="left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5" xfId="0" applyFont="1" applyBorder="1"/>
    <xf numFmtId="165" fontId="13" fillId="0" borderId="4" xfId="0" quotePrefix="1" applyNumberFormat="1" applyFont="1" applyBorder="1" applyAlignment="1">
      <alignment horizontal="right"/>
    </xf>
    <xf numFmtId="0" fontId="13" fillId="0" borderId="4" xfId="0" quotePrefix="1" applyFont="1" applyBorder="1" applyAlignment="1">
      <alignment horizontal="right"/>
    </xf>
    <xf numFmtId="2" fontId="13" fillId="0" borderId="3" xfId="0" quotePrefix="1" applyNumberFormat="1" applyFont="1" applyBorder="1" applyAlignment="1">
      <alignment horizontal="right"/>
    </xf>
    <xf numFmtId="164" fontId="13" fillId="0" borderId="3" xfId="0" quotePrefix="1" applyNumberFormat="1" applyFont="1" applyBorder="1" applyAlignment="1">
      <alignment horizontal="right"/>
    </xf>
    <xf numFmtId="2" fontId="13" fillId="0" borderId="3" xfId="0" applyNumberFormat="1" applyFont="1" applyFill="1" applyBorder="1" applyAlignment="1">
      <alignment horizontal="right"/>
    </xf>
    <xf numFmtId="1" fontId="13" fillId="0" borderId="3" xfId="0" applyNumberFormat="1" applyFont="1" applyBorder="1" applyAlignment="1">
      <alignment horizontal="right"/>
    </xf>
    <xf numFmtId="164" fontId="13" fillId="0" borderId="3" xfId="0" applyNumberFormat="1" applyFont="1" applyBorder="1" applyAlignment="1">
      <alignment horizontal="right"/>
    </xf>
    <xf numFmtId="2" fontId="13" fillId="0" borderId="3" xfId="0" applyNumberFormat="1" applyFont="1" applyBorder="1" applyAlignment="1">
      <alignment horizontal="right"/>
    </xf>
    <xf numFmtId="1" fontId="13" fillId="0" borderId="3" xfId="1" applyNumberFormat="1" applyFont="1" applyBorder="1"/>
    <xf numFmtId="165" fontId="13" fillId="0" borderId="3" xfId="0" quotePrefix="1" applyNumberFormat="1" applyFont="1" applyBorder="1" applyAlignment="1">
      <alignment horizontal="right"/>
    </xf>
    <xf numFmtId="0" fontId="13" fillId="0" borderId="3" xfId="0" quotePrefix="1" applyFont="1" applyBorder="1" applyAlignment="1">
      <alignment horizontal="right"/>
    </xf>
    <xf numFmtId="2" fontId="13" fillId="0" borderId="4" xfId="0" quotePrefix="1" applyNumberFormat="1" applyFont="1" applyBorder="1" applyAlignment="1">
      <alignment horizontal="right"/>
    </xf>
    <xf numFmtId="164" fontId="13" fillId="0" borderId="4" xfId="0" quotePrefix="1" applyNumberFormat="1" applyFont="1" applyBorder="1" applyAlignment="1">
      <alignment horizontal="right"/>
    </xf>
    <xf numFmtId="2" fontId="13" fillId="0" borderId="4" xfId="0" applyNumberFormat="1" applyFont="1" applyBorder="1" applyAlignment="1">
      <alignment horizontal="right"/>
    </xf>
    <xf numFmtId="1" fontId="13" fillId="0" borderId="4" xfId="0" applyNumberFormat="1" applyFont="1" applyBorder="1" applyAlignment="1">
      <alignment horizontal="right"/>
    </xf>
    <xf numFmtId="164" fontId="13" fillId="0" borderId="4" xfId="0" applyNumberFormat="1" applyFont="1" applyBorder="1" applyAlignment="1">
      <alignment horizontal="right"/>
    </xf>
    <xf numFmtId="1" fontId="13" fillId="0" borderId="4" xfId="1" applyNumberFormat="1" applyFont="1" applyBorder="1"/>
    <xf numFmtId="2" fontId="5" fillId="0" borderId="0" xfId="0" applyNumberFormat="1" applyFont="1"/>
    <xf numFmtId="1" fontId="5" fillId="0" borderId="0" xfId="0" applyNumberFormat="1" applyFont="1" applyBorder="1"/>
    <xf numFmtId="166" fontId="5" fillId="0" borderId="0" xfId="0" applyNumberFormat="1" applyFont="1" applyBorder="1"/>
    <xf numFmtId="0" fontId="7" fillId="0" borderId="0" xfId="0" applyFont="1" applyBorder="1" applyAlignment="1">
      <alignment horizontal="right" vertical="top" wrapText="1"/>
    </xf>
    <xf numFmtId="0" fontId="9" fillId="0" borderId="11" xfId="0" applyFont="1" applyBorder="1" applyAlignment="1">
      <alignment horizontal="center"/>
    </xf>
    <xf numFmtId="0" fontId="5" fillId="0" borderId="7" xfId="0" applyFont="1" applyBorder="1"/>
    <xf numFmtId="0" fontId="5" fillId="0" borderId="8" xfId="0" applyFont="1" applyBorder="1"/>
    <xf numFmtId="0" fontId="5" fillId="0" borderId="1" xfId="0" applyFont="1" applyBorder="1"/>
    <xf numFmtId="167" fontId="5" fillId="0" borderId="0" xfId="0" applyNumberFormat="1" applyFont="1" applyBorder="1"/>
    <xf numFmtId="164" fontId="5" fillId="0" borderId="0" xfId="0" applyNumberFormat="1" applyFont="1" applyBorder="1"/>
    <xf numFmtId="166" fontId="5" fillId="0" borderId="1" xfId="0" applyNumberFormat="1" applyFont="1" applyBorder="1"/>
    <xf numFmtId="0" fontId="27" fillId="0" borderId="23" xfId="0" applyFont="1" applyFill="1" applyBorder="1" applyAlignment="1">
      <alignment horizontal="centerContinuous"/>
    </xf>
    <xf numFmtId="0" fontId="5" fillId="0" borderId="0" xfId="0" applyFont="1" applyFill="1" applyBorder="1" applyAlignment="1"/>
    <xf numFmtId="0" fontId="5" fillId="0" borderId="18" xfId="0" applyFont="1" applyBorder="1"/>
    <xf numFmtId="2" fontId="5" fillId="0" borderId="18" xfId="0" applyNumberFormat="1" applyFont="1" applyBorder="1"/>
    <xf numFmtId="0" fontId="5" fillId="0" borderId="11" xfId="0" applyFont="1" applyFill="1" applyBorder="1" applyAlignment="1"/>
    <xf numFmtId="166" fontId="5" fillId="0" borderId="9" xfId="0" applyNumberFormat="1" applyFont="1" applyBorder="1"/>
    <xf numFmtId="0" fontId="5" fillId="0" borderId="12" xfId="0" applyFont="1" applyBorder="1"/>
    <xf numFmtId="166" fontId="5" fillId="0" borderId="7" xfId="0" applyNumberFormat="1" applyFont="1" applyBorder="1"/>
    <xf numFmtId="0" fontId="27" fillId="0" borderId="23" xfId="0" applyFont="1" applyFill="1" applyBorder="1" applyAlignment="1">
      <alignment horizontal="center"/>
    </xf>
    <xf numFmtId="167" fontId="5" fillId="0" borderId="0" xfId="0" applyNumberFormat="1" applyFont="1"/>
    <xf numFmtId="164" fontId="5" fillId="0" borderId="0" xfId="0" applyNumberFormat="1" applyFont="1"/>
    <xf numFmtId="0" fontId="5" fillId="0" borderId="9" xfId="0" applyFont="1" applyBorder="1"/>
    <xf numFmtId="0" fontId="5" fillId="0" borderId="21" xfId="0" applyFont="1" applyBorder="1"/>
    <xf numFmtId="0" fontId="5" fillId="0" borderId="20" xfId="0" applyFont="1" applyBorder="1"/>
    <xf numFmtId="0" fontId="5" fillId="0" borderId="24" xfId="0" applyFont="1" applyBorder="1"/>
    <xf numFmtId="0" fontId="5" fillId="0" borderId="23" xfId="0" applyFont="1" applyFill="1" applyBorder="1" applyAlignment="1"/>
    <xf numFmtId="0" fontId="5" fillId="0" borderId="23" xfId="0" applyFont="1" applyBorder="1"/>
    <xf numFmtId="0" fontId="5" fillId="0" borderId="22" xfId="0" applyFont="1" applyBorder="1"/>
    <xf numFmtId="0" fontId="5" fillId="0" borderId="25" xfId="0" applyFont="1" applyBorder="1"/>
    <xf numFmtId="2" fontId="5" fillId="0" borderId="18" xfId="0" applyNumberFormat="1" applyFont="1" applyFill="1" applyBorder="1" applyAlignment="1"/>
    <xf numFmtId="166" fontId="5" fillId="0" borderId="26" xfId="0" applyNumberFormat="1" applyFont="1" applyBorder="1"/>
    <xf numFmtId="0" fontId="5" fillId="0" borderId="27" xfId="0" applyFont="1" applyBorder="1"/>
    <xf numFmtId="166" fontId="5" fillId="0" borderId="27" xfId="0" applyNumberFormat="1" applyFont="1" applyBorder="1"/>
    <xf numFmtId="0" fontId="5" fillId="0" borderId="28" xfId="0" applyFont="1" applyFill="1" applyBorder="1" applyAlignment="1"/>
    <xf numFmtId="166" fontId="5" fillId="0" borderId="10" xfId="0" applyNumberFormat="1" applyFont="1" applyBorder="1"/>
    <xf numFmtId="1" fontId="5" fillId="0" borderId="11" xfId="0" applyNumberFormat="1" applyFont="1" applyBorder="1"/>
    <xf numFmtId="0" fontId="5" fillId="0" borderId="11" xfId="0" applyFont="1" applyBorder="1"/>
    <xf numFmtId="0" fontId="5" fillId="0" borderId="12" xfId="0" applyFont="1" applyFill="1" applyBorder="1" applyAlignment="1"/>
    <xf numFmtId="171" fontId="5" fillId="0" borderId="0" xfId="0" applyNumberFormat="1" applyFont="1"/>
    <xf numFmtId="0" fontId="5" fillId="0" borderId="19" xfId="0" applyFont="1" applyBorder="1"/>
    <xf numFmtId="9" fontId="5" fillId="0" borderId="20" xfId="0" applyNumberFormat="1" applyFont="1" applyBorder="1"/>
    <xf numFmtId="168" fontId="5" fillId="0" borderId="0" xfId="0" applyNumberFormat="1" applyFont="1"/>
    <xf numFmtId="169" fontId="5" fillId="0" borderId="0" xfId="0" applyNumberFormat="1" applyFont="1"/>
    <xf numFmtId="11" fontId="5" fillId="0" borderId="0" xfId="0" applyNumberFormat="1" applyFont="1"/>
    <xf numFmtId="2" fontId="4" fillId="0" borderId="2" xfId="0" quotePrefix="1" applyNumberFormat="1" applyFont="1" applyBorder="1" applyAlignment="1">
      <alignment horizontal="center"/>
    </xf>
    <xf numFmtId="1" fontId="4" fillId="0" borderId="2" xfId="0" quotePrefix="1" applyNumberFormat="1" applyFont="1" applyBorder="1" applyAlignment="1">
      <alignment horizontal="center"/>
    </xf>
    <xf numFmtId="2" fontId="4" fillId="0" borderId="5" xfId="0" quotePrefix="1" applyNumberFormat="1" applyFont="1" applyBorder="1" applyAlignment="1">
      <alignment horizontal="center"/>
    </xf>
    <xf numFmtId="1" fontId="4" fillId="0" borderId="5" xfId="0" quotePrefix="1" applyNumberFormat="1" applyFont="1" applyBorder="1" applyAlignment="1">
      <alignment horizontal="center"/>
    </xf>
    <xf numFmtId="2" fontId="4" fillId="0" borderId="3" xfId="0" quotePrefix="1" applyNumberFormat="1" applyFont="1" applyBorder="1" applyAlignment="1">
      <alignment horizontal="center"/>
    </xf>
    <xf numFmtId="1" fontId="4" fillId="0" borderId="3" xfId="0" quotePrefix="1" applyNumberFormat="1" applyFont="1" applyBorder="1" applyAlignment="1">
      <alignment horizontal="center"/>
    </xf>
    <xf numFmtId="166" fontId="13" fillId="0" borderId="3" xfId="0" quotePrefix="1" applyNumberFormat="1" applyFont="1" applyBorder="1" applyAlignment="1">
      <alignment horizontal="right"/>
    </xf>
    <xf numFmtId="166" fontId="13" fillId="0" borderId="4" xfId="0" quotePrefix="1" applyNumberFormat="1" applyFont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26" fillId="0" borderId="0" xfId="0" applyFont="1" applyBorder="1" applyAlignment="1"/>
    <xf numFmtId="2" fontId="6" fillId="4" borderId="0" xfId="0" applyNumberFormat="1" applyFont="1" applyFill="1" applyBorder="1" applyAlignment="1">
      <alignment horizontal="center"/>
    </xf>
    <xf numFmtId="2" fontId="6" fillId="2" borderId="14" xfId="0" applyNumberFormat="1" applyFont="1" applyFill="1" applyBorder="1" applyAlignment="1">
      <alignment horizontal="center"/>
    </xf>
    <xf numFmtId="2" fontId="6" fillId="2" borderId="16" xfId="0" applyNumberFormat="1" applyFont="1" applyFill="1" applyBorder="1" applyAlignment="1">
      <alignment horizontal="center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right"/>
    </xf>
    <xf numFmtId="167" fontId="5" fillId="5" borderId="0" xfId="0" applyNumberFormat="1" applyFont="1" applyFill="1" applyBorder="1"/>
    <xf numFmtId="0" fontId="4" fillId="0" borderId="2" xfId="0" quotePrefix="1" applyFont="1" applyBorder="1" applyAlignment="1">
      <alignment horizontal="center" wrapText="1"/>
    </xf>
    <xf numFmtId="2" fontId="4" fillId="0" borderId="2" xfId="0" quotePrefix="1" applyNumberFormat="1" applyFont="1" applyBorder="1" applyAlignment="1">
      <alignment horizontal="center" wrapText="1"/>
    </xf>
    <xf numFmtId="1" fontId="4" fillId="0" borderId="2" xfId="0" quotePrefix="1" applyNumberFormat="1" applyFont="1" applyBorder="1" applyAlignment="1">
      <alignment horizontal="center" wrapText="1"/>
    </xf>
    <xf numFmtId="0" fontId="5" fillId="0" borderId="2" xfId="0" applyFont="1" applyBorder="1" applyAlignment="1">
      <alignment wrapText="1"/>
    </xf>
    <xf numFmtId="0" fontId="4" fillId="0" borderId="6" xfId="0" quotePrefix="1" applyFont="1" applyBorder="1" applyAlignment="1">
      <alignment horizontal="right"/>
    </xf>
    <xf numFmtId="2" fontId="4" fillId="0" borderId="6" xfId="0" quotePrefix="1" applyNumberFormat="1" applyFont="1" applyBorder="1" applyAlignment="1">
      <alignment horizontal="center"/>
    </xf>
    <xf numFmtId="1" fontId="4" fillId="0" borderId="6" xfId="0" quotePrefix="1" applyNumberFormat="1" applyFont="1" applyBorder="1" applyAlignment="1">
      <alignment horizontal="center"/>
    </xf>
    <xf numFmtId="0" fontId="4" fillId="0" borderId="39" xfId="0" applyFont="1" applyBorder="1"/>
    <xf numFmtId="164" fontId="4" fillId="0" borderId="40" xfId="0" applyNumberFormat="1" applyFont="1" applyBorder="1"/>
    <xf numFmtId="11" fontId="4" fillId="0" borderId="41" xfId="0" applyNumberFormat="1" applyFont="1" applyBorder="1"/>
    <xf numFmtId="0" fontId="4" fillId="0" borderId="38" xfId="0" applyFont="1" applyBorder="1"/>
    <xf numFmtId="2" fontId="4" fillId="0" borderId="17" xfId="0" applyNumberFormat="1" applyFont="1" applyBorder="1"/>
    <xf numFmtId="2" fontId="4" fillId="0" borderId="30" xfId="0" applyNumberFormat="1" applyFont="1" applyBorder="1"/>
    <xf numFmtId="0" fontId="5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2" fontId="6" fillId="0" borderId="14" xfId="0" quotePrefix="1" applyNumberFormat="1" applyFont="1" applyFill="1" applyBorder="1" applyAlignment="1">
      <alignment horizontal="center"/>
    </xf>
    <xf numFmtId="2" fontId="5" fillId="0" borderId="0" xfId="0" applyNumberFormat="1" applyFont="1" applyFill="1" applyBorder="1"/>
    <xf numFmtId="0" fontId="26" fillId="0" borderId="21" xfId="0" applyFont="1" applyBorder="1" applyAlignment="1">
      <alignment horizontal="center"/>
    </xf>
    <xf numFmtId="0" fontId="26" fillId="0" borderId="19" xfId="0" applyFont="1" applyBorder="1" applyAlignment="1">
      <alignment horizontal="center"/>
    </xf>
    <xf numFmtId="0" fontId="26" fillId="0" borderId="20" xfId="0" applyFont="1" applyBorder="1" applyAlignment="1">
      <alignment horizontal="center"/>
    </xf>
    <xf numFmtId="0" fontId="9" fillId="0" borderId="0" xfId="0" applyFont="1" applyBorder="1" applyAlignment="1">
      <alignment horizontal="center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9" defaultPivotStyle="PivotStyleLight16"/>
  <colors>
    <mruColors>
      <color rgb="FF0033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styles" Target="styles.xml"/><Relationship Id="rId5" Type="http://schemas.openxmlformats.org/officeDocument/2006/relationships/worksheet" Target="worksheets/sheet4.xml"/><Relationship Id="rId10" Type="http://schemas.openxmlformats.org/officeDocument/2006/relationships/theme" Target="theme/theme1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Results!$D$1</c:f>
          <c:strCache>
            <c:ptCount val="1"/>
            <c:pt idx="0">
              <c:v>EQA02 Fatigue test</c:v>
            </c:pt>
          </c:strCache>
        </c:strRef>
      </c:tx>
      <c:layout>
        <c:manualLayout>
          <c:xMode val="edge"/>
          <c:yMode val="edge"/>
          <c:x val="0.41916580489486566"/>
          <c:y val="1.5819209039548022E-2"/>
        </c:manualLayout>
      </c:layout>
      <c:overlay val="0"/>
      <c:spPr>
        <a:noFill/>
        <a:ln w="25400">
          <a:noFill/>
        </a:ln>
      </c:spPr>
      <c:txPr>
        <a:bodyPr/>
        <a:lstStyle/>
        <a:p>
          <a:pPr algn="ctr">
            <a:defRPr sz="1600" b="1"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2726645984143735E-2"/>
          <c:y val="7.0621468926553674E-2"/>
          <c:w val="0.87073422957601065"/>
          <c:h val="0.81016949152542372"/>
        </c:manualLayout>
      </c:layout>
      <c:scatterChart>
        <c:scatterStyle val="smoothMarker"/>
        <c:varyColors val="0"/>
        <c:ser>
          <c:idx val="1"/>
          <c:order val="0"/>
          <c:tx>
            <c:v>R = 0.10</c:v>
          </c:tx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Results!$A$23:$A$32</c:f>
              <c:numCache>
                <c:formatCode>0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36156</c:v>
                </c:pt>
                <c:pt idx="3">
                  <c:v>83871</c:v>
                </c:pt>
                <c:pt idx="4">
                  <c:v>130906</c:v>
                </c:pt>
                <c:pt idx="5">
                  <c:v>24379</c:v>
                </c:pt>
                <c:pt idx="6">
                  <c:v>0</c:v>
                </c:pt>
                <c:pt idx="7">
                  <c:v>0</c:v>
                </c:pt>
                <c:pt idx="8">
                  <c:v>255387</c:v>
                </c:pt>
                <c:pt idx="9">
                  <c:v>596316</c:v>
                </c:pt>
              </c:numCache>
            </c:numRef>
          </c:xVal>
          <c:yVal>
            <c:numRef>
              <c:f>Results!$B$23:$B$32</c:f>
              <c:numCache>
                <c:formatCode>0.000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0.9</c:v>
                </c:pt>
                <c:pt idx="4">
                  <c:v>0.8</c:v>
                </c:pt>
                <c:pt idx="5">
                  <c:v>1.1000000000000001</c:v>
                </c:pt>
                <c:pt idx="6">
                  <c:v>0</c:v>
                </c:pt>
                <c:pt idx="7">
                  <c:v>0</c:v>
                </c:pt>
                <c:pt idx="8">
                  <c:v>0.7</c:v>
                </c:pt>
                <c:pt idx="9">
                  <c:v>0.6</c:v>
                </c:pt>
              </c:numCache>
            </c:numRef>
          </c:yVal>
          <c:smooth val="1"/>
        </c:ser>
        <c:ser>
          <c:idx val="5"/>
          <c:order val="1"/>
          <c:tx>
            <c:v>R = 0.10 run out</c:v>
          </c:tx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Results!$A$33:$A$34</c:f>
              <c:numCache>
                <c:formatCode>General</c:formatCode>
                <c:ptCount val="2"/>
                <c:pt idx="0" formatCode="0">
                  <c:v>2500000</c:v>
                </c:pt>
              </c:numCache>
            </c:numRef>
          </c:xVal>
          <c:yVal>
            <c:numRef>
              <c:f>Results!$B$33:$B$34</c:f>
              <c:numCache>
                <c:formatCode>General</c:formatCode>
                <c:ptCount val="2"/>
                <c:pt idx="0" formatCode="0.000">
                  <c:v>0.55000000000000004</c:v>
                </c:pt>
              </c:numCache>
            </c:numRef>
          </c:yVal>
          <c:smooth val="1"/>
        </c:ser>
        <c:ser>
          <c:idx val="0"/>
          <c:order val="2"/>
          <c:tx>
            <c:v>50% Basquin line (S independent)</c:v>
          </c:tx>
          <c:spPr>
            <a:ln w="19050">
              <a:solidFill>
                <a:srgbClr val="0033CC"/>
              </a:solidFill>
            </a:ln>
          </c:spPr>
          <c:marker>
            <c:symbol val="none"/>
          </c:marker>
          <c:xVal>
            <c:numRef>
              <c:f>'ASTM E739 stat (Max Strain)'!$T$2:$T$102</c:f>
              <c:numCache>
                <c:formatCode>0</c:formatCode>
                <c:ptCount val="101"/>
                <c:pt idx="0">
                  <c:v>949204.58872766432</c:v>
                </c:pt>
                <c:pt idx="1">
                  <c:v>900669.51481261151</c:v>
                </c:pt>
                <c:pt idx="2">
                  <c:v>855058.20008068485</c:v>
                </c:pt>
                <c:pt idx="3">
                  <c:v>812168.39606178284</c:v>
                </c:pt>
                <c:pt idx="4">
                  <c:v>771813.61738360615</c:v>
                </c:pt>
                <c:pt idx="5">
                  <c:v>733821.77762807743</c:v>
                </c:pt>
                <c:pt idx="6">
                  <c:v>698033.95475664816</c:v>
                </c:pt>
                <c:pt idx="7">
                  <c:v>664303.27272413112</c:v>
                </c:pt>
                <c:pt idx="8">
                  <c:v>632493.88739136001</c:v>
                </c:pt>
                <c:pt idx="9">
                  <c:v>602480.06615955674</c:v>
                </c:pt>
                <c:pt idx="10">
                  <c:v>574145.35190667456</c:v>
                </c:pt>
                <c:pt idx="11">
                  <c:v>547381.8028275494</c:v>
                </c:pt>
                <c:pt idx="12">
                  <c:v>522089.30068254925</c:v>
                </c:pt>
                <c:pt idx="13">
                  <c:v>498174.92075812718</c:v>
                </c:pt>
                <c:pt idx="14">
                  <c:v>475552.35755025892</c:v>
                </c:pt>
                <c:pt idx="15">
                  <c:v>454141.40080907498</c:v>
                </c:pt>
                <c:pt idx="16">
                  <c:v>433867.45713989943</c:v>
                </c:pt>
                <c:pt idx="17">
                  <c:v>414661.11285075534</c:v>
                </c:pt>
                <c:pt idx="18">
                  <c:v>396457.73417664319</c:v>
                </c:pt>
                <c:pt idx="19">
                  <c:v>379197.10140284756</c:v>
                </c:pt>
                <c:pt idx="20">
                  <c:v>362823.0737589238</c:v>
                </c:pt>
                <c:pt idx="21">
                  <c:v>347283.28226678673</c:v>
                </c:pt>
                <c:pt idx="22">
                  <c:v>332528.84800470556</c:v>
                </c:pt>
                <c:pt idx="23">
                  <c:v>318514.12349792907</c:v>
                </c:pt>
                <c:pt idx="24">
                  <c:v>305196.45516935131</c:v>
                </c:pt>
                <c:pt idx="25">
                  <c:v>292535.96498311014</c:v>
                </c:pt>
                <c:pt idx="26">
                  <c:v>280495.34959280037</c:v>
                </c:pt>
                <c:pt idx="27">
                  <c:v>269039.69546641468</c:v>
                </c:pt>
                <c:pt idx="28">
                  <c:v>258136.3086042075</c:v>
                </c:pt>
                <c:pt idx="29">
                  <c:v>247754.55759515503</c:v>
                </c:pt>
                <c:pt idx="30">
                  <c:v>237865.72887417627</c:v>
                </c:pt>
                <c:pt idx="31">
                  <c:v>228442.89314715847</c:v>
                </c:pt>
                <c:pt idx="32">
                  <c:v>219460.78204531909</c:v>
                </c:pt>
                <c:pt idx="33">
                  <c:v>210895.67415566841</c:v>
                </c:pt>
                <c:pt idx="34">
                  <c:v>202725.28965123993</c:v>
                </c:pt>
                <c:pt idx="35">
                  <c:v>194928.6928142276</c:v>
                </c:pt>
                <c:pt idx="36">
                  <c:v>187486.20180796212</c:v>
                </c:pt>
                <c:pt idx="37">
                  <c:v>180379.30511046763</c:v>
                </c:pt>
                <c:pt idx="38">
                  <c:v>173590.58407376381</c:v>
                </c:pt>
                <c:pt idx="39">
                  <c:v>167103.64111966637</c:v>
                </c:pt>
                <c:pt idx="40">
                  <c:v>160903.03312508177</c:v>
                </c:pt>
                <c:pt idx="41">
                  <c:v>154974.20958811988</c:v>
                </c:pt>
                <c:pt idx="42">
                  <c:v>149303.45520113123</c:v>
                </c:pt>
                <c:pt idx="43">
                  <c:v>143877.83648840344</c:v>
                </c:pt>
                <c:pt idx="44">
                  <c:v>138685.15219498414</c:v>
                </c:pt>
                <c:pt idx="45">
                  <c:v>133713.88713924953</c:v>
                </c:pt>
                <c:pt idx="46">
                  <c:v>128953.16926565136</c:v>
                </c:pt>
                <c:pt idx="47">
                  <c:v>124392.7296557494</c:v>
                </c:pt>
                <c:pt idx="48">
                  <c:v>120022.86527542594</c:v>
                </c:pt>
                <c:pt idx="49">
                  <c:v>115834.40425419869</c:v>
                </c:pt>
                <c:pt idx="50">
                  <c:v>111818.67350902277</c:v>
                </c:pt>
                <c:pt idx="51">
                  <c:v>107967.46853999153</c:v>
                </c:pt>
                <c:pt idx="52">
                  <c:v>104273.02523910839</c:v>
                </c:pt>
                <c:pt idx="53">
                  <c:v>100727.99356584945</c:v>
                </c:pt>
                <c:pt idx="54">
                  <c:v>97325.41295473717</c:v>
                </c:pt>
                <c:pt idx="55">
                  <c:v>94058.689330679597</c:v>
                </c:pt>
                <c:pt idx="56">
                  <c:v>90921.573617462214</c:v>
                </c:pt>
                <c:pt idx="57">
                  <c:v>87908.141633625288</c:v>
                </c:pt>
                <c:pt idx="58">
                  <c:v>85012.775278058383</c:v>
                </c:pt>
                <c:pt idx="59">
                  <c:v>82230.144915091441</c:v>
                </c:pt>
                <c:pt idx="60">
                  <c:v>79555.192875679917</c:v>
                </c:pt>
                <c:pt idx="61">
                  <c:v>76983.117997566922</c:v>
                </c:pt>
                <c:pt idx="62">
                  <c:v>74509.361133059865</c:v>
                </c:pt>
                <c:pt idx="63">
                  <c:v>72129.591558374887</c:v>
                </c:pt>
                <c:pt idx="64">
                  <c:v>69839.694223368526</c:v>
                </c:pt>
                <c:pt idx="65">
                  <c:v>67635.757784979549</c:v>
                </c:pt>
                <c:pt idx="66">
                  <c:v>65514.063371833676</c:v>
                </c:pt>
                <c:pt idx="67">
                  <c:v>63471.074031280274</c:v>
                </c:pt>
                <c:pt idx="68">
                  <c:v>61503.424813642232</c:v>
                </c:pt>
                <c:pt idx="69">
                  <c:v>59607.91345170846</c:v>
                </c:pt>
                <c:pt idx="70">
                  <c:v>57781.491596482781</c:v>
                </c:pt>
                <c:pt idx="71">
                  <c:v>56021.256572975712</c:v>
                </c:pt>
                <c:pt idx="72">
                  <c:v>54324.443622368963</c:v>
                </c:pt>
                <c:pt idx="73">
                  <c:v>52688.418599248624</c:v>
                </c:pt>
                <c:pt idx="74">
                  <c:v>51110.671094780817</c:v>
                </c:pt>
                <c:pt idx="75">
                  <c:v>49588.807958723446</c:v>
                </c:pt>
                <c:pt idx="76">
                  <c:v>48120.547195032115</c:v>
                </c:pt>
                <c:pt idx="77">
                  <c:v>46703.712207552519</c:v>
                </c:pt>
                <c:pt idx="78">
                  <c:v>45336.226373887861</c:v>
                </c:pt>
                <c:pt idx="79">
                  <c:v>44016.107927018958</c:v>
                </c:pt>
                <c:pt idx="80">
                  <c:v>42741.465125627634</c:v>
                </c:pt>
                <c:pt idx="81">
                  <c:v>41510.491695353026</c:v>
                </c:pt>
                <c:pt idx="82">
                  <c:v>40321.462524391856</c:v>
                </c:pt>
                <c:pt idx="83">
                  <c:v>39172.729597957899</c:v>
                </c:pt>
                <c:pt idx="84">
                  <c:v>38062.718157132003</c:v>
                </c:pt>
                <c:pt idx="85">
                  <c:v>36989.923068585405</c:v>
                </c:pt>
                <c:pt idx="86">
                  <c:v>35952.905392542365</c:v>
                </c:pt>
                <c:pt idx="87">
                  <c:v>34950.289137164364</c:v>
                </c:pt>
                <c:pt idx="88">
                  <c:v>33980.758188303349</c:v>
                </c:pt>
                <c:pt idx="89">
                  <c:v>33043.053404280741</c:v>
                </c:pt>
                <c:pt idx="90">
                  <c:v>32135.969866010146</c:v>
                </c:pt>
                <c:pt idx="91">
                  <c:v>31258.354273394871</c:v>
                </c:pt>
                <c:pt idx="92">
                  <c:v>30409.102479507404</c:v>
                </c:pt>
                <c:pt idx="93">
                  <c:v>29587.157154591176</c:v>
                </c:pt>
                <c:pt idx="94">
                  <c:v>28791.505572420712</c:v>
                </c:pt>
                <c:pt idx="95">
                  <c:v>28021.177512025668</c:v>
                </c:pt>
                <c:pt idx="96">
                  <c:v>27275.243268213046</c:v>
                </c:pt>
                <c:pt idx="97">
                  <c:v>26552.811764728802</c:v>
                </c:pt>
                <c:pt idx="98">
                  <c:v>25853.028764277333</c:v>
                </c:pt>
                <c:pt idx="99">
                  <c:v>25175.075169970605</c:v>
                </c:pt>
                <c:pt idx="100">
                  <c:v>24518.165413106413</c:v>
                </c:pt>
              </c:numCache>
            </c:numRef>
          </c:xVal>
          <c:yVal>
            <c:numRef>
              <c:f>'ASTM E739 stat (Max Strain)'!$U$2:$U$102</c:f>
              <c:numCache>
                <c:formatCode>0.0</c:formatCode>
                <c:ptCount val="101"/>
                <c:pt idx="0">
                  <c:v>0.55000000000000004</c:v>
                </c:pt>
                <c:pt idx="1">
                  <c:v>0.55549999999999999</c:v>
                </c:pt>
                <c:pt idx="2">
                  <c:v>0.56100000000000005</c:v>
                </c:pt>
                <c:pt idx="3">
                  <c:v>0.5665</c:v>
                </c:pt>
                <c:pt idx="4">
                  <c:v>0.57200000000000006</c:v>
                </c:pt>
                <c:pt idx="5">
                  <c:v>0.57750000000000001</c:v>
                </c:pt>
                <c:pt idx="6">
                  <c:v>0.58300000000000007</c:v>
                </c:pt>
                <c:pt idx="7">
                  <c:v>0.58850000000000002</c:v>
                </c:pt>
                <c:pt idx="8">
                  <c:v>0.59400000000000008</c:v>
                </c:pt>
                <c:pt idx="9">
                  <c:v>0.59950000000000003</c:v>
                </c:pt>
                <c:pt idx="10">
                  <c:v>0.60500000000000009</c:v>
                </c:pt>
                <c:pt idx="11">
                  <c:v>0.61050000000000004</c:v>
                </c:pt>
                <c:pt idx="12">
                  <c:v>0.6160000000000001</c:v>
                </c:pt>
                <c:pt idx="13">
                  <c:v>0.62150000000000005</c:v>
                </c:pt>
                <c:pt idx="14">
                  <c:v>0.627</c:v>
                </c:pt>
                <c:pt idx="15">
                  <c:v>0.63250000000000006</c:v>
                </c:pt>
                <c:pt idx="16">
                  <c:v>0.63800000000000001</c:v>
                </c:pt>
                <c:pt idx="17">
                  <c:v>0.64350000000000007</c:v>
                </c:pt>
                <c:pt idx="18">
                  <c:v>0.64900000000000002</c:v>
                </c:pt>
                <c:pt idx="19">
                  <c:v>0.65450000000000008</c:v>
                </c:pt>
                <c:pt idx="20">
                  <c:v>0.66</c:v>
                </c:pt>
                <c:pt idx="21">
                  <c:v>0.66550000000000009</c:v>
                </c:pt>
                <c:pt idx="22">
                  <c:v>0.67100000000000004</c:v>
                </c:pt>
                <c:pt idx="23">
                  <c:v>0.6765000000000001</c:v>
                </c:pt>
                <c:pt idx="24">
                  <c:v>0.68199999999999994</c:v>
                </c:pt>
                <c:pt idx="25">
                  <c:v>0.6875</c:v>
                </c:pt>
                <c:pt idx="26">
                  <c:v>0.69300000000000006</c:v>
                </c:pt>
                <c:pt idx="27">
                  <c:v>0.69850000000000012</c:v>
                </c:pt>
                <c:pt idx="28">
                  <c:v>0.70400000000000007</c:v>
                </c:pt>
                <c:pt idx="29">
                  <c:v>0.70950000000000002</c:v>
                </c:pt>
                <c:pt idx="30">
                  <c:v>0.71500000000000008</c:v>
                </c:pt>
                <c:pt idx="31">
                  <c:v>0.72049999999999992</c:v>
                </c:pt>
                <c:pt idx="32">
                  <c:v>0.72600000000000009</c:v>
                </c:pt>
                <c:pt idx="33">
                  <c:v>0.73150000000000004</c:v>
                </c:pt>
                <c:pt idx="34">
                  <c:v>0.7370000000000001</c:v>
                </c:pt>
                <c:pt idx="35">
                  <c:v>0.74250000000000005</c:v>
                </c:pt>
                <c:pt idx="36">
                  <c:v>0.748</c:v>
                </c:pt>
                <c:pt idx="37">
                  <c:v>0.75350000000000006</c:v>
                </c:pt>
                <c:pt idx="38">
                  <c:v>0.75900000000000012</c:v>
                </c:pt>
                <c:pt idx="39">
                  <c:v>0.76450000000000007</c:v>
                </c:pt>
                <c:pt idx="40">
                  <c:v>0.77</c:v>
                </c:pt>
                <c:pt idx="41">
                  <c:v>0.77550000000000019</c:v>
                </c:pt>
                <c:pt idx="42">
                  <c:v>0.78100000000000003</c:v>
                </c:pt>
                <c:pt idx="43">
                  <c:v>0.78650000000000009</c:v>
                </c:pt>
                <c:pt idx="44">
                  <c:v>0.79200000000000004</c:v>
                </c:pt>
                <c:pt idx="45">
                  <c:v>0.7975000000000001</c:v>
                </c:pt>
                <c:pt idx="46">
                  <c:v>0.80300000000000005</c:v>
                </c:pt>
                <c:pt idx="47">
                  <c:v>0.8085</c:v>
                </c:pt>
                <c:pt idx="48">
                  <c:v>0.81400000000000006</c:v>
                </c:pt>
                <c:pt idx="49">
                  <c:v>0.81950000000000012</c:v>
                </c:pt>
                <c:pt idx="50">
                  <c:v>0.82500000000000018</c:v>
                </c:pt>
                <c:pt idx="51">
                  <c:v>0.83050000000000002</c:v>
                </c:pt>
                <c:pt idx="52">
                  <c:v>0.83600000000000019</c:v>
                </c:pt>
                <c:pt idx="53">
                  <c:v>0.84150000000000014</c:v>
                </c:pt>
                <c:pt idx="54">
                  <c:v>0.84699999999999998</c:v>
                </c:pt>
                <c:pt idx="55">
                  <c:v>0.85249999999999992</c:v>
                </c:pt>
                <c:pt idx="56">
                  <c:v>0.8580000000000001</c:v>
                </c:pt>
                <c:pt idx="57">
                  <c:v>0.86350000000000005</c:v>
                </c:pt>
                <c:pt idx="58">
                  <c:v>0.86899999999999999</c:v>
                </c:pt>
                <c:pt idx="59">
                  <c:v>0.87450000000000006</c:v>
                </c:pt>
                <c:pt idx="60">
                  <c:v>0.88000000000000012</c:v>
                </c:pt>
                <c:pt idx="61">
                  <c:v>0.88550000000000006</c:v>
                </c:pt>
                <c:pt idx="62">
                  <c:v>0.89100000000000001</c:v>
                </c:pt>
                <c:pt idx="63">
                  <c:v>0.89649999999999996</c:v>
                </c:pt>
                <c:pt idx="64">
                  <c:v>0.90200000000000014</c:v>
                </c:pt>
                <c:pt idx="65">
                  <c:v>0.90749999999999997</c:v>
                </c:pt>
                <c:pt idx="66">
                  <c:v>0.91299999999999992</c:v>
                </c:pt>
                <c:pt idx="67">
                  <c:v>0.91850000000000009</c:v>
                </c:pt>
                <c:pt idx="68">
                  <c:v>0.92400000000000015</c:v>
                </c:pt>
                <c:pt idx="69">
                  <c:v>0.92949999999999988</c:v>
                </c:pt>
                <c:pt idx="70">
                  <c:v>0.93499999999999994</c:v>
                </c:pt>
                <c:pt idx="71">
                  <c:v>0.94050000000000022</c:v>
                </c:pt>
                <c:pt idx="72">
                  <c:v>0.94600000000000006</c:v>
                </c:pt>
                <c:pt idx="73">
                  <c:v>0.95150000000000012</c:v>
                </c:pt>
                <c:pt idx="74">
                  <c:v>0.95700000000000007</c:v>
                </c:pt>
                <c:pt idx="75">
                  <c:v>0.96250000000000013</c:v>
                </c:pt>
                <c:pt idx="76">
                  <c:v>0.96800000000000008</c:v>
                </c:pt>
                <c:pt idx="77">
                  <c:v>0.97350000000000014</c:v>
                </c:pt>
                <c:pt idx="78">
                  <c:v>0.97900000000000009</c:v>
                </c:pt>
                <c:pt idx="79">
                  <c:v>0.98450000000000004</c:v>
                </c:pt>
                <c:pt idx="80">
                  <c:v>0.99</c:v>
                </c:pt>
                <c:pt idx="81">
                  <c:v>0.99549999999999994</c:v>
                </c:pt>
                <c:pt idx="82">
                  <c:v>1.0010000000000001</c:v>
                </c:pt>
                <c:pt idx="83">
                  <c:v>1.0065000000000002</c:v>
                </c:pt>
                <c:pt idx="84">
                  <c:v>1.012</c:v>
                </c:pt>
                <c:pt idx="85">
                  <c:v>1.0175000000000001</c:v>
                </c:pt>
                <c:pt idx="86">
                  <c:v>1.0230000000000001</c:v>
                </c:pt>
                <c:pt idx="87">
                  <c:v>1.0285000000000002</c:v>
                </c:pt>
                <c:pt idx="88">
                  <c:v>1.034</c:v>
                </c:pt>
                <c:pt idx="89">
                  <c:v>1.0395000000000001</c:v>
                </c:pt>
                <c:pt idx="90">
                  <c:v>1.0450000000000002</c:v>
                </c:pt>
                <c:pt idx="91">
                  <c:v>1.0505</c:v>
                </c:pt>
                <c:pt idx="92">
                  <c:v>1.056</c:v>
                </c:pt>
                <c:pt idx="93">
                  <c:v>1.0615000000000001</c:v>
                </c:pt>
                <c:pt idx="94">
                  <c:v>1.0670000000000002</c:v>
                </c:pt>
                <c:pt idx="95">
                  <c:v>1.0725000000000002</c:v>
                </c:pt>
                <c:pt idx="96">
                  <c:v>1.0780000000000001</c:v>
                </c:pt>
                <c:pt idx="97">
                  <c:v>1.0834999999999999</c:v>
                </c:pt>
                <c:pt idx="98">
                  <c:v>1.089</c:v>
                </c:pt>
                <c:pt idx="99">
                  <c:v>1.0945</c:v>
                </c:pt>
                <c:pt idx="100">
                  <c:v>1.1000000000000001</c:v>
                </c:pt>
              </c:numCache>
            </c:numRef>
          </c:yVal>
          <c:smooth val="1"/>
        </c:ser>
        <c:ser>
          <c:idx val="4"/>
          <c:order val="3"/>
          <c:tx>
            <c:v>Lower 95% confi.</c:v>
          </c:tx>
          <c:spPr>
            <a:ln w="19050">
              <a:solidFill>
                <a:srgbClr val="0070C0"/>
              </a:solidFill>
              <a:prstDash val="sysDash"/>
            </a:ln>
          </c:spPr>
          <c:marker>
            <c:symbol val="none"/>
          </c:marker>
          <c:xVal>
            <c:numRef>
              <c:f>'ASTM E739 stat (Max Strain)'!$V$2:$V$102</c:f>
              <c:numCache>
                <c:formatCode>0</c:formatCode>
                <c:ptCount val="101"/>
                <c:pt idx="0">
                  <c:v>663425.75039186433</c:v>
                </c:pt>
                <c:pt idx="1">
                  <c:v>633843.77253402176</c:v>
                </c:pt>
                <c:pt idx="2">
                  <c:v>605832.2200588315</c:v>
                </c:pt>
                <c:pt idx="3">
                  <c:v>579293.27774826507</c:v>
                </c:pt>
                <c:pt idx="4">
                  <c:v>554136.07360157208</c:v>
                </c:pt>
                <c:pt idx="5">
                  <c:v>530276.12538047286</c:v>
                </c:pt>
                <c:pt idx="6">
                  <c:v>507634.83600577549</c:v>
                </c:pt>
                <c:pt idx="7">
                  <c:v>486139.03309059649</c:v>
                </c:pt>
                <c:pt idx="8">
                  <c:v>465720.54839005729</c:v>
                </c:pt>
                <c:pt idx="9">
                  <c:v>446315.83338630066</c:v>
                </c:pt>
                <c:pt idx="10">
                  <c:v>427865.60761760175</c:v>
                </c:pt>
                <c:pt idx="11">
                  <c:v>410314.53670708486</c:v>
                </c:pt>
                <c:pt idx="12">
                  <c:v>393610.93735518446</c:v>
                </c:pt>
                <c:pt idx="13">
                  <c:v>377706.50683512667</c:v>
                </c:pt>
                <c:pt idx="14">
                  <c:v>362556.07477604877</c:v>
                </c:pt>
                <c:pt idx="15">
                  <c:v>348117.37523756875</c:v>
                </c:pt>
                <c:pt idx="16">
                  <c:v>334350.83727545186</c:v>
                </c:pt>
                <c:pt idx="17">
                  <c:v>321219.39237321209</c:v>
                </c:pt>
                <c:pt idx="18">
                  <c:v>308688.29727141396</c:v>
                </c:pt>
                <c:pt idx="19">
                  <c:v>296724.97086685919</c:v>
                </c:pt>
                <c:pt idx="20">
                  <c:v>285298.84397978277</c:v>
                </c:pt>
                <c:pt idx="21">
                  <c:v>274381.22090005066</c:v>
                </c:pt>
                <c:pt idx="22">
                  <c:v>263945.15172442101</c:v>
                </c:pt>
                <c:pt idx="23">
                  <c:v>253965.31458758129</c:v>
                </c:pt>
                <c:pt idx="24">
                  <c:v>244417.90697068966</c:v>
                </c:pt>
                <c:pt idx="25">
                  <c:v>235280.54534363252</c:v>
                </c:pt>
                <c:pt idx="26">
                  <c:v>226532.17246180269</c:v>
                </c:pt>
                <c:pt idx="27">
                  <c:v>218152.97169568628</c:v>
                </c:pt>
                <c:pt idx="28">
                  <c:v>210124.28782250977</c:v>
                </c:pt>
                <c:pt idx="29">
                  <c:v>202428.55375420814</c:v>
                </c:pt>
                <c:pt idx="30">
                  <c:v>195049.22271561073</c:v>
                </c:pt>
                <c:pt idx="31">
                  <c:v>187970.70542148259</c:v>
                </c:pt>
                <c:pt idx="32">
                  <c:v>181178.31183146883</c:v>
                </c:pt>
                <c:pt idx="33">
                  <c:v>174658.1970886612</c:v>
                </c:pt>
                <c:pt idx="34">
                  <c:v>168397.31127100837</c:v>
                </c:pt>
                <c:pt idx="35">
                  <c:v>162383.35260583114</c:v>
                </c:pt>
                <c:pt idx="36">
                  <c:v>156604.72381700421</c:v>
                </c:pt>
                <c:pt idx="37">
                  <c:v>151050.49129273233</c:v>
                </c:pt>
                <c:pt idx="38">
                  <c:v>145710.34678006329</c:v>
                </c:pt>
                <c:pt idx="39">
                  <c:v>140574.57133119827</c:v>
                </c:pt>
                <c:pt idx="40">
                  <c:v>135634.00124701572</c:v>
                </c:pt>
                <c:pt idx="41">
                  <c:v>130879.99578563828</c:v>
                </c:pt>
                <c:pt idx="42">
                  <c:v>126304.40642877869</c:v>
                </c:pt>
                <c:pt idx="43">
                  <c:v>121899.54752616456</c:v>
                </c:pt>
                <c:pt idx="44">
                  <c:v>117658.16816835238</c:v>
                </c:pt>
                <c:pt idx="45">
                  <c:v>113573.42517017547</c:v>
                </c:pt>
                <c:pt idx="46">
                  <c:v>109638.85708000307</c:v>
                </c:pt>
                <c:pt idx="47">
                  <c:v>105848.35916266598</c:v>
                </c:pt>
                <c:pt idx="48">
                  <c:v>102196.15933491157</c:v>
                </c:pt>
                <c:pt idx="49">
                  <c:v>98676.795059989759</c:v>
                </c:pt>
                <c:pt idx="50">
                  <c:v>95285.09123100304</c:v>
                </c:pt>
                <c:pt idx="51">
                  <c:v>92016.139089726712</c:v>
                </c:pt>
                <c:pt idx="52">
                  <c:v>88865.276237895887</c:v>
                </c:pt>
                <c:pt idx="53">
                  <c:v>85828.067801093624</c:v>
                </c:pt>
                <c:pt idx="54">
                  <c:v>82900.288801578179</c:v>
                </c:pt>
                <c:pt idx="55">
                  <c:v>80077.907786376483</c:v>
                </c:pt>
                <c:pt idx="56">
                  <c:v>77357.071741902066</c:v>
                </c:pt>
                <c:pt idx="57">
                  <c:v>74734.092307735249</c:v>
                </c:pt>
                <c:pt idx="58">
                  <c:v>72205.433281623787</c:v>
                </c:pt>
                <c:pt idx="59">
                  <c:v>69767.699386892069</c:v>
                </c:pt>
                <c:pt idx="60">
                  <c:v>67417.626253702416</c:v>
                </c:pt>
                <c:pt idx="61">
                  <c:v>65152.071548232161</c:v>
                </c:pt>
                <c:pt idx="62">
                  <c:v>62968.00716963163</c:v>
                </c:pt>
                <c:pt idx="63">
                  <c:v>60862.512424156135</c:v>
                </c:pt>
                <c:pt idx="64">
                  <c:v>58832.768079232606</c:v>
                </c:pt>
                <c:pt idx="65">
                  <c:v>56876.051197339584</c:v>
                </c:pt>
                <c:pt idx="66">
                  <c:v>54989.730650060199</c:v>
                </c:pt>
                <c:pt idx="67">
                  <c:v>53171.263216010666</c:v>
                </c:pt>
                <c:pt idx="68">
                  <c:v>51418.19017195933</c:v>
                </c:pt>
                <c:pt idx="69">
                  <c:v>49728.134293720577</c:v>
                </c:pt>
                <c:pt idx="70">
                  <c:v>48098.797191738588</c:v>
                </c:pt>
                <c:pt idx="71">
                  <c:v>46527.956915159317</c:v>
                </c:pt>
                <c:pt idx="72">
                  <c:v>45013.465767175461</c:v>
                </c:pt>
                <c:pt idx="73">
                  <c:v>43553.248283159264</c:v>
                </c:pt>
                <c:pt idx="74">
                  <c:v>42145.299331338887</c:v>
                </c:pt>
                <c:pt idx="75">
                  <c:v>40787.682303309266</c:v>
                </c:pt>
                <c:pt idx="76">
                  <c:v>39478.527368426287</c:v>
                </c:pt>
                <c:pt idx="77">
                  <c:v>38216.029772050104</c:v>
                </c:pt>
                <c:pt idx="78">
                  <c:v>36998.448162674395</c:v>
                </c:pt>
                <c:pt idx="79">
                  <c:v>35824.102937258584</c:v>
                </c:pt>
                <c:pt idx="80">
                  <c:v>34691.374597595801</c:v>
                </c:pt>
                <c:pt idx="81">
                  <c:v>33598.702113401094</c:v>
                </c:pt>
                <c:pt idx="82">
                  <c:v>32544.5812900481</c:v>
                </c:pt>
                <c:pt idx="83">
                  <c:v>31527.563140612143</c:v>
                </c:pt>
                <c:pt idx="84">
                  <c:v>30546.252263160233</c:v>
                </c:pt>
                <c:pt idx="85">
                  <c:v>29599.305225146847</c:v>
                </c:pt>
                <c:pt idx="86">
                  <c:v>28685.428957385742</c:v>
                </c:pt>
                <c:pt idx="87">
                  <c:v>27803.379160435747</c:v>
                </c:pt>
                <c:pt idx="88">
                  <c:v>26951.958726414712</c:v>
                </c:pt>
                <c:pt idx="89">
                  <c:v>26130.016179280814</c:v>
                </c:pt>
                <c:pt idx="90">
                  <c:v>25336.444136534512</c:v>
                </c:pt>
                <c:pt idx="91">
                  <c:v>24570.177795127278</c:v>
                </c:pt>
                <c:pt idx="92">
                  <c:v>23830.193444138586</c:v>
                </c:pt>
                <c:pt idx="93">
                  <c:v>23115.507006523017</c:v>
                </c:pt>
                <c:pt idx="94">
                  <c:v>22425.172611949671</c:v>
                </c:pt>
                <c:pt idx="95">
                  <c:v>21758.281202467497</c:v>
                </c:pt>
                <c:pt idx="96">
                  <c:v>21113.959172444531</c:v>
                </c:pt>
                <c:pt idx="97">
                  <c:v>20491.367043951268</c:v>
                </c:pt>
                <c:pt idx="98">
                  <c:v>19889.698178493891</c:v>
                </c:pt>
                <c:pt idx="99">
                  <c:v>19308.177525757648</c:v>
                </c:pt>
                <c:pt idx="100">
                  <c:v>18746.06040979012</c:v>
                </c:pt>
              </c:numCache>
            </c:numRef>
          </c:xVal>
          <c:yVal>
            <c:numRef>
              <c:f>'ASTM E739 stat (Max Strain)'!$W$2:$W$102</c:f>
              <c:numCache>
                <c:formatCode>0.0</c:formatCode>
                <c:ptCount val="101"/>
                <c:pt idx="0">
                  <c:v>0.55000000000000004</c:v>
                </c:pt>
                <c:pt idx="1">
                  <c:v>0.55549999999999999</c:v>
                </c:pt>
                <c:pt idx="2">
                  <c:v>0.56100000000000005</c:v>
                </c:pt>
                <c:pt idx="3">
                  <c:v>0.5665</c:v>
                </c:pt>
                <c:pt idx="4">
                  <c:v>0.57200000000000006</c:v>
                </c:pt>
                <c:pt idx="5">
                  <c:v>0.57750000000000001</c:v>
                </c:pt>
                <c:pt idx="6">
                  <c:v>0.58300000000000007</c:v>
                </c:pt>
                <c:pt idx="7">
                  <c:v>0.58850000000000002</c:v>
                </c:pt>
                <c:pt idx="8">
                  <c:v>0.59400000000000008</c:v>
                </c:pt>
                <c:pt idx="9">
                  <c:v>0.59950000000000003</c:v>
                </c:pt>
                <c:pt idx="10">
                  <c:v>0.60500000000000009</c:v>
                </c:pt>
                <c:pt idx="11">
                  <c:v>0.61050000000000004</c:v>
                </c:pt>
                <c:pt idx="12">
                  <c:v>0.6160000000000001</c:v>
                </c:pt>
                <c:pt idx="13">
                  <c:v>0.62150000000000005</c:v>
                </c:pt>
                <c:pt idx="14">
                  <c:v>0.627</c:v>
                </c:pt>
                <c:pt idx="15">
                  <c:v>0.63250000000000006</c:v>
                </c:pt>
                <c:pt idx="16">
                  <c:v>0.63800000000000001</c:v>
                </c:pt>
                <c:pt idx="17">
                  <c:v>0.64350000000000007</c:v>
                </c:pt>
                <c:pt idx="18">
                  <c:v>0.64900000000000002</c:v>
                </c:pt>
                <c:pt idx="19">
                  <c:v>0.65450000000000008</c:v>
                </c:pt>
                <c:pt idx="20">
                  <c:v>0.66</c:v>
                </c:pt>
                <c:pt idx="21">
                  <c:v>0.66550000000000009</c:v>
                </c:pt>
                <c:pt idx="22">
                  <c:v>0.67100000000000004</c:v>
                </c:pt>
                <c:pt idx="23">
                  <c:v>0.6765000000000001</c:v>
                </c:pt>
                <c:pt idx="24">
                  <c:v>0.68199999999999994</c:v>
                </c:pt>
                <c:pt idx="25">
                  <c:v>0.6875</c:v>
                </c:pt>
                <c:pt idx="26">
                  <c:v>0.69300000000000006</c:v>
                </c:pt>
                <c:pt idx="27">
                  <c:v>0.69850000000000012</c:v>
                </c:pt>
                <c:pt idx="28">
                  <c:v>0.70400000000000007</c:v>
                </c:pt>
                <c:pt idx="29">
                  <c:v>0.70950000000000002</c:v>
                </c:pt>
                <c:pt idx="30">
                  <c:v>0.71500000000000008</c:v>
                </c:pt>
                <c:pt idx="31">
                  <c:v>0.72049999999999992</c:v>
                </c:pt>
                <c:pt idx="32">
                  <c:v>0.72600000000000009</c:v>
                </c:pt>
                <c:pt idx="33">
                  <c:v>0.73150000000000004</c:v>
                </c:pt>
                <c:pt idx="34">
                  <c:v>0.7370000000000001</c:v>
                </c:pt>
                <c:pt idx="35">
                  <c:v>0.74250000000000005</c:v>
                </c:pt>
                <c:pt idx="36">
                  <c:v>0.748</c:v>
                </c:pt>
                <c:pt idx="37">
                  <c:v>0.75350000000000006</c:v>
                </c:pt>
                <c:pt idx="38">
                  <c:v>0.75900000000000012</c:v>
                </c:pt>
                <c:pt idx="39">
                  <c:v>0.76450000000000007</c:v>
                </c:pt>
                <c:pt idx="40">
                  <c:v>0.77</c:v>
                </c:pt>
                <c:pt idx="41">
                  <c:v>0.77550000000000019</c:v>
                </c:pt>
                <c:pt idx="42">
                  <c:v>0.78100000000000003</c:v>
                </c:pt>
                <c:pt idx="43">
                  <c:v>0.78650000000000009</c:v>
                </c:pt>
                <c:pt idx="44">
                  <c:v>0.79200000000000004</c:v>
                </c:pt>
                <c:pt idx="45">
                  <c:v>0.7975000000000001</c:v>
                </c:pt>
                <c:pt idx="46">
                  <c:v>0.80300000000000005</c:v>
                </c:pt>
                <c:pt idx="47">
                  <c:v>0.8085</c:v>
                </c:pt>
                <c:pt idx="48">
                  <c:v>0.81400000000000006</c:v>
                </c:pt>
                <c:pt idx="49">
                  <c:v>0.81950000000000012</c:v>
                </c:pt>
                <c:pt idx="50">
                  <c:v>0.82500000000000018</c:v>
                </c:pt>
                <c:pt idx="51">
                  <c:v>0.83050000000000002</c:v>
                </c:pt>
                <c:pt idx="52">
                  <c:v>0.83600000000000019</c:v>
                </c:pt>
                <c:pt idx="53">
                  <c:v>0.84150000000000014</c:v>
                </c:pt>
                <c:pt idx="54">
                  <c:v>0.84699999999999998</c:v>
                </c:pt>
                <c:pt idx="55">
                  <c:v>0.85249999999999992</c:v>
                </c:pt>
                <c:pt idx="56">
                  <c:v>0.8580000000000001</c:v>
                </c:pt>
                <c:pt idx="57">
                  <c:v>0.86350000000000005</c:v>
                </c:pt>
                <c:pt idx="58">
                  <c:v>0.86899999999999999</c:v>
                </c:pt>
                <c:pt idx="59">
                  <c:v>0.87450000000000006</c:v>
                </c:pt>
                <c:pt idx="60">
                  <c:v>0.88000000000000012</c:v>
                </c:pt>
                <c:pt idx="61">
                  <c:v>0.88550000000000006</c:v>
                </c:pt>
                <c:pt idx="62">
                  <c:v>0.89100000000000001</c:v>
                </c:pt>
                <c:pt idx="63">
                  <c:v>0.89649999999999996</c:v>
                </c:pt>
                <c:pt idx="64">
                  <c:v>0.90200000000000014</c:v>
                </c:pt>
                <c:pt idx="65">
                  <c:v>0.90749999999999997</c:v>
                </c:pt>
                <c:pt idx="66">
                  <c:v>0.91299999999999992</c:v>
                </c:pt>
                <c:pt idx="67">
                  <c:v>0.91850000000000009</c:v>
                </c:pt>
                <c:pt idx="68">
                  <c:v>0.92400000000000015</c:v>
                </c:pt>
                <c:pt idx="69">
                  <c:v>0.92949999999999988</c:v>
                </c:pt>
                <c:pt idx="70">
                  <c:v>0.93499999999999994</c:v>
                </c:pt>
                <c:pt idx="71">
                  <c:v>0.94050000000000022</c:v>
                </c:pt>
                <c:pt idx="72">
                  <c:v>0.94600000000000006</c:v>
                </c:pt>
                <c:pt idx="73">
                  <c:v>0.95150000000000012</c:v>
                </c:pt>
                <c:pt idx="74">
                  <c:v>0.95700000000000007</c:v>
                </c:pt>
                <c:pt idx="75">
                  <c:v>0.96250000000000013</c:v>
                </c:pt>
                <c:pt idx="76">
                  <c:v>0.96800000000000008</c:v>
                </c:pt>
                <c:pt idx="77">
                  <c:v>0.97350000000000014</c:v>
                </c:pt>
                <c:pt idx="78">
                  <c:v>0.97900000000000009</c:v>
                </c:pt>
                <c:pt idx="79">
                  <c:v>0.98450000000000004</c:v>
                </c:pt>
                <c:pt idx="80">
                  <c:v>0.99</c:v>
                </c:pt>
                <c:pt idx="81">
                  <c:v>0.99549999999999994</c:v>
                </c:pt>
                <c:pt idx="82">
                  <c:v>1.0010000000000001</c:v>
                </c:pt>
                <c:pt idx="83">
                  <c:v>1.0065000000000002</c:v>
                </c:pt>
                <c:pt idx="84">
                  <c:v>1.012</c:v>
                </c:pt>
                <c:pt idx="85">
                  <c:v>1.0175000000000001</c:v>
                </c:pt>
                <c:pt idx="86">
                  <c:v>1.0230000000000001</c:v>
                </c:pt>
                <c:pt idx="87">
                  <c:v>1.0285000000000002</c:v>
                </c:pt>
                <c:pt idx="88">
                  <c:v>1.034</c:v>
                </c:pt>
                <c:pt idx="89">
                  <c:v>1.0395000000000001</c:v>
                </c:pt>
                <c:pt idx="90">
                  <c:v>1.0450000000000002</c:v>
                </c:pt>
                <c:pt idx="91">
                  <c:v>1.0505</c:v>
                </c:pt>
                <c:pt idx="92">
                  <c:v>1.056</c:v>
                </c:pt>
                <c:pt idx="93">
                  <c:v>1.0615000000000001</c:v>
                </c:pt>
                <c:pt idx="94">
                  <c:v>1.0670000000000002</c:v>
                </c:pt>
                <c:pt idx="95">
                  <c:v>1.0725000000000002</c:v>
                </c:pt>
                <c:pt idx="96">
                  <c:v>1.0780000000000001</c:v>
                </c:pt>
                <c:pt idx="97">
                  <c:v>1.0834999999999999</c:v>
                </c:pt>
                <c:pt idx="98">
                  <c:v>1.089</c:v>
                </c:pt>
                <c:pt idx="99">
                  <c:v>1.0945</c:v>
                </c:pt>
                <c:pt idx="100">
                  <c:v>1.1000000000000001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8904064"/>
        <c:axId val="368914432"/>
      </c:scatterChart>
      <c:valAx>
        <c:axId val="368904064"/>
        <c:scaling>
          <c:logBase val="10"/>
          <c:orientation val="minMax"/>
          <c:max val="10000000"/>
          <c:min val="10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Number of cycles to faliure</a:t>
                </a:r>
              </a:p>
            </c:rich>
          </c:tx>
          <c:layout>
            <c:manualLayout>
              <c:xMode val="edge"/>
              <c:yMode val="edge"/>
              <c:x val="0.39193381592555487"/>
              <c:y val="0.9474576271186441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368914432"/>
        <c:crosses val="autoZero"/>
        <c:crossBetween val="midCat"/>
      </c:valAx>
      <c:valAx>
        <c:axId val="368914432"/>
        <c:scaling>
          <c:orientation val="minMax"/>
          <c:max val="1.6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Max Strain (%)</a:t>
                </a:r>
              </a:p>
            </c:rich>
          </c:tx>
          <c:layout>
            <c:manualLayout>
              <c:xMode val="edge"/>
              <c:yMode val="edge"/>
              <c:x val="1.0341261633919601E-3"/>
              <c:y val="0.36949152542372876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368904064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egendEntry>
        <c:idx val="1"/>
        <c:txPr>
          <a:bodyPr/>
          <a:lstStyle/>
          <a:p>
            <a:pPr>
              <a:defRPr>
                <a:latin typeface="+mn-lt"/>
              </a:defRPr>
            </a:pPr>
            <a:endParaRPr lang="en-US"/>
          </a:p>
        </c:txPr>
      </c:legendEntry>
      <c:layout>
        <c:manualLayout>
          <c:xMode val="edge"/>
          <c:yMode val="edge"/>
          <c:x val="0.76008273009307414"/>
          <c:y val="8.8700564971751744E-2"/>
          <c:w val="0.23937268441238024"/>
          <c:h val="0.2451920459095155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>
              <a:latin typeface="+mn-lt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+mn-lt"/>
          <a:ea typeface="Arial"/>
          <a:cs typeface="Arial"/>
        </a:defRPr>
      </a:pPr>
      <a:endParaRPr lang="en-US"/>
    </a:p>
  </c:txPr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Results!$D$1</c:f>
          <c:strCache>
            <c:ptCount val="1"/>
            <c:pt idx="0">
              <c:v>EQA02 Fatigue test</c:v>
            </c:pt>
          </c:strCache>
        </c:strRef>
      </c:tx>
      <c:layout>
        <c:manualLayout>
          <c:xMode val="edge"/>
          <c:yMode val="edge"/>
          <c:x val="0.42605997931747913"/>
          <c:y val="1.5819209039548022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600" b="1"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832471561530524E-2"/>
          <c:y val="8.6440677966101193E-2"/>
          <c:w val="0.87073422957601065"/>
          <c:h val="0.81016949152542372"/>
        </c:manualLayout>
      </c:layout>
      <c:scatterChart>
        <c:scatterStyle val="smoothMarker"/>
        <c:varyColors val="0"/>
        <c:ser>
          <c:idx val="1"/>
          <c:order val="0"/>
          <c:tx>
            <c:v>R = 0.10</c:v>
          </c:tx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Results!$C$23:$C$31</c:f>
              <c:numCache>
                <c:formatCode>0</c:formatCode>
                <c:ptCount val="9"/>
                <c:pt idx="0">
                  <c:v>1</c:v>
                </c:pt>
                <c:pt idx="1">
                  <c:v>1</c:v>
                </c:pt>
                <c:pt idx="2">
                  <c:v>36156</c:v>
                </c:pt>
                <c:pt idx="3">
                  <c:v>83871</c:v>
                </c:pt>
                <c:pt idx="4">
                  <c:v>130906</c:v>
                </c:pt>
                <c:pt idx="5">
                  <c:v>24379</c:v>
                </c:pt>
                <c:pt idx="6">
                  <c:v>0</c:v>
                </c:pt>
                <c:pt idx="7">
                  <c:v>0</c:v>
                </c:pt>
                <c:pt idx="8">
                  <c:v>255387</c:v>
                </c:pt>
              </c:numCache>
            </c:numRef>
          </c:xVal>
          <c:yVal>
            <c:numRef>
              <c:f>Results!$D$23:$D$30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0.9</c:v>
                </c:pt>
                <c:pt idx="3">
                  <c:v>0.81</c:v>
                </c:pt>
                <c:pt idx="4">
                  <c:v>0.72000000000000008</c:v>
                </c:pt>
                <c:pt idx="5">
                  <c:v>0.9900000000000001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</c:ser>
        <c:ser>
          <c:idx val="5"/>
          <c:order val="1"/>
          <c:tx>
            <c:v>R = 0.10 run out</c:v>
          </c:tx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Results!$A$33:$A$34</c:f>
              <c:numCache>
                <c:formatCode>General</c:formatCode>
                <c:ptCount val="2"/>
                <c:pt idx="0" formatCode="0">
                  <c:v>2500000</c:v>
                </c:pt>
              </c:numCache>
            </c:numRef>
          </c:xVal>
          <c:yVal>
            <c:numRef>
              <c:f>Results!$B$33:$B$34</c:f>
              <c:numCache>
                <c:formatCode>General</c:formatCode>
                <c:ptCount val="2"/>
                <c:pt idx="0" formatCode="0.000">
                  <c:v>0.55000000000000004</c:v>
                </c:pt>
              </c:numCache>
            </c:numRef>
          </c:yVal>
          <c:smooth val="1"/>
        </c:ser>
        <c:ser>
          <c:idx val="0"/>
          <c:order val="2"/>
          <c:tx>
            <c:v>50% Basquin line (S independent)</c:v>
          </c:tx>
          <c:spPr>
            <a:ln w="19050">
              <a:solidFill>
                <a:srgbClr val="0033CC"/>
              </a:solidFill>
            </a:ln>
          </c:spPr>
          <c:marker>
            <c:symbol val="none"/>
          </c:marker>
          <c:xVal>
            <c:numRef>
              <c:f>'ASTM E739 stat (Strain Range)'!$T$2:$T$102</c:f>
              <c:numCache>
                <c:formatCode>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xVal>
          <c:yVal>
            <c:numRef>
              <c:f>'ASTM E739 stat (Strain Range)'!$U$2:$U$102</c:f>
              <c:numCache>
                <c:formatCode>0.0</c:formatCode>
                <c:ptCount val="101"/>
                <c:pt idx="0">
                  <c:v>0.81</c:v>
                </c:pt>
                <c:pt idx="1">
                  <c:v>0.81090000000000007</c:v>
                </c:pt>
                <c:pt idx="2">
                  <c:v>0.81180000000000019</c:v>
                </c:pt>
                <c:pt idx="3">
                  <c:v>0.81270000000000009</c:v>
                </c:pt>
                <c:pt idx="4">
                  <c:v>0.81359999999999999</c:v>
                </c:pt>
                <c:pt idx="5">
                  <c:v>0.8145</c:v>
                </c:pt>
                <c:pt idx="6">
                  <c:v>0.81540000000000001</c:v>
                </c:pt>
                <c:pt idx="7">
                  <c:v>0.81630000000000003</c:v>
                </c:pt>
                <c:pt idx="8">
                  <c:v>0.81720000000000004</c:v>
                </c:pt>
                <c:pt idx="9">
                  <c:v>0.81810000000000005</c:v>
                </c:pt>
                <c:pt idx="10">
                  <c:v>0.81900000000000006</c:v>
                </c:pt>
                <c:pt idx="11">
                  <c:v>0.81990000000000007</c:v>
                </c:pt>
                <c:pt idx="12">
                  <c:v>0.82079999999999997</c:v>
                </c:pt>
                <c:pt idx="13">
                  <c:v>0.8217000000000001</c:v>
                </c:pt>
                <c:pt idx="14">
                  <c:v>0.8226</c:v>
                </c:pt>
                <c:pt idx="15">
                  <c:v>0.82350000000000012</c:v>
                </c:pt>
                <c:pt idx="16">
                  <c:v>0.82440000000000002</c:v>
                </c:pt>
                <c:pt idx="17">
                  <c:v>0.82530000000000003</c:v>
                </c:pt>
                <c:pt idx="18">
                  <c:v>0.82620000000000005</c:v>
                </c:pt>
                <c:pt idx="19">
                  <c:v>0.82709999999999995</c:v>
                </c:pt>
                <c:pt idx="20">
                  <c:v>0.82799999999999996</c:v>
                </c:pt>
                <c:pt idx="21">
                  <c:v>0.82890000000000019</c:v>
                </c:pt>
                <c:pt idx="22">
                  <c:v>0.82980000000000009</c:v>
                </c:pt>
                <c:pt idx="23">
                  <c:v>0.83069999999999999</c:v>
                </c:pt>
                <c:pt idx="24">
                  <c:v>0.83160000000000001</c:v>
                </c:pt>
                <c:pt idx="25">
                  <c:v>0.83250000000000002</c:v>
                </c:pt>
                <c:pt idx="26">
                  <c:v>0.83340000000000003</c:v>
                </c:pt>
                <c:pt idx="27">
                  <c:v>0.83430000000000004</c:v>
                </c:pt>
                <c:pt idx="28">
                  <c:v>0.83520000000000005</c:v>
                </c:pt>
                <c:pt idx="29">
                  <c:v>0.83610000000000018</c:v>
                </c:pt>
                <c:pt idx="30">
                  <c:v>0.83700000000000008</c:v>
                </c:pt>
                <c:pt idx="31">
                  <c:v>0.83789999999999998</c:v>
                </c:pt>
                <c:pt idx="32">
                  <c:v>0.83879999999999999</c:v>
                </c:pt>
                <c:pt idx="33">
                  <c:v>0.83969999999999989</c:v>
                </c:pt>
                <c:pt idx="34">
                  <c:v>0.84060000000000001</c:v>
                </c:pt>
                <c:pt idx="35">
                  <c:v>0.84150000000000003</c:v>
                </c:pt>
                <c:pt idx="36">
                  <c:v>0.84240000000000004</c:v>
                </c:pt>
                <c:pt idx="37">
                  <c:v>0.84330000000000005</c:v>
                </c:pt>
                <c:pt idx="38">
                  <c:v>0.84419999999999995</c:v>
                </c:pt>
                <c:pt idx="39">
                  <c:v>0.84510000000000007</c:v>
                </c:pt>
                <c:pt idx="40">
                  <c:v>0.84600000000000009</c:v>
                </c:pt>
                <c:pt idx="41">
                  <c:v>0.84689999999999999</c:v>
                </c:pt>
                <c:pt idx="42">
                  <c:v>0.8478</c:v>
                </c:pt>
                <c:pt idx="43">
                  <c:v>0.8486999999999999</c:v>
                </c:pt>
                <c:pt idx="44">
                  <c:v>0.84959999999999991</c:v>
                </c:pt>
                <c:pt idx="45">
                  <c:v>0.85050000000000003</c:v>
                </c:pt>
                <c:pt idx="46">
                  <c:v>0.85140000000000005</c:v>
                </c:pt>
                <c:pt idx="47">
                  <c:v>0.85230000000000017</c:v>
                </c:pt>
                <c:pt idx="48">
                  <c:v>0.85320000000000007</c:v>
                </c:pt>
                <c:pt idx="49">
                  <c:v>0.85409999999999997</c:v>
                </c:pt>
                <c:pt idx="50">
                  <c:v>0.85500000000000009</c:v>
                </c:pt>
                <c:pt idx="51">
                  <c:v>0.85589999999999999</c:v>
                </c:pt>
                <c:pt idx="52">
                  <c:v>0.8567999999999999</c:v>
                </c:pt>
                <c:pt idx="53">
                  <c:v>0.85770000000000002</c:v>
                </c:pt>
                <c:pt idx="54">
                  <c:v>0.85860000000000003</c:v>
                </c:pt>
                <c:pt idx="55">
                  <c:v>0.85950000000000004</c:v>
                </c:pt>
                <c:pt idx="56">
                  <c:v>0.86040000000000005</c:v>
                </c:pt>
                <c:pt idx="57">
                  <c:v>0.86130000000000007</c:v>
                </c:pt>
                <c:pt idx="58">
                  <c:v>0.86220000000000008</c:v>
                </c:pt>
                <c:pt idx="59">
                  <c:v>0.86309999999999998</c:v>
                </c:pt>
                <c:pt idx="60">
                  <c:v>0.86399999999999999</c:v>
                </c:pt>
                <c:pt idx="61">
                  <c:v>0.86489999999999989</c:v>
                </c:pt>
                <c:pt idx="62">
                  <c:v>0.86580000000000001</c:v>
                </c:pt>
                <c:pt idx="63">
                  <c:v>0.86670000000000003</c:v>
                </c:pt>
                <c:pt idx="64">
                  <c:v>0.86760000000000004</c:v>
                </c:pt>
                <c:pt idx="65">
                  <c:v>0.86850000000000005</c:v>
                </c:pt>
                <c:pt idx="66">
                  <c:v>0.86940000000000017</c:v>
                </c:pt>
                <c:pt idx="67">
                  <c:v>0.87030000000000007</c:v>
                </c:pt>
                <c:pt idx="68">
                  <c:v>0.87119999999999986</c:v>
                </c:pt>
                <c:pt idx="69">
                  <c:v>0.87209999999999988</c:v>
                </c:pt>
                <c:pt idx="70">
                  <c:v>0.87300000000000011</c:v>
                </c:pt>
                <c:pt idx="71">
                  <c:v>0.87390000000000001</c:v>
                </c:pt>
                <c:pt idx="72">
                  <c:v>0.87479999999999991</c:v>
                </c:pt>
                <c:pt idx="73">
                  <c:v>0.87570000000000003</c:v>
                </c:pt>
                <c:pt idx="74">
                  <c:v>0.87660000000000005</c:v>
                </c:pt>
                <c:pt idx="75">
                  <c:v>0.87749999999999995</c:v>
                </c:pt>
                <c:pt idx="76">
                  <c:v>0.87840000000000007</c:v>
                </c:pt>
                <c:pt idx="77">
                  <c:v>0.87929999999999997</c:v>
                </c:pt>
                <c:pt idx="78">
                  <c:v>0.88019999999999998</c:v>
                </c:pt>
                <c:pt idx="79">
                  <c:v>0.88110000000000011</c:v>
                </c:pt>
                <c:pt idx="80">
                  <c:v>0.88200000000000001</c:v>
                </c:pt>
                <c:pt idx="81">
                  <c:v>0.88289999999999991</c:v>
                </c:pt>
                <c:pt idx="82">
                  <c:v>0.88380000000000003</c:v>
                </c:pt>
                <c:pt idx="83">
                  <c:v>0.88470000000000004</c:v>
                </c:pt>
                <c:pt idx="84">
                  <c:v>0.88560000000000005</c:v>
                </c:pt>
                <c:pt idx="85">
                  <c:v>0.88650000000000007</c:v>
                </c:pt>
                <c:pt idx="86">
                  <c:v>0.88740000000000008</c:v>
                </c:pt>
                <c:pt idx="87">
                  <c:v>0.88829999999999998</c:v>
                </c:pt>
                <c:pt idx="88">
                  <c:v>0.88919999999999999</c:v>
                </c:pt>
                <c:pt idx="89">
                  <c:v>0.89009999999999989</c:v>
                </c:pt>
                <c:pt idx="90">
                  <c:v>0.89100000000000001</c:v>
                </c:pt>
                <c:pt idx="91">
                  <c:v>0.89190000000000003</c:v>
                </c:pt>
                <c:pt idx="92">
                  <c:v>0.89280000000000004</c:v>
                </c:pt>
                <c:pt idx="93">
                  <c:v>0.89369999999999994</c:v>
                </c:pt>
                <c:pt idx="94">
                  <c:v>0.89459999999999995</c:v>
                </c:pt>
                <c:pt idx="95">
                  <c:v>0.89550000000000007</c:v>
                </c:pt>
                <c:pt idx="96">
                  <c:v>0.89640000000000009</c:v>
                </c:pt>
                <c:pt idx="97">
                  <c:v>0.89729999999999988</c:v>
                </c:pt>
                <c:pt idx="98">
                  <c:v>0.8982</c:v>
                </c:pt>
                <c:pt idx="99">
                  <c:v>0.8990999999999999</c:v>
                </c:pt>
                <c:pt idx="100">
                  <c:v>0.89999999999999991</c:v>
                </c:pt>
              </c:numCache>
            </c:numRef>
          </c:yVal>
          <c:smooth val="1"/>
        </c:ser>
        <c:ser>
          <c:idx val="4"/>
          <c:order val="3"/>
          <c:tx>
            <c:v>Lower 95% confi.</c:v>
          </c:tx>
          <c:spPr>
            <a:ln w="19050">
              <a:solidFill>
                <a:srgbClr val="0070C0"/>
              </a:solidFill>
              <a:prstDash val="sysDash"/>
            </a:ln>
          </c:spPr>
          <c:marker>
            <c:symbol val="none"/>
          </c:marker>
          <c:xVal>
            <c:numRef>
              <c:f>'ASTM E739 stat (Strain Range)'!$V$2:$V$102</c:f>
              <c:numCache>
                <c:formatCode>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xVal>
          <c:yVal>
            <c:numRef>
              <c:f>'ASTM E739 stat (Strain Range)'!$W$2:$W$102</c:f>
              <c:numCache>
                <c:formatCode>0.0</c:formatCode>
                <c:ptCount val="101"/>
                <c:pt idx="0">
                  <c:v>0.81</c:v>
                </c:pt>
                <c:pt idx="1">
                  <c:v>0.81090000000000007</c:v>
                </c:pt>
                <c:pt idx="2">
                  <c:v>0.81180000000000019</c:v>
                </c:pt>
                <c:pt idx="3">
                  <c:v>0.81270000000000009</c:v>
                </c:pt>
                <c:pt idx="4">
                  <c:v>0.81359999999999999</c:v>
                </c:pt>
                <c:pt idx="5">
                  <c:v>0.8145</c:v>
                </c:pt>
                <c:pt idx="6">
                  <c:v>0.81540000000000001</c:v>
                </c:pt>
                <c:pt idx="7">
                  <c:v>0.81630000000000003</c:v>
                </c:pt>
                <c:pt idx="8">
                  <c:v>0.81720000000000004</c:v>
                </c:pt>
                <c:pt idx="9">
                  <c:v>0.81810000000000005</c:v>
                </c:pt>
                <c:pt idx="10">
                  <c:v>0.81900000000000006</c:v>
                </c:pt>
                <c:pt idx="11">
                  <c:v>0.81990000000000007</c:v>
                </c:pt>
                <c:pt idx="12">
                  <c:v>0.82079999999999997</c:v>
                </c:pt>
                <c:pt idx="13">
                  <c:v>0.8217000000000001</c:v>
                </c:pt>
                <c:pt idx="14">
                  <c:v>0.8226</c:v>
                </c:pt>
                <c:pt idx="15">
                  <c:v>0.82350000000000012</c:v>
                </c:pt>
                <c:pt idx="16">
                  <c:v>0.82440000000000002</c:v>
                </c:pt>
                <c:pt idx="17">
                  <c:v>0.82530000000000003</c:v>
                </c:pt>
                <c:pt idx="18">
                  <c:v>0.82620000000000005</c:v>
                </c:pt>
                <c:pt idx="19">
                  <c:v>0.82709999999999995</c:v>
                </c:pt>
                <c:pt idx="20">
                  <c:v>0.82799999999999996</c:v>
                </c:pt>
                <c:pt idx="21">
                  <c:v>0.82890000000000019</c:v>
                </c:pt>
                <c:pt idx="22">
                  <c:v>0.82980000000000009</c:v>
                </c:pt>
                <c:pt idx="23">
                  <c:v>0.83069999999999999</c:v>
                </c:pt>
                <c:pt idx="24">
                  <c:v>0.83160000000000001</c:v>
                </c:pt>
                <c:pt idx="25">
                  <c:v>0.83250000000000002</c:v>
                </c:pt>
                <c:pt idx="26">
                  <c:v>0.83340000000000003</c:v>
                </c:pt>
                <c:pt idx="27">
                  <c:v>0.83430000000000004</c:v>
                </c:pt>
                <c:pt idx="28">
                  <c:v>0.83520000000000005</c:v>
                </c:pt>
                <c:pt idx="29">
                  <c:v>0.83610000000000018</c:v>
                </c:pt>
                <c:pt idx="30">
                  <c:v>0.83700000000000008</c:v>
                </c:pt>
                <c:pt idx="31">
                  <c:v>0.83789999999999998</c:v>
                </c:pt>
                <c:pt idx="32">
                  <c:v>0.83879999999999999</c:v>
                </c:pt>
                <c:pt idx="33">
                  <c:v>0.83969999999999989</c:v>
                </c:pt>
                <c:pt idx="34">
                  <c:v>0.84060000000000001</c:v>
                </c:pt>
                <c:pt idx="35">
                  <c:v>0.84150000000000003</c:v>
                </c:pt>
                <c:pt idx="36">
                  <c:v>0.84240000000000004</c:v>
                </c:pt>
                <c:pt idx="37">
                  <c:v>0.84330000000000005</c:v>
                </c:pt>
                <c:pt idx="38">
                  <c:v>0.84419999999999995</c:v>
                </c:pt>
                <c:pt idx="39">
                  <c:v>0.84510000000000007</c:v>
                </c:pt>
                <c:pt idx="40">
                  <c:v>0.84600000000000009</c:v>
                </c:pt>
                <c:pt idx="41">
                  <c:v>0.84689999999999999</c:v>
                </c:pt>
                <c:pt idx="42">
                  <c:v>0.8478</c:v>
                </c:pt>
                <c:pt idx="43">
                  <c:v>0.8486999999999999</c:v>
                </c:pt>
                <c:pt idx="44">
                  <c:v>0.84959999999999991</c:v>
                </c:pt>
                <c:pt idx="45">
                  <c:v>0.85050000000000003</c:v>
                </c:pt>
                <c:pt idx="46">
                  <c:v>0.85140000000000005</c:v>
                </c:pt>
                <c:pt idx="47">
                  <c:v>0.85230000000000017</c:v>
                </c:pt>
                <c:pt idx="48">
                  <c:v>0.85320000000000007</c:v>
                </c:pt>
                <c:pt idx="49">
                  <c:v>0.85409999999999997</c:v>
                </c:pt>
                <c:pt idx="50">
                  <c:v>0.85500000000000009</c:v>
                </c:pt>
                <c:pt idx="51">
                  <c:v>0.85589999999999999</c:v>
                </c:pt>
                <c:pt idx="52">
                  <c:v>0.8567999999999999</c:v>
                </c:pt>
                <c:pt idx="53">
                  <c:v>0.85770000000000002</c:v>
                </c:pt>
                <c:pt idx="54">
                  <c:v>0.85860000000000003</c:v>
                </c:pt>
                <c:pt idx="55">
                  <c:v>0.85950000000000004</c:v>
                </c:pt>
                <c:pt idx="56">
                  <c:v>0.86040000000000005</c:v>
                </c:pt>
                <c:pt idx="57">
                  <c:v>0.86130000000000007</c:v>
                </c:pt>
                <c:pt idx="58">
                  <c:v>0.86220000000000008</c:v>
                </c:pt>
                <c:pt idx="59">
                  <c:v>0.86309999999999998</c:v>
                </c:pt>
                <c:pt idx="60">
                  <c:v>0.86399999999999999</c:v>
                </c:pt>
                <c:pt idx="61">
                  <c:v>0.86489999999999989</c:v>
                </c:pt>
                <c:pt idx="62">
                  <c:v>0.86580000000000001</c:v>
                </c:pt>
                <c:pt idx="63">
                  <c:v>0.86670000000000003</c:v>
                </c:pt>
                <c:pt idx="64">
                  <c:v>0.86760000000000004</c:v>
                </c:pt>
                <c:pt idx="65">
                  <c:v>0.86850000000000005</c:v>
                </c:pt>
                <c:pt idx="66">
                  <c:v>0.86940000000000017</c:v>
                </c:pt>
                <c:pt idx="67">
                  <c:v>0.87030000000000007</c:v>
                </c:pt>
                <c:pt idx="68">
                  <c:v>0.87119999999999986</c:v>
                </c:pt>
                <c:pt idx="69">
                  <c:v>0.87209999999999988</c:v>
                </c:pt>
                <c:pt idx="70">
                  <c:v>0.87300000000000011</c:v>
                </c:pt>
                <c:pt idx="71">
                  <c:v>0.87390000000000001</c:v>
                </c:pt>
                <c:pt idx="72">
                  <c:v>0.87479999999999991</c:v>
                </c:pt>
                <c:pt idx="73">
                  <c:v>0.87570000000000003</c:v>
                </c:pt>
                <c:pt idx="74">
                  <c:v>0.87660000000000005</c:v>
                </c:pt>
                <c:pt idx="75">
                  <c:v>0.87749999999999995</c:v>
                </c:pt>
                <c:pt idx="76">
                  <c:v>0.87840000000000007</c:v>
                </c:pt>
                <c:pt idx="77">
                  <c:v>0.87929999999999997</c:v>
                </c:pt>
                <c:pt idx="78">
                  <c:v>0.88019999999999998</c:v>
                </c:pt>
                <c:pt idx="79">
                  <c:v>0.88110000000000011</c:v>
                </c:pt>
                <c:pt idx="80">
                  <c:v>0.88200000000000001</c:v>
                </c:pt>
                <c:pt idx="81">
                  <c:v>0.88289999999999991</c:v>
                </c:pt>
                <c:pt idx="82">
                  <c:v>0.88380000000000003</c:v>
                </c:pt>
                <c:pt idx="83">
                  <c:v>0.88470000000000004</c:v>
                </c:pt>
                <c:pt idx="84">
                  <c:v>0.88560000000000005</c:v>
                </c:pt>
                <c:pt idx="85">
                  <c:v>0.88650000000000007</c:v>
                </c:pt>
                <c:pt idx="86">
                  <c:v>0.88740000000000008</c:v>
                </c:pt>
                <c:pt idx="87">
                  <c:v>0.88829999999999998</c:v>
                </c:pt>
                <c:pt idx="88">
                  <c:v>0.88919999999999999</c:v>
                </c:pt>
                <c:pt idx="89">
                  <c:v>0.89009999999999989</c:v>
                </c:pt>
                <c:pt idx="90">
                  <c:v>0.89100000000000001</c:v>
                </c:pt>
                <c:pt idx="91">
                  <c:v>0.89190000000000003</c:v>
                </c:pt>
                <c:pt idx="92">
                  <c:v>0.89280000000000004</c:v>
                </c:pt>
                <c:pt idx="93">
                  <c:v>0.89369999999999994</c:v>
                </c:pt>
                <c:pt idx="94">
                  <c:v>0.89459999999999995</c:v>
                </c:pt>
                <c:pt idx="95">
                  <c:v>0.89550000000000007</c:v>
                </c:pt>
                <c:pt idx="96">
                  <c:v>0.89640000000000009</c:v>
                </c:pt>
                <c:pt idx="97">
                  <c:v>0.89729999999999988</c:v>
                </c:pt>
                <c:pt idx="98">
                  <c:v>0.8982</c:v>
                </c:pt>
                <c:pt idx="99">
                  <c:v>0.8990999999999999</c:v>
                </c:pt>
                <c:pt idx="100">
                  <c:v>0.89999999999999991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9070080"/>
        <c:axId val="369072000"/>
      </c:scatterChart>
      <c:valAx>
        <c:axId val="369070080"/>
        <c:scaling>
          <c:logBase val="10"/>
          <c:orientation val="minMax"/>
          <c:max val="10000000"/>
          <c:min val="10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Number of cycles to faliure</a:t>
                </a:r>
              </a:p>
            </c:rich>
          </c:tx>
          <c:layout>
            <c:manualLayout>
              <c:xMode val="edge"/>
              <c:yMode val="edge"/>
              <c:x val="0.39193381592555493"/>
              <c:y val="0.9474576271186441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369072000"/>
        <c:crosses val="autoZero"/>
        <c:crossBetween val="midCat"/>
      </c:valAx>
      <c:valAx>
        <c:axId val="369072000"/>
        <c:scaling>
          <c:orientation val="minMax"/>
          <c:max val="1.6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Strain Range (%)</a:t>
                </a:r>
              </a:p>
            </c:rich>
          </c:tx>
          <c:layout>
            <c:manualLayout>
              <c:xMode val="edge"/>
              <c:yMode val="edge"/>
              <c:x val="1.0341261633919601E-3"/>
              <c:y val="0.36949152542372876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369070080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egendEntry>
        <c:idx val="1"/>
        <c:txPr>
          <a:bodyPr/>
          <a:lstStyle/>
          <a:p>
            <a:pPr>
              <a:defRPr>
                <a:latin typeface="+mn-lt"/>
              </a:defRPr>
            </a:pPr>
            <a:endParaRPr lang="en-US"/>
          </a:p>
        </c:txPr>
      </c:legendEntry>
      <c:layout>
        <c:manualLayout>
          <c:xMode val="edge"/>
          <c:yMode val="edge"/>
          <c:x val="0.75594622543950674"/>
          <c:y val="8.644067796610122E-2"/>
          <c:w val="0.23937268441238024"/>
          <c:h val="0.2451920459095155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>
              <a:latin typeface="+mn-lt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+mn-lt"/>
          <a:ea typeface="Arial"/>
          <a:cs typeface="Arial"/>
        </a:defRPr>
      </a:pPr>
      <a:endParaRPr lang="en-US"/>
    </a:p>
  </c:txPr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Results!$D$1</c:f>
          <c:strCache>
            <c:ptCount val="1"/>
            <c:pt idx="0">
              <c:v>EQA02 Fatigue test</c:v>
            </c:pt>
          </c:strCache>
        </c:strRef>
      </c:tx>
      <c:layout>
        <c:manualLayout>
          <c:xMode val="edge"/>
          <c:yMode val="edge"/>
          <c:x val="0.4260599793174793"/>
          <c:y val="1.5819209039548022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600" b="1"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453636677007934E-2"/>
          <c:y val="8.4180790960452265E-2"/>
          <c:w val="0.87073422957601065"/>
          <c:h val="0.81016949152542372"/>
        </c:manualLayout>
      </c:layout>
      <c:scatterChart>
        <c:scatterStyle val="smoothMarker"/>
        <c:varyColors val="0"/>
        <c:ser>
          <c:idx val="1"/>
          <c:order val="0"/>
          <c:tx>
            <c:v>R = 0.10</c:v>
          </c:tx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Results!$E$23:$E$31</c:f>
              <c:numCache>
                <c:formatCode>0</c:formatCode>
                <c:ptCount val="9"/>
                <c:pt idx="0">
                  <c:v>1</c:v>
                </c:pt>
                <c:pt idx="1">
                  <c:v>1</c:v>
                </c:pt>
                <c:pt idx="2">
                  <c:v>36156</c:v>
                </c:pt>
                <c:pt idx="3">
                  <c:v>83871</c:v>
                </c:pt>
                <c:pt idx="4">
                  <c:v>130906</c:v>
                </c:pt>
                <c:pt idx="5">
                  <c:v>24379</c:v>
                </c:pt>
                <c:pt idx="6">
                  <c:v>0</c:v>
                </c:pt>
                <c:pt idx="7">
                  <c:v>0</c:v>
                </c:pt>
                <c:pt idx="8">
                  <c:v>255387</c:v>
                </c:pt>
              </c:numCache>
            </c:numRef>
          </c:xVal>
          <c:yVal>
            <c:numRef>
              <c:f>Results!$F$23:$F$30</c:f>
              <c:numCache>
                <c:formatCode>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</c:ser>
        <c:ser>
          <c:idx val="5"/>
          <c:order val="1"/>
          <c:tx>
            <c:v>R = 0.10 run out</c:v>
          </c:tx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Results!$A$33:$A$34</c:f>
              <c:numCache>
                <c:formatCode>General</c:formatCode>
                <c:ptCount val="2"/>
                <c:pt idx="0" formatCode="0">
                  <c:v>2500000</c:v>
                </c:pt>
              </c:numCache>
            </c:numRef>
          </c:xVal>
          <c:yVal>
            <c:numRef>
              <c:f>Results!$B$33:$B$34</c:f>
              <c:numCache>
                <c:formatCode>General</c:formatCode>
                <c:ptCount val="2"/>
                <c:pt idx="0" formatCode="0.000">
                  <c:v>0.55000000000000004</c:v>
                </c:pt>
              </c:numCache>
            </c:numRef>
          </c:yVal>
          <c:smooth val="1"/>
        </c:ser>
        <c:ser>
          <c:idx val="0"/>
          <c:order val="2"/>
          <c:tx>
            <c:v>50% Basquin line (S independent)</c:v>
          </c:tx>
          <c:spPr>
            <a:ln w="19050">
              <a:solidFill>
                <a:srgbClr val="0033CC"/>
              </a:solidFill>
            </a:ln>
          </c:spPr>
          <c:marker>
            <c:symbol val="none"/>
          </c:marker>
          <c:xVal>
            <c:numRef>
              <c:f>'ASTM E739 stat (Max Stress)'!$T$2:$T$102</c:f>
              <c:numCache>
                <c:formatCode>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xVal>
          <c:yVal>
            <c:numRef>
              <c:f>'ASTM E739 stat (Max Stress)'!$U$2:$U$102</c:f>
              <c:numCache>
                <c:formatCode>0.0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1"/>
        </c:ser>
        <c:ser>
          <c:idx val="4"/>
          <c:order val="3"/>
          <c:tx>
            <c:v>Lower 95% confi.</c:v>
          </c:tx>
          <c:spPr>
            <a:ln w="19050">
              <a:solidFill>
                <a:srgbClr val="0070C0"/>
              </a:solidFill>
              <a:prstDash val="sysDash"/>
            </a:ln>
          </c:spPr>
          <c:marker>
            <c:symbol val="none"/>
          </c:marker>
          <c:xVal>
            <c:numRef>
              <c:f>'ASTM E739 stat (Max Stress)'!$V$2:$V$102</c:f>
              <c:numCache>
                <c:formatCode>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xVal>
          <c:yVal>
            <c:numRef>
              <c:f>'ASTM E739 stat (Max Stress)'!$W$2:$W$102</c:f>
              <c:numCache>
                <c:formatCode>0.0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1931008"/>
        <c:axId val="371937280"/>
      </c:scatterChart>
      <c:valAx>
        <c:axId val="371931008"/>
        <c:scaling>
          <c:logBase val="10"/>
          <c:orientation val="minMax"/>
          <c:max val="10000000"/>
          <c:min val="10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Number of cycles to faliure</a:t>
                </a:r>
              </a:p>
            </c:rich>
          </c:tx>
          <c:layout>
            <c:manualLayout>
              <c:xMode val="edge"/>
              <c:yMode val="edge"/>
              <c:x val="0.39193381592555504"/>
              <c:y val="0.9474576271186441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371937280"/>
        <c:crosses val="autoZero"/>
        <c:crossBetween val="midCat"/>
      </c:valAx>
      <c:valAx>
        <c:axId val="371937280"/>
        <c:scaling>
          <c:orientation val="minMax"/>
          <c:max val="8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Max Stress (MPa)</a:t>
                </a:r>
              </a:p>
            </c:rich>
          </c:tx>
          <c:layout>
            <c:manualLayout>
              <c:xMode val="edge"/>
              <c:yMode val="edge"/>
              <c:x val="1.0341261633919601E-3"/>
              <c:y val="0.3694915254237287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371931008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egendEntry>
        <c:idx val="1"/>
        <c:txPr>
          <a:bodyPr/>
          <a:lstStyle/>
          <a:p>
            <a:pPr>
              <a:defRPr>
                <a:latin typeface="+mn-lt"/>
              </a:defRPr>
            </a:pPr>
            <a:endParaRPr lang="en-US"/>
          </a:p>
        </c:txPr>
      </c:legendEntry>
      <c:layout>
        <c:manualLayout>
          <c:xMode val="edge"/>
          <c:yMode val="edge"/>
          <c:x val="0.75594622543950685"/>
          <c:y val="8.6440677966101193E-2"/>
          <c:w val="0.23937268441238024"/>
          <c:h val="0.2451920459095155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>
              <a:latin typeface="+mn-lt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+mn-lt"/>
          <a:ea typeface="Arial"/>
          <a:cs typeface="Arial"/>
        </a:defRPr>
      </a:pPr>
      <a:endParaRPr lang="en-US"/>
    </a:p>
  </c:txPr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5" workbookViewId="0"/>
  </sheetViews>
  <pageMargins left="0.75" right="0.75" top="1" bottom="1" header="0.5" footer="0.5"/>
  <pageSetup paperSize="9" orientation="landscape" horizontalDpi="300" verticalDpi="300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25" workbookViewId="0"/>
  </sheetViews>
  <pageMargins left="0.75" right="0.75" top="1" bottom="1" header="0.5" footer="0.5"/>
  <pageSetup paperSize="9" orientation="landscape" horizontalDpi="300" verticalDpi="300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25" workbookViewId="0"/>
  </sheetViews>
  <pageMargins left="0.75" right="0.75" top="1" bottom="1" header="0.5" footer="0.5"/>
  <pageSetup paperSize="9" orientation="landscape" horizontalDpi="300" verticalDpi="300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10261" cy="561560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0.24981</cdr:x>
      <cdr:y>0.32756</cdr:y>
    </cdr:from>
    <cdr:to>
      <cdr:x>0.42706</cdr:x>
      <cdr:y>0.36481</cdr:y>
    </cdr:to>
    <cdr:sp macro="" textlink="'ASTM E739 stat (Max Strain)'!$J$14">
      <cdr:nvSpPr>
        <cdr:cNvPr id="1025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2300917" y="1840790"/>
          <a:ext cx="1632592" cy="20933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fld id="{94896840-5BF0-4B2E-B665-803A91061348}" type="TxLink">
            <a:rPr lang="en-US" sz="1000" b="0" i="0" strike="noStrike">
              <a:solidFill>
                <a:srgbClr val="000000"/>
              </a:solidFill>
              <a:latin typeface="+mn-lt"/>
              <a:cs typeface="Arial"/>
            </a:rPr>
            <a:pPr algn="l" rtl="0">
              <a:defRPr sz="1000"/>
            </a:pPr>
            <a:t>(X=40534.6Y^-5.27)</a:t>
          </a:fld>
          <a:endParaRPr lang="en-US" sz="1000" b="0" i="0" strike="noStrike">
            <a:solidFill>
              <a:srgbClr val="000000"/>
            </a:solidFill>
            <a:latin typeface="+mn-lt"/>
            <a:cs typeface="Arial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20200" cy="562356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0.58438</cdr:x>
      <cdr:y>0.34002</cdr:y>
    </cdr:from>
    <cdr:to>
      <cdr:x>0.76163</cdr:x>
      <cdr:y>0.37727</cdr:y>
    </cdr:to>
    <cdr:sp macro="" textlink="'ASTM E739 stat (Strain Range)'!$J$14">
      <cdr:nvSpPr>
        <cdr:cNvPr id="1025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5382497" y="1910838"/>
          <a:ext cx="1632593" cy="20933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fld id="{94896840-5BF0-4B2E-B665-803A91061348}" type="TxLink">
            <a:rPr lang="en-US" sz="1000" b="0" i="0" strike="noStrike">
              <a:solidFill>
                <a:srgbClr val="000000"/>
              </a:solidFill>
              <a:latin typeface="+mn-lt"/>
              <a:cs typeface="Arial"/>
            </a:rPr>
            <a:pPr algn="l" rtl="0">
              <a:defRPr sz="1000"/>
            </a:pPr>
            <a:t>#VALUE!</a:t>
          </a:fld>
          <a:endParaRPr lang="en-US" sz="1000" b="0" i="0" strike="noStrike">
            <a:solidFill>
              <a:srgbClr val="000000"/>
            </a:solidFill>
            <a:latin typeface="+mn-lt"/>
            <a:cs typeface="Arial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20200" cy="562356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0.51983</cdr:x>
      <cdr:y>0.25339</cdr:y>
    </cdr:from>
    <cdr:to>
      <cdr:x>0.7157</cdr:x>
      <cdr:y>0.29675</cdr:y>
    </cdr:to>
    <cdr:sp macro="" textlink="'ASTM E739 stat (Max Stress)'!$J$14">
      <cdr:nvSpPr>
        <cdr:cNvPr id="2" name="TextBox 1"/>
        <cdr:cNvSpPr txBox="1"/>
      </cdr:nvSpPr>
      <cdr:spPr>
        <a:xfrm xmlns:a="http://schemas.openxmlformats.org/drawingml/2006/main">
          <a:off x="4792980" y="1424940"/>
          <a:ext cx="1805940" cy="2438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6010028A-B93E-4343-B420-A95E999FB473}" type="TxLink">
            <a:rPr lang="en-GB" sz="1100"/>
            <a:pPr/>
            <a:t>#DIV/0!</a:t>
          </a:fld>
          <a:endParaRPr lang="en-GB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9"/>
  <sheetViews>
    <sheetView topLeftCell="A12" zoomScale="75" workbookViewId="0">
      <selection activeCell="G25" sqref="G25"/>
    </sheetView>
  </sheetViews>
  <sheetFormatPr defaultRowHeight="12.75" x14ac:dyDescent="0.2"/>
  <cols>
    <col min="1" max="1" width="15.140625" style="3" customWidth="1"/>
    <col min="2" max="2" width="11.42578125" style="3" bestFit="1" customWidth="1"/>
    <col min="3" max="3" width="14" style="3" customWidth="1"/>
    <col min="4" max="4" width="11.5703125" style="3" bestFit="1" customWidth="1"/>
    <col min="5" max="5" width="11" style="3" bestFit="1" customWidth="1"/>
    <col min="6" max="6" width="12.140625" style="3" bestFit="1" customWidth="1"/>
    <col min="7" max="7" width="15.5703125" style="3" bestFit="1" customWidth="1"/>
    <col min="8" max="8" width="16.140625" style="3" bestFit="1" customWidth="1"/>
    <col min="9" max="9" width="11.140625" style="3" bestFit="1" customWidth="1"/>
    <col min="10" max="10" width="10.85546875" style="3" bestFit="1" customWidth="1"/>
    <col min="11" max="11" width="11.7109375" style="3" bestFit="1" customWidth="1"/>
    <col min="12" max="12" width="18" style="3" bestFit="1" customWidth="1"/>
    <col min="13" max="13" width="49.140625" style="3" bestFit="1" customWidth="1"/>
    <col min="14" max="14" width="15.7109375" style="3" customWidth="1"/>
    <col min="15" max="15" width="52.7109375" style="3" bestFit="1" customWidth="1"/>
    <col min="16" max="16384" width="9.140625" style="3"/>
  </cols>
  <sheetData>
    <row r="1" spans="1:17" ht="15.75" x14ac:dyDescent="0.25">
      <c r="A1" s="68" t="s">
        <v>133</v>
      </c>
      <c r="L1" s="12"/>
    </row>
    <row r="3" spans="1:17" ht="15.75" x14ac:dyDescent="0.25">
      <c r="A3" s="69" t="s">
        <v>132</v>
      </c>
      <c r="B3" s="225" t="s">
        <v>148</v>
      </c>
      <c r="C3" s="10"/>
      <c r="D3" s="10"/>
      <c r="F3" s="10"/>
      <c r="G3" s="10"/>
      <c r="H3" s="10"/>
      <c r="I3" s="10"/>
      <c r="J3" s="11" t="s">
        <v>99</v>
      </c>
      <c r="K3" s="10" t="s">
        <v>100</v>
      </c>
      <c r="M3" s="12"/>
    </row>
    <row r="4" spans="1:17" ht="15.75" x14ac:dyDescent="0.25">
      <c r="A4" s="13" t="s">
        <v>0</v>
      </c>
      <c r="B4" s="226" t="s">
        <v>147</v>
      </c>
      <c r="C4" s="70"/>
      <c r="D4" s="50"/>
      <c r="E4" s="14"/>
      <c r="F4" s="14"/>
      <c r="G4" s="14"/>
      <c r="H4" s="14"/>
      <c r="I4" s="24" t="s">
        <v>26</v>
      </c>
      <c r="J4" s="23"/>
      <c r="K4" s="24"/>
      <c r="M4" s="12"/>
    </row>
    <row r="5" spans="1:17" ht="15.75" x14ac:dyDescent="0.25">
      <c r="A5" s="13" t="s">
        <v>131</v>
      </c>
      <c r="B5" s="13"/>
      <c r="C5" s="51"/>
      <c r="D5" s="15"/>
      <c r="E5" s="13" t="s">
        <v>103</v>
      </c>
      <c r="F5" s="15"/>
      <c r="G5" s="15"/>
      <c r="H5" s="15"/>
      <c r="I5" s="16"/>
      <c r="J5" s="29"/>
      <c r="K5" s="30"/>
      <c r="L5" s="15"/>
      <c r="M5" s="17"/>
    </row>
    <row r="6" spans="1:17" ht="16.5" thickBot="1" x14ac:dyDescent="0.3">
      <c r="A6" s="51"/>
      <c r="B6" s="15" t="s">
        <v>1</v>
      </c>
      <c r="C6" s="51">
        <v>0.1</v>
      </c>
      <c r="D6" s="15"/>
      <c r="E6" s="15" t="s">
        <v>104</v>
      </c>
      <c r="F6" s="13" t="s">
        <v>105</v>
      </c>
      <c r="G6" s="13"/>
      <c r="H6" s="13"/>
      <c r="I6" s="15"/>
      <c r="J6" s="15"/>
      <c r="K6" s="15"/>
      <c r="L6" s="15"/>
      <c r="M6" s="17"/>
      <c r="O6" s="63"/>
      <c r="P6" s="63"/>
      <c r="Q6" s="63"/>
    </row>
    <row r="7" spans="1:17" ht="15.75" x14ac:dyDescent="0.25">
      <c r="A7" s="18"/>
      <c r="B7" s="31" t="s">
        <v>2</v>
      </c>
      <c r="C7" s="32" t="s">
        <v>3</v>
      </c>
      <c r="D7" s="32" t="s">
        <v>4</v>
      </c>
      <c r="E7" s="32" t="s">
        <v>17</v>
      </c>
      <c r="F7" s="32" t="s">
        <v>23</v>
      </c>
      <c r="G7" s="32" t="s">
        <v>106</v>
      </c>
      <c r="H7" s="32" t="s">
        <v>107</v>
      </c>
      <c r="I7" s="32" t="s">
        <v>6</v>
      </c>
      <c r="J7" s="32" t="s">
        <v>19</v>
      </c>
      <c r="K7" s="32" t="s">
        <v>8</v>
      </c>
      <c r="L7" s="32" t="s">
        <v>9</v>
      </c>
      <c r="M7" s="33" t="s">
        <v>10</v>
      </c>
      <c r="N7" s="19" t="s">
        <v>24</v>
      </c>
      <c r="O7" s="63"/>
      <c r="P7" s="63"/>
      <c r="Q7" s="63"/>
    </row>
    <row r="8" spans="1:17" ht="16.5" thickBot="1" x14ac:dyDescent="0.3">
      <c r="A8" s="118" t="s">
        <v>18</v>
      </c>
      <c r="B8" s="119" t="s">
        <v>11</v>
      </c>
      <c r="C8" s="120" t="s">
        <v>12</v>
      </c>
      <c r="D8" s="120" t="s">
        <v>12</v>
      </c>
      <c r="E8" s="120" t="s">
        <v>21</v>
      </c>
      <c r="F8" s="120" t="s">
        <v>13</v>
      </c>
      <c r="G8" s="120"/>
      <c r="H8" s="120"/>
      <c r="I8" s="120" t="s">
        <v>15</v>
      </c>
      <c r="J8" s="120" t="s">
        <v>15</v>
      </c>
      <c r="K8" s="120" t="s">
        <v>16</v>
      </c>
      <c r="L8" s="120"/>
      <c r="M8" s="121"/>
      <c r="N8" s="26"/>
      <c r="O8" s="63"/>
      <c r="P8" s="63"/>
      <c r="Q8" s="63"/>
    </row>
    <row r="9" spans="1:17" ht="37.5" customHeight="1" x14ac:dyDescent="0.25">
      <c r="A9" s="27"/>
      <c r="B9" s="38" t="str">
        <f t="shared" ref="B9:B17" si="0">+$B$4&amp;"-0"&amp;TEXT((ROW()-8),0)</f>
        <v>EQA02-01</v>
      </c>
      <c r="C9" s="28">
        <v>25.01</v>
      </c>
      <c r="D9" s="28">
        <v>4.1500000000000004</v>
      </c>
      <c r="E9" s="207">
        <f t="shared" ref="E9:E17" si="1">+C9*D9</f>
        <v>103.79150000000001</v>
      </c>
      <c r="F9" s="28" t="s">
        <v>155</v>
      </c>
      <c r="G9" s="28">
        <v>38.549999999999997</v>
      </c>
      <c r="H9" s="227" t="s">
        <v>155</v>
      </c>
      <c r="I9" s="39">
        <v>105.5</v>
      </c>
      <c r="J9" s="28" t="s">
        <v>155</v>
      </c>
      <c r="K9" s="28">
        <v>5</v>
      </c>
      <c r="L9" s="47">
        <v>1</v>
      </c>
      <c r="M9" s="123" t="s">
        <v>154</v>
      </c>
      <c r="N9" s="34" t="s">
        <v>149</v>
      </c>
      <c r="O9" s="63"/>
      <c r="P9" s="63"/>
      <c r="Q9" s="63"/>
    </row>
    <row r="10" spans="1:17" ht="37.5" customHeight="1" x14ac:dyDescent="0.25">
      <c r="A10" s="124"/>
      <c r="B10" s="35" t="str">
        <f t="shared" si="0"/>
        <v>EQA02-02</v>
      </c>
      <c r="C10" s="22">
        <v>25.19</v>
      </c>
      <c r="D10" s="22">
        <v>4.3499999999999996</v>
      </c>
      <c r="E10" s="208">
        <f t="shared" si="1"/>
        <v>109.5765</v>
      </c>
      <c r="F10" s="22" t="s">
        <v>155</v>
      </c>
      <c r="G10" s="36">
        <v>37.659999999999997</v>
      </c>
      <c r="H10" s="36" t="s">
        <v>155</v>
      </c>
      <c r="I10" s="36">
        <v>108.6</v>
      </c>
      <c r="J10" s="22" t="s">
        <v>155</v>
      </c>
      <c r="K10" s="22">
        <v>5</v>
      </c>
      <c r="L10" s="25">
        <v>1</v>
      </c>
      <c r="M10" s="37" t="s">
        <v>154</v>
      </c>
      <c r="N10" s="125" t="s">
        <v>149</v>
      </c>
      <c r="O10" s="63"/>
      <c r="P10" s="63"/>
      <c r="Q10" s="63"/>
    </row>
    <row r="11" spans="1:17" ht="37.5" customHeight="1" x14ac:dyDescent="0.3">
      <c r="A11" s="124">
        <v>42216</v>
      </c>
      <c r="B11" s="35" t="str">
        <f t="shared" si="0"/>
        <v>EQA02-03</v>
      </c>
      <c r="C11" s="20">
        <v>25.21</v>
      </c>
      <c r="D11" s="20">
        <v>4.3600000000000003</v>
      </c>
      <c r="E11" s="208">
        <f t="shared" si="1"/>
        <v>109.91560000000001</v>
      </c>
      <c r="F11" s="20">
        <v>1</v>
      </c>
      <c r="G11" s="20">
        <v>38.207999999999998</v>
      </c>
      <c r="H11" s="20">
        <v>38.07</v>
      </c>
      <c r="I11" s="21">
        <v>41.84</v>
      </c>
      <c r="J11" s="20">
        <v>4.18</v>
      </c>
      <c r="K11" s="22">
        <v>5</v>
      </c>
      <c r="L11" s="122">
        <v>36156</v>
      </c>
      <c r="M11" s="46" t="s">
        <v>151</v>
      </c>
      <c r="N11" s="125" t="s">
        <v>149</v>
      </c>
      <c r="O11" s="63"/>
      <c r="P11" s="63"/>
      <c r="Q11" s="63"/>
    </row>
    <row r="12" spans="1:17" ht="37.5" customHeight="1" x14ac:dyDescent="0.3">
      <c r="A12" s="124">
        <v>42219</v>
      </c>
      <c r="B12" s="35" t="str">
        <f t="shared" si="0"/>
        <v>EQA02-04</v>
      </c>
      <c r="C12" s="20">
        <v>25.19</v>
      </c>
      <c r="D12" s="20">
        <v>4.25</v>
      </c>
      <c r="E12" s="208">
        <f t="shared" si="1"/>
        <v>107.0575</v>
      </c>
      <c r="F12" s="20">
        <v>0.9</v>
      </c>
      <c r="G12" s="21">
        <v>38.71</v>
      </c>
      <c r="H12" s="21">
        <v>38.5</v>
      </c>
      <c r="I12" s="21">
        <v>37.1</v>
      </c>
      <c r="J12" s="20">
        <v>3.71</v>
      </c>
      <c r="K12" s="22">
        <v>5</v>
      </c>
      <c r="L12" s="122">
        <v>83871</v>
      </c>
      <c r="M12" s="46" t="s">
        <v>151</v>
      </c>
      <c r="N12" s="125" t="s">
        <v>149</v>
      </c>
      <c r="O12" s="63"/>
      <c r="P12" s="63"/>
      <c r="Q12" s="63"/>
    </row>
    <row r="13" spans="1:17" ht="37.5" customHeight="1" x14ac:dyDescent="0.3">
      <c r="A13" s="124">
        <v>42219</v>
      </c>
      <c r="B13" s="35" t="str">
        <f t="shared" si="0"/>
        <v>EQA02-05</v>
      </c>
      <c r="C13" s="22">
        <v>25.18</v>
      </c>
      <c r="D13" s="22">
        <v>4.21</v>
      </c>
      <c r="E13" s="208">
        <f t="shared" si="1"/>
        <v>106.0078</v>
      </c>
      <c r="F13" s="20">
        <v>0.8</v>
      </c>
      <c r="G13" s="20">
        <v>38.75</v>
      </c>
      <c r="H13" s="20">
        <v>38.72</v>
      </c>
      <c r="I13" s="21">
        <v>32.840000000000003</v>
      </c>
      <c r="J13" s="20">
        <v>3.28</v>
      </c>
      <c r="K13" s="22">
        <v>5</v>
      </c>
      <c r="L13" s="25">
        <v>130906</v>
      </c>
      <c r="M13" s="46" t="s">
        <v>151</v>
      </c>
      <c r="N13" s="125" t="s">
        <v>150</v>
      </c>
      <c r="O13" s="63"/>
      <c r="P13" s="63"/>
      <c r="Q13" s="63"/>
    </row>
    <row r="14" spans="1:17" ht="37.5" customHeight="1" x14ac:dyDescent="0.3">
      <c r="A14" s="124">
        <v>42221</v>
      </c>
      <c r="B14" s="35" t="str">
        <f t="shared" si="0"/>
        <v>EQA02-06</v>
      </c>
      <c r="C14" s="22">
        <v>25.2</v>
      </c>
      <c r="D14" s="22">
        <v>4.28</v>
      </c>
      <c r="E14" s="208">
        <f t="shared" si="1"/>
        <v>107.85600000000001</v>
      </c>
      <c r="F14" s="20">
        <v>1.1000000000000001</v>
      </c>
      <c r="G14" s="20">
        <v>37.89</v>
      </c>
      <c r="H14" s="20">
        <v>37.619999999999997</v>
      </c>
      <c r="I14" s="21">
        <v>44.63</v>
      </c>
      <c r="J14" s="20">
        <v>4.46</v>
      </c>
      <c r="K14" s="22">
        <v>5</v>
      </c>
      <c r="L14" s="25">
        <v>24379</v>
      </c>
      <c r="M14" s="46" t="s">
        <v>152</v>
      </c>
      <c r="N14" s="125" t="s">
        <v>150</v>
      </c>
      <c r="O14" s="63"/>
      <c r="P14" s="63"/>
      <c r="Q14" s="63"/>
    </row>
    <row r="15" spans="1:17" ht="37.5" customHeight="1" x14ac:dyDescent="0.3">
      <c r="A15" s="124"/>
      <c r="B15" s="35" t="str">
        <f t="shared" si="0"/>
        <v>EQA02-07</v>
      </c>
      <c r="C15" s="22">
        <v>25.19</v>
      </c>
      <c r="D15" s="22">
        <v>4.13</v>
      </c>
      <c r="E15" s="208">
        <f t="shared" si="1"/>
        <v>104.0347</v>
      </c>
      <c r="F15" s="20"/>
      <c r="G15" s="22"/>
      <c r="H15" s="22"/>
      <c r="I15" s="21"/>
      <c r="J15" s="20"/>
      <c r="K15" s="22">
        <v>5</v>
      </c>
      <c r="L15" s="25"/>
      <c r="M15" s="46"/>
      <c r="N15" s="125"/>
      <c r="O15" s="63"/>
      <c r="P15" s="63"/>
      <c r="Q15" s="63"/>
    </row>
    <row r="16" spans="1:17" ht="37.5" customHeight="1" x14ac:dyDescent="0.3">
      <c r="A16" s="124"/>
      <c r="B16" s="35" t="str">
        <f t="shared" si="0"/>
        <v>EQA02-08</v>
      </c>
      <c r="C16" s="22">
        <v>25.26</v>
      </c>
      <c r="D16" s="22">
        <v>4.28</v>
      </c>
      <c r="E16" s="208">
        <f t="shared" si="1"/>
        <v>108.11280000000001</v>
      </c>
      <c r="F16" s="20"/>
      <c r="G16" s="22"/>
      <c r="H16" s="22"/>
      <c r="I16" s="21"/>
      <c r="J16" s="20"/>
      <c r="K16" s="22">
        <v>5</v>
      </c>
      <c r="L16" s="25"/>
      <c r="M16" s="46"/>
      <c r="N16" s="125"/>
      <c r="O16" s="63"/>
      <c r="P16" s="63"/>
      <c r="Q16" s="63"/>
    </row>
    <row r="17" spans="1:30" ht="37.9" customHeight="1" x14ac:dyDescent="0.3">
      <c r="A17" s="124">
        <v>42219</v>
      </c>
      <c r="B17" s="35" t="str">
        <f t="shared" si="0"/>
        <v>EQA02-09</v>
      </c>
      <c r="C17" s="22">
        <v>25.25</v>
      </c>
      <c r="D17" s="22">
        <v>4.2699999999999996</v>
      </c>
      <c r="E17" s="208">
        <f t="shared" si="1"/>
        <v>107.8175</v>
      </c>
      <c r="F17" s="20">
        <v>0.7</v>
      </c>
      <c r="G17" s="22">
        <v>37.93</v>
      </c>
      <c r="H17" s="22">
        <v>38.36</v>
      </c>
      <c r="I17" s="21">
        <v>28.95</v>
      </c>
      <c r="J17" s="20">
        <v>2.9</v>
      </c>
      <c r="K17" s="22">
        <v>5</v>
      </c>
      <c r="L17" s="25">
        <v>255387</v>
      </c>
      <c r="M17" s="46" t="s">
        <v>152</v>
      </c>
      <c r="N17" s="125" t="s">
        <v>149</v>
      </c>
      <c r="O17" s="71"/>
      <c r="P17" s="63"/>
      <c r="Q17" s="63"/>
    </row>
    <row r="18" spans="1:30" ht="37.9" customHeight="1" x14ac:dyDescent="0.3">
      <c r="A18" s="124">
        <v>42220</v>
      </c>
      <c r="B18" s="35" t="str">
        <f>+$B$4&amp;"-"&amp;TEXT((ROW()-8),0)</f>
        <v>EQA02-10</v>
      </c>
      <c r="C18" s="22">
        <v>25.27</v>
      </c>
      <c r="D18" s="22">
        <v>4.2699999999999996</v>
      </c>
      <c r="E18" s="208">
        <f t="shared" ref="E18:E20" si="2">+C18*D18</f>
        <v>107.90289999999999</v>
      </c>
      <c r="F18" s="20">
        <v>0.6</v>
      </c>
      <c r="G18" s="22">
        <v>38.67</v>
      </c>
      <c r="H18" s="22">
        <v>38.76</v>
      </c>
      <c r="I18" s="21">
        <v>25.1</v>
      </c>
      <c r="J18" s="20">
        <v>2.5099999999999998</v>
      </c>
      <c r="K18" s="22">
        <v>5</v>
      </c>
      <c r="L18" s="25">
        <v>596316</v>
      </c>
      <c r="M18" s="46" t="s">
        <v>152</v>
      </c>
      <c r="N18" s="125" t="s">
        <v>149</v>
      </c>
      <c r="O18" s="71"/>
      <c r="P18" s="63"/>
      <c r="Q18" s="63"/>
    </row>
    <row r="19" spans="1:30" ht="37.9" customHeight="1" x14ac:dyDescent="0.3">
      <c r="A19" s="124">
        <v>42220</v>
      </c>
      <c r="B19" s="35" t="str">
        <f>+$B$4&amp;"-"&amp;TEXT((ROW()-8),0)</f>
        <v>EQA02-11</v>
      </c>
      <c r="C19" s="22">
        <v>25.28</v>
      </c>
      <c r="D19" s="22">
        <v>4.09</v>
      </c>
      <c r="E19" s="208">
        <f t="shared" si="2"/>
        <v>103.3952</v>
      </c>
      <c r="F19" s="20">
        <v>0.55000000000000004</v>
      </c>
      <c r="G19" s="22">
        <v>39.799999999999997</v>
      </c>
      <c r="H19" s="22">
        <v>39.9</v>
      </c>
      <c r="I19" s="21">
        <v>22.68</v>
      </c>
      <c r="J19" s="20">
        <v>2.27</v>
      </c>
      <c r="K19" s="22">
        <v>5</v>
      </c>
      <c r="L19" s="25">
        <v>2500000</v>
      </c>
      <c r="M19" s="46" t="s">
        <v>156</v>
      </c>
      <c r="N19" s="125" t="s">
        <v>153</v>
      </c>
      <c r="O19" s="71"/>
      <c r="P19" s="63"/>
      <c r="Q19" s="63"/>
    </row>
    <row r="20" spans="1:30" ht="37.9" customHeight="1" x14ac:dyDescent="0.3">
      <c r="A20" s="124"/>
      <c r="B20" s="35" t="str">
        <f>+$B$4&amp;"-"&amp;TEXT((ROW()-8),0)</f>
        <v>EQA02-12</v>
      </c>
      <c r="C20" s="22">
        <v>25.26</v>
      </c>
      <c r="D20" s="22">
        <v>4.18</v>
      </c>
      <c r="E20" s="208">
        <f t="shared" si="2"/>
        <v>105.5868</v>
      </c>
      <c r="F20" s="20" t="s">
        <v>155</v>
      </c>
      <c r="G20" s="22">
        <v>38.97</v>
      </c>
      <c r="H20" s="22" t="s">
        <v>155</v>
      </c>
      <c r="I20" s="21">
        <v>100.7</v>
      </c>
      <c r="J20" s="20" t="s">
        <v>155</v>
      </c>
      <c r="K20" s="22">
        <v>5</v>
      </c>
      <c r="L20" s="25">
        <v>1</v>
      </c>
      <c r="M20" s="46" t="s">
        <v>154</v>
      </c>
      <c r="N20" s="125" t="s">
        <v>149</v>
      </c>
      <c r="O20" s="72"/>
      <c r="P20" s="63"/>
      <c r="Q20" s="63"/>
    </row>
    <row r="21" spans="1:30" ht="34.5" customHeight="1" x14ac:dyDescent="0.25">
      <c r="A21" s="40"/>
      <c r="B21" s="41"/>
      <c r="C21" s="42"/>
      <c r="D21" s="42"/>
      <c r="E21" s="206"/>
      <c r="F21" s="42"/>
      <c r="G21" s="42"/>
      <c r="H21" s="42"/>
      <c r="I21" s="42"/>
      <c r="J21" s="43"/>
      <c r="K21" s="42"/>
      <c r="L21" s="42"/>
      <c r="M21" s="44"/>
      <c r="N21" s="45"/>
      <c r="O21" s="63"/>
      <c r="P21" s="63"/>
    </row>
    <row r="22" spans="1:30" ht="18.75" x14ac:dyDescent="0.3">
      <c r="G22" s="228">
        <f>AVERAGE(G11:G20)</f>
        <v>38.616</v>
      </c>
      <c r="H22" s="228">
        <f>AVERAGE(H11:H20)</f>
        <v>38.561428571428564</v>
      </c>
      <c r="I22" s="73"/>
      <c r="J22" s="67"/>
      <c r="K22" s="73"/>
      <c r="L22" s="73"/>
      <c r="M22" s="74"/>
    </row>
    <row r="23" spans="1:30" ht="18.75" x14ac:dyDescent="0.3">
      <c r="G23" s="66"/>
      <c r="H23" s="67"/>
      <c r="I23" s="73"/>
      <c r="J23" s="67"/>
      <c r="K23" s="73"/>
      <c r="L23" s="75"/>
      <c r="M23" s="74"/>
    </row>
    <row r="24" spans="1:30" ht="18.75" x14ac:dyDescent="0.3">
      <c r="G24" s="66"/>
      <c r="H24" s="67"/>
      <c r="I24" s="73"/>
      <c r="J24" s="67"/>
      <c r="K24" s="73"/>
      <c r="L24" s="75"/>
      <c r="M24" s="74"/>
    </row>
    <row r="25" spans="1:30" ht="18.75" x14ac:dyDescent="0.3">
      <c r="G25" s="66"/>
      <c r="H25" s="67"/>
      <c r="I25" s="73"/>
      <c r="J25" s="67"/>
      <c r="K25" s="75"/>
      <c r="L25" s="75"/>
      <c r="M25" s="74"/>
    </row>
    <row r="26" spans="1:30" ht="18.75" x14ac:dyDescent="0.3">
      <c r="G26" s="66"/>
      <c r="H26" s="75"/>
      <c r="I26" s="75"/>
      <c r="J26" s="75"/>
      <c r="K26" s="75"/>
      <c r="L26" s="75"/>
      <c r="M26" s="74"/>
    </row>
    <row r="27" spans="1:30" x14ac:dyDescent="0.2">
      <c r="G27" s="66"/>
      <c r="H27" s="66"/>
      <c r="I27" s="66"/>
      <c r="J27" s="66"/>
      <c r="K27" s="66"/>
      <c r="L27" s="66"/>
    </row>
    <row r="28" spans="1:30" x14ac:dyDescent="0.2">
      <c r="G28" s="66"/>
      <c r="H28" s="66"/>
      <c r="I28" s="66"/>
      <c r="J28" s="66"/>
      <c r="K28" s="66"/>
      <c r="L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</row>
    <row r="29" spans="1:30" x14ac:dyDescent="0.2"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</row>
    <row r="30" spans="1:30" ht="15.75" x14ac:dyDescent="0.25">
      <c r="R30" s="76"/>
      <c r="S30" s="77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</row>
    <row r="31" spans="1:30" ht="15.75" x14ac:dyDescent="0.25">
      <c r="R31" s="76"/>
      <c r="S31" s="77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</row>
    <row r="32" spans="1:30" ht="15.75" x14ac:dyDescent="0.25">
      <c r="R32" s="78"/>
      <c r="S32" s="78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</row>
    <row r="33" spans="1:30" ht="15.75" x14ac:dyDescent="0.25">
      <c r="R33" s="78"/>
      <c r="S33" s="78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</row>
    <row r="34" spans="1:30" ht="15.75" x14ac:dyDescent="0.25">
      <c r="A34" s="66"/>
      <c r="B34" s="79"/>
      <c r="C34" s="80"/>
      <c r="D34" s="79"/>
      <c r="E34" s="80"/>
      <c r="F34" s="80"/>
      <c r="G34" s="81"/>
      <c r="H34" s="81"/>
      <c r="I34" s="81"/>
      <c r="J34" s="80"/>
      <c r="K34" s="80"/>
      <c r="L34" s="79"/>
      <c r="M34" s="80"/>
      <c r="N34" s="82"/>
      <c r="O34" s="83"/>
      <c r="P34" s="84"/>
      <c r="Q34" s="78"/>
      <c r="R34" s="78"/>
      <c r="S34" s="83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</row>
    <row r="35" spans="1:30" ht="15.75" x14ac:dyDescent="0.25">
      <c r="A35" s="66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3"/>
      <c r="P35" s="84"/>
      <c r="Q35" s="78"/>
      <c r="R35" s="78"/>
      <c r="S35" s="83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</row>
    <row r="36" spans="1:30" ht="15.75" x14ac:dyDescent="0.25">
      <c r="A36" s="66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3"/>
      <c r="P36" s="84"/>
      <c r="Q36" s="78"/>
      <c r="R36" s="78"/>
      <c r="S36" s="83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</row>
    <row r="37" spans="1:30" ht="15.75" x14ac:dyDescent="0.25">
      <c r="A37" s="66"/>
      <c r="B37" s="86"/>
      <c r="C37" s="85"/>
      <c r="D37" s="87"/>
      <c r="E37" s="87"/>
      <c r="F37" s="87"/>
      <c r="G37" s="87"/>
      <c r="H37" s="87"/>
      <c r="I37" s="87"/>
      <c r="J37" s="87"/>
      <c r="K37" s="88"/>
      <c r="L37" s="86"/>
      <c r="M37" s="87"/>
      <c r="N37" s="89"/>
      <c r="O37" s="83"/>
      <c r="P37" s="84"/>
      <c r="Q37" s="78"/>
      <c r="R37" s="78"/>
      <c r="S37" s="83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</row>
    <row r="38" spans="1:30" ht="18.75" x14ac:dyDescent="0.3">
      <c r="A38" s="66"/>
      <c r="B38" s="86"/>
      <c r="C38" s="85"/>
      <c r="D38" s="87"/>
      <c r="E38" s="87"/>
      <c r="F38" s="87"/>
      <c r="G38" s="88"/>
      <c r="H38" s="88"/>
      <c r="I38" s="88"/>
      <c r="J38" s="88"/>
      <c r="K38" s="88"/>
      <c r="L38" s="86"/>
      <c r="M38" s="88"/>
      <c r="N38" s="91"/>
      <c r="O38" s="83"/>
      <c r="P38" s="92"/>
      <c r="Q38" s="93"/>
      <c r="R38" s="78"/>
      <c r="S38" s="83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</row>
    <row r="39" spans="1:30" ht="15.75" x14ac:dyDescent="0.25">
      <c r="A39" s="66"/>
      <c r="B39" s="86"/>
      <c r="C39" s="85"/>
      <c r="D39" s="87"/>
      <c r="E39" s="87"/>
      <c r="F39" s="87"/>
      <c r="G39" s="87"/>
      <c r="H39" s="87"/>
      <c r="I39" s="87"/>
      <c r="J39" s="87"/>
      <c r="K39" s="88"/>
      <c r="L39" s="86"/>
      <c r="M39" s="87"/>
      <c r="N39" s="89"/>
      <c r="O39" s="83"/>
      <c r="P39" s="84"/>
      <c r="Q39" s="78"/>
      <c r="R39" s="78"/>
      <c r="S39" s="83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</row>
    <row r="40" spans="1:30" ht="15.75" x14ac:dyDescent="0.25">
      <c r="A40" s="66"/>
      <c r="B40" s="86"/>
      <c r="C40" s="85"/>
      <c r="D40" s="87"/>
      <c r="E40" s="87"/>
      <c r="F40" s="87"/>
      <c r="G40" s="88"/>
      <c r="H40" s="88"/>
      <c r="I40" s="88"/>
      <c r="J40" s="87"/>
      <c r="K40" s="88"/>
      <c r="L40" s="86"/>
      <c r="M40" s="87"/>
      <c r="N40" s="89"/>
      <c r="O40" s="94"/>
      <c r="P40" s="94"/>
      <c r="Q40" s="76"/>
      <c r="R40" s="76"/>
      <c r="S40" s="83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</row>
    <row r="41" spans="1:30" ht="15.75" x14ac:dyDescent="0.25">
      <c r="A41" s="66"/>
      <c r="B41" s="86"/>
      <c r="C41" s="85"/>
      <c r="D41" s="87"/>
      <c r="E41" s="87"/>
      <c r="F41" s="87"/>
      <c r="G41" s="87"/>
      <c r="H41" s="87"/>
      <c r="I41" s="87"/>
      <c r="J41" s="87"/>
      <c r="K41" s="88"/>
      <c r="L41" s="86"/>
      <c r="M41" s="87"/>
      <c r="N41" s="89"/>
      <c r="O41" s="94"/>
      <c r="P41" s="94"/>
      <c r="Q41" s="76"/>
      <c r="R41" s="76"/>
      <c r="S41" s="83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</row>
    <row r="42" spans="1:30" ht="15.75" x14ac:dyDescent="0.25">
      <c r="A42" s="66"/>
      <c r="B42" s="86"/>
      <c r="C42" s="85"/>
      <c r="D42" s="87"/>
      <c r="E42" s="87"/>
      <c r="F42" s="87"/>
      <c r="G42" s="87"/>
      <c r="H42" s="87"/>
      <c r="I42" s="87"/>
      <c r="J42" s="87"/>
      <c r="K42" s="88"/>
      <c r="L42" s="86"/>
      <c r="M42" s="87"/>
      <c r="N42" s="89"/>
      <c r="O42" s="76"/>
      <c r="P42" s="76"/>
      <c r="Q42" s="76"/>
      <c r="R42" s="76"/>
      <c r="S42" s="95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</row>
    <row r="43" spans="1:30" ht="15.75" x14ac:dyDescent="0.25">
      <c r="A43" s="66"/>
      <c r="B43" s="86"/>
      <c r="C43" s="85"/>
      <c r="D43" s="87"/>
      <c r="E43" s="87"/>
      <c r="F43" s="87"/>
      <c r="G43" s="87"/>
      <c r="H43" s="87"/>
      <c r="I43" s="87"/>
      <c r="J43" s="87"/>
      <c r="K43" s="88"/>
      <c r="L43" s="86"/>
      <c r="M43" s="87"/>
      <c r="N43" s="96"/>
      <c r="O43" s="76"/>
      <c r="P43" s="76"/>
      <c r="Q43" s="76"/>
      <c r="R43" s="76"/>
      <c r="S43" s="78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</row>
    <row r="44" spans="1:30" ht="15.75" x14ac:dyDescent="0.25">
      <c r="A44" s="66"/>
      <c r="B44" s="97"/>
      <c r="C44" s="85"/>
      <c r="D44" s="87"/>
      <c r="E44" s="87"/>
      <c r="F44" s="87"/>
      <c r="G44" s="87"/>
      <c r="H44" s="87"/>
      <c r="I44" s="87"/>
      <c r="J44" s="87"/>
      <c r="K44" s="88"/>
      <c r="L44" s="97"/>
      <c r="M44" s="87"/>
      <c r="N44" s="89"/>
      <c r="O44" s="76"/>
      <c r="P44" s="76"/>
      <c r="Q44" s="76"/>
      <c r="R44" s="76"/>
      <c r="S44" s="78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</row>
    <row r="45" spans="1:30" ht="15.75" x14ac:dyDescent="0.25">
      <c r="A45" s="66"/>
      <c r="B45" s="79"/>
      <c r="C45" s="80"/>
      <c r="D45" s="98"/>
      <c r="E45" s="98"/>
      <c r="F45" s="98"/>
      <c r="G45" s="99"/>
      <c r="H45" s="99"/>
      <c r="I45" s="99"/>
      <c r="J45" s="79"/>
      <c r="K45" s="100"/>
      <c r="L45" s="79"/>
      <c r="M45" s="100"/>
      <c r="N45" s="100"/>
      <c r="O45" s="76"/>
      <c r="P45" s="76"/>
      <c r="Q45" s="76"/>
      <c r="R45" s="76"/>
      <c r="S45" s="78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</row>
    <row r="46" spans="1:30" ht="18.75" x14ac:dyDescent="0.3">
      <c r="A46" s="66"/>
      <c r="B46" s="79"/>
      <c r="C46" s="80"/>
      <c r="D46" s="98"/>
      <c r="E46" s="98"/>
      <c r="F46" s="98"/>
      <c r="G46" s="99"/>
      <c r="H46" s="99"/>
      <c r="I46" s="99"/>
      <c r="J46" s="101"/>
      <c r="K46" s="100"/>
      <c r="L46" s="79"/>
      <c r="M46" s="100"/>
      <c r="N46" s="100"/>
      <c r="O46" s="77"/>
      <c r="P46" s="102"/>
      <c r="Q46" s="76"/>
      <c r="R46" s="76"/>
      <c r="S46" s="78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</row>
    <row r="47" spans="1:30" ht="18.75" x14ac:dyDescent="0.3">
      <c r="A47" s="66"/>
      <c r="B47" s="66"/>
      <c r="C47" s="79"/>
      <c r="D47" s="79"/>
      <c r="E47" s="79"/>
      <c r="F47" s="79"/>
      <c r="G47" s="79"/>
      <c r="H47" s="79"/>
      <c r="I47" s="66"/>
      <c r="J47" s="66"/>
      <c r="K47" s="66"/>
      <c r="L47" s="66"/>
      <c r="M47" s="79"/>
      <c r="N47" s="79"/>
      <c r="O47" s="73"/>
      <c r="P47" s="75"/>
      <c r="Q47" s="66"/>
      <c r="R47" s="66"/>
      <c r="S47" s="66"/>
      <c r="T47" s="76"/>
      <c r="U47" s="66"/>
      <c r="V47" s="66"/>
      <c r="W47" s="66"/>
      <c r="X47" s="66"/>
      <c r="Y47" s="66"/>
      <c r="Z47" s="66"/>
      <c r="AA47" s="66"/>
      <c r="AB47" s="66"/>
      <c r="AC47" s="66"/>
      <c r="AD47" s="66"/>
    </row>
    <row r="48" spans="1:30" ht="18.75" x14ac:dyDescent="0.3">
      <c r="A48" s="66"/>
      <c r="B48" s="79"/>
      <c r="C48" s="79"/>
      <c r="D48" s="79"/>
      <c r="E48" s="79"/>
      <c r="F48" s="79"/>
      <c r="G48" s="79"/>
      <c r="H48" s="79"/>
      <c r="I48" s="66"/>
      <c r="J48" s="66"/>
      <c r="K48" s="66"/>
      <c r="L48" s="79"/>
      <c r="M48" s="79"/>
      <c r="N48" s="79"/>
      <c r="O48" s="73"/>
      <c r="P48" s="75"/>
      <c r="Q48" s="66"/>
      <c r="R48" s="66"/>
      <c r="S48" s="66"/>
      <c r="T48" s="79"/>
      <c r="U48" s="66"/>
      <c r="V48" s="66"/>
      <c r="W48" s="66"/>
      <c r="X48" s="66"/>
      <c r="Y48" s="66"/>
      <c r="Z48" s="66"/>
      <c r="AA48" s="66"/>
      <c r="AB48" s="66"/>
      <c r="AC48" s="66"/>
      <c r="AD48" s="66"/>
    </row>
    <row r="49" spans="1:30" ht="18.75" x14ac:dyDescent="0.3">
      <c r="A49" s="66"/>
      <c r="B49" s="103"/>
      <c r="C49" s="90"/>
      <c r="D49" s="90"/>
      <c r="E49" s="90"/>
      <c r="F49" s="103"/>
      <c r="G49" s="90"/>
      <c r="H49" s="104"/>
      <c r="I49" s="105"/>
      <c r="J49" s="105"/>
      <c r="K49" s="105"/>
      <c r="L49" s="103"/>
      <c r="M49" s="79"/>
      <c r="N49" s="79"/>
      <c r="O49" s="73"/>
      <c r="P49" s="75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</row>
    <row r="50" spans="1:30" ht="18.75" x14ac:dyDescent="0.3">
      <c r="A50" s="66"/>
      <c r="B50" s="106"/>
      <c r="C50" s="90"/>
      <c r="D50" s="90"/>
      <c r="E50" s="90"/>
      <c r="F50" s="103"/>
      <c r="G50" s="90"/>
      <c r="H50" s="104"/>
      <c r="I50" s="107"/>
      <c r="J50" s="105"/>
      <c r="K50" s="105"/>
      <c r="L50" s="106"/>
      <c r="M50" s="79"/>
      <c r="N50" s="79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</row>
    <row r="51" spans="1:30" ht="18.75" x14ac:dyDescent="0.3">
      <c r="A51" s="66"/>
      <c r="B51" s="106"/>
      <c r="C51" s="108"/>
      <c r="D51" s="90"/>
      <c r="E51" s="90"/>
      <c r="F51" s="103"/>
      <c r="G51" s="109"/>
      <c r="H51" s="110"/>
      <c r="I51" s="107"/>
      <c r="J51" s="79"/>
      <c r="K51" s="79"/>
      <c r="L51" s="106"/>
      <c r="M51" s="66"/>
      <c r="N51" s="75"/>
      <c r="O51" s="67"/>
      <c r="P51" s="73"/>
      <c r="Q51" s="73"/>
      <c r="R51" s="75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</row>
    <row r="52" spans="1:30" ht="18.75" x14ac:dyDescent="0.3">
      <c r="A52" s="66"/>
      <c r="B52" s="103"/>
      <c r="C52" s="111"/>
      <c r="D52" s="112"/>
      <c r="E52" s="111"/>
      <c r="F52" s="113"/>
      <c r="G52" s="114"/>
      <c r="H52" s="114"/>
      <c r="I52" s="66"/>
      <c r="J52" s="66"/>
      <c r="K52" s="66"/>
      <c r="L52" s="103"/>
      <c r="M52" s="73"/>
      <c r="N52" s="75"/>
      <c r="O52" s="75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</row>
    <row r="53" spans="1:30" ht="18.75" x14ac:dyDescent="0.3">
      <c r="A53" s="66"/>
      <c r="B53" s="113"/>
      <c r="C53" s="115"/>
      <c r="D53" s="113"/>
      <c r="E53" s="115"/>
      <c r="F53" s="113"/>
      <c r="G53" s="114"/>
      <c r="H53" s="64"/>
      <c r="I53" s="66"/>
      <c r="J53" s="116"/>
      <c r="K53" s="116"/>
      <c r="L53" s="113"/>
      <c r="M53" s="73"/>
      <c r="N53" s="75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</row>
    <row r="54" spans="1:30" ht="18.75" x14ac:dyDescent="0.3">
      <c r="A54" s="66"/>
      <c r="B54" s="66"/>
      <c r="C54" s="66"/>
      <c r="D54" s="66"/>
      <c r="E54" s="117"/>
      <c r="F54" s="66"/>
      <c r="G54" s="64"/>
      <c r="H54" s="64"/>
      <c r="I54" s="65"/>
      <c r="J54" s="73"/>
      <c r="K54" s="67"/>
      <c r="L54" s="66"/>
      <c r="M54" s="73"/>
      <c r="N54" s="75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</row>
    <row r="55" spans="1:30" ht="18.75" x14ac:dyDescent="0.3">
      <c r="A55" s="66"/>
      <c r="B55" s="66"/>
      <c r="C55" s="66"/>
      <c r="D55" s="66"/>
      <c r="E55" s="66"/>
      <c r="F55" s="66"/>
      <c r="G55" s="66"/>
      <c r="H55" s="66"/>
      <c r="I55" s="65"/>
      <c r="J55" s="73"/>
      <c r="K55" s="67"/>
      <c r="L55" s="66"/>
      <c r="M55" s="73"/>
      <c r="N55" s="75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</row>
    <row r="56" spans="1:30" ht="18.75" x14ac:dyDescent="0.3">
      <c r="A56" s="66"/>
      <c r="B56" s="66"/>
      <c r="C56" s="66"/>
      <c r="D56" s="66"/>
      <c r="E56" s="66"/>
      <c r="F56" s="66"/>
      <c r="G56" s="66"/>
      <c r="H56" s="66"/>
      <c r="I56" s="67"/>
      <c r="J56" s="73"/>
      <c r="K56" s="67"/>
      <c r="L56" s="66"/>
      <c r="M56" s="75"/>
      <c r="N56" s="75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</row>
    <row r="57" spans="1:30" ht="15.75" x14ac:dyDescent="0.25">
      <c r="E57" s="68"/>
    </row>
    <row r="59" spans="1:30" ht="15.75" x14ac:dyDescent="0.25">
      <c r="D59" s="68"/>
      <c r="E59" s="69"/>
      <c r="F59" s="10"/>
      <c r="G59" s="10"/>
      <c r="H59" s="10"/>
      <c r="J59" s="10"/>
      <c r="K59" s="10"/>
      <c r="L59" s="10"/>
      <c r="M59" s="10"/>
      <c r="N59" s="11"/>
    </row>
  </sheetData>
  <phoneticPr fontId="0" type="noConversion"/>
  <pageMargins left="0.19685039370078741" right="0.19685039370078741" top="0.98425196850393704" bottom="0.98425196850393704" header="0.51181102362204722" footer="0.51181102362204722"/>
  <pageSetup paperSize="9" scale="60" fitToWidth="0" fitToHeight="0" orientation="landscape" r:id="rId1"/>
  <headerFooter alignWithMargins="0">
    <oddFooter>&amp;R&amp;"Arial,Italic"&amp;D/pobr
&amp;F,&amp;A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41"/>
  <sheetViews>
    <sheetView topLeftCell="A3" zoomScaleNormal="100" workbookViewId="0">
      <selection activeCell="A33" sqref="A33"/>
    </sheetView>
  </sheetViews>
  <sheetFormatPr defaultRowHeight="12.75" x14ac:dyDescent="0.2"/>
  <cols>
    <col min="1" max="1" width="13.85546875" style="3" customWidth="1"/>
    <col min="2" max="2" width="9.42578125" style="3" customWidth="1"/>
    <col min="3" max="3" width="12.140625" style="3" customWidth="1"/>
    <col min="4" max="4" width="12.85546875" style="3" customWidth="1"/>
    <col min="5" max="5" width="10.5703125" style="3" bestFit="1" customWidth="1"/>
    <col min="6" max="6" width="13.5703125" style="3" bestFit="1" customWidth="1"/>
    <col min="7" max="7" width="12.7109375" style="3" customWidth="1"/>
    <col min="8" max="8" width="13.5703125" style="3" bestFit="1" customWidth="1"/>
    <col min="9" max="11" width="13.5703125" style="3" customWidth="1"/>
    <col min="12" max="16" width="12.7109375" style="3" customWidth="1"/>
    <col min="17" max="17" width="8.85546875" style="3" customWidth="1"/>
    <col min="18" max="18" width="13.85546875" style="3" bestFit="1" customWidth="1"/>
    <col min="19" max="19" width="9.140625" style="3" bestFit="1" customWidth="1"/>
    <col min="20" max="20" width="9.5703125" style="3" customWidth="1"/>
    <col min="21" max="21" width="19.28515625" style="151" bestFit="1" customWidth="1"/>
    <col min="22" max="22" width="14.7109375" style="151" bestFit="1" customWidth="1"/>
    <col min="23" max="26" width="15.7109375" style="151" bestFit="1" customWidth="1"/>
    <col min="27" max="27" width="10.85546875" style="3" customWidth="1"/>
    <col min="28" max="28" width="5.85546875" style="3" customWidth="1"/>
    <col min="29" max="29" width="6.28515625" style="3" customWidth="1"/>
    <col min="30" max="30" width="3.28515625" style="3" customWidth="1"/>
    <col min="31" max="31" width="5.28515625" style="3" customWidth="1"/>
    <col min="32" max="32" width="8.5703125" style="3" customWidth="1"/>
    <col min="33" max="33" width="5" style="3" customWidth="1"/>
    <col min="34" max="16384" width="9.140625" style="3"/>
  </cols>
  <sheetData>
    <row r="1" spans="1:28" ht="15.75" x14ac:dyDescent="0.25">
      <c r="A1" s="68" t="str">
        <f>+Plan!A1</f>
        <v>Udmattelse</v>
      </c>
      <c r="D1" s="3" t="str">
        <f>B4&amp;" Fatigue test"</f>
        <v>EQA02 Fatigue test</v>
      </c>
    </row>
    <row r="2" spans="1:28" ht="15.75" x14ac:dyDescent="0.25">
      <c r="A2" s="68"/>
    </row>
    <row r="3" spans="1:28" ht="15.75" x14ac:dyDescent="0.25">
      <c r="A3" s="68" t="str">
        <f>+Plan!A3</f>
        <v>prj nummer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209"/>
      <c r="V3" s="209"/>
      <c r="W3" s="209"/>
    </row>
    <row r="4" spans="1:28" ht="15.75" x14ac:dyDescent="0.25">
      <c r="A4" s="68" t="str">
        <f>+Plan!A4</f>
        <v>Plader:</v>
      </c>
      <c r="B4" s="68" t="str">
        <f>+Plan!B4</f>
        <v>EQA02</v>
      </c>
      <c r="C4" s="68"/>
      <c r="D4" s="68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T4" s="10"/>
      <c r="U4" s="209"/>
      <c r="V4" s="209"/>
      <c r="W4" s="209"/>
    </row>
    <row r="5" spans="1:28" ht="16.5" thickBot="1" x14ac:dyDescent="0.3">
      <c r="A5" s="68" t="str">
        <f>+Plan!A5</f>
        <v>Geometri:</v>
      </c>
      <c r="B5" s="17"/>
      <c r="C5" s="68"/>
      <c r="D5" s="68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204"/>
      <c r="S5" s="204"/>
      <c r="T5" s="127"/>
      <c r="U5" s="127"/>
      <c r="V5" s="210"/>
      <c r="W5" s="210"/>
    </row>
    <row r="6" spans="1:28" ht="13.5" thickBot="1" x14ac:dyDescent="0.25">
      <c r="A6" s="128"/>
      <c r="B6" s="129"/>
      <c r="C6" s="129" t="str">
        <f>+Plan!B6</f>
        <v>R=</v>
      </c>
      <c r="D6" s="130">
        <f>+Plan!C6</f>
        <v>0.1</v>
      </c>
      <c r="E6" s="126" t="str">
        <f>+Plan!E6</f>
        <v>Frekvens</v>
      </c>
      <c r="F6" s="126" t="str">
        <f>+Plan!F6</f>
        <v>5 Hz</v>
      </c>
      <c r="H6" s="17"/>
      <c r="I6" s="17"/>
      <c r="J6" s="17"/>
      <c r="K6" s="17"/>
      <c r="L6" s="17"/>
      <c r="M6" s="17"/>
      <c r="N6" s="229" t="s">
        <v>117</v>
      </c>
      <c r="O6" s="230"/>
      <c r="P6" s="230"/>
      <c r="Q6" s="231"/>
      <c r="R6" s="205"/>
      <c r="S6" s="205"/>
      <c r="T6" s="17"/>
      <c r="U6" s="151" t="s">
        <v>123</v>
      </c>
      <c r="W6" s="210"/>
      <c r="X6" s="210"/>
    </row>
    <row r="7" spans="1:28" x14ac:dyDescent="0.2">
      <c r="A7" s="131" t="s">
        <v>18</v>
      </c>
      <c r="B7" s="131" t="s">
        <v>2</v>
      </c>
      <c r="C7" s="131" t="s">
        <v>3</v>
      </c>
      <c r="D7" s="131" t="s">
        <v>4</v>
      </c>
      <c r="E7" s="131" t="s">
        <v>17</v>
      </c>
      <c r="F7" s="131" t="s">
        <v>9</v>
      </c>
      <c r="G7" s="131" t="s">
        <v>20</v>
      </c>
      <c r="H7" s="131" t="s">
        <v>5</v>
      </c>
      <c r="I7" s="131" t="s">
        <v>22</v>
      </c>
      <c r="J7" s="131" t="s">
        <v>6</v>
      </c>
      <c r="K7" s="131" t="s">
        <v>19</v>
      </c>
      <c r="L7" s="131" t="s">
        <v>116</v>
      </c>
      <c r="M7" s="131" t="s">
        <v>7</v>
      </c>
      <c r="N7" s="131" t="s">
        <v>114</v>
      </c>
      <c r="O7" s="131" t="s">
        <v>115</v>
      </c>
      <c r="P7" s="131" t="s">
        <v>112</v>
      </c>
      <c r="Q7" s="131" t="s">
        <v>113</v>
      </c>
      <c r="R7" s="131" t="s">
        <v>120</v>
      </c>
      <c r="S7" s="131" t="s">
        <v>10</v>
      </c>
      <c r="U7" s="151" t="s">
        <v>122</v>
      </c>
    </row>
    <row r="8" spans="1:28" ht="15" thickBot="1" x14ac:dyDescent="0.25">
      <c r="A8" s="132"/>
      <c r="B8" s="132" t="s">
        <v>11</v>
      </c>
      <c r="C8" s="132" t="s">
        <v>12</v>
      </c>
      <c r="D8" s="132" t="s">
        <v>12</v>
      </c>
      <c r="E8" s="132" t="s">
        <v>111</v>
      </c>
      <c r="F8" s="132"/>
      <c r="G8" s="132" t="s">
        <v>13</v>
      </c>
      <c r="H8" s="132" t="s">
        <v>13</v>
      </c>
      <c r="I8" s="132" t="s">
        <v>14</v>
      </c>
      <c r="J8" s="132" t="s">
        <v>15</v>
      </c>
      <c r="K8" s="132" t="s">
        <v>15</v>
      </c>
      <c r="L8" s="132" t="s">
        <v>15</v>
      </c>
      <c r="M8" s="132" t="s">
        <v>15</v>
      </c>
      <c r="N8" s="132" t="s">
        <v>25</v>
      </c>
      <c r="O8" s="132" t="s">
        <v>25</v>
      </c>
      <c r="P8" s="132" t="s">
        <v>25</v>
      </c>
      <c r="Q8" s="132" t="s">
        <v>25</v>
      </c>
      <c r="R8" s="132" t="s">
        <v>121</v>
      </c>
      <c r="S8" s="133"/>
      <c r="T8" s="3" t="s">
        <v>124</v>
      </c>
      <c r="U8" s="151" t="s">
        <v>125</v>
      </c>
      <c r="V8" s="151" t="s">
        <v>126</v>
      </c>
      <c r="W8" s="151" t="s">
        <v>127</v>
      </c>
      <c r="X8" s="151" t="s">
        <v>128</v>
      </c>
      <c r="Y8" s="151" t="s">
        <v>129</v>
      </c>
      <c r="Z8" s="151" t="s">
        <v>130</v>
      </c>
    </row>
    <row r="9" spans="1:28" x14ac:dyDescent="0.2">
      <c r="A9" s="134">
        <f>+Plan!A9</f>
        <v>0</v>
      </c>
      <c r="B9" s="135" t="str">
        <f>+Plan!B9</f>
        <v>EQA02-01</v>
      </c>
      <c r="C9" s="136">
        <f>+Plan!C9</f>
        <v>25.01</v>
      </c>
      <c r="D9" s="136">
        <f>+Plan!D9</f>
        <v>4.1500000000000004</v>
      </c>
      <c r="E9" s="137">
        <f>+Plan!E9</f>
        <v>103.79150000000001</v>
      </c>
      <c r="F9" s="142">
        <f>+Plan!L9</f>
        <v>1</v>
      </c>
      <c r="G9" s="136" t="str">
        <f>+Plan!F9</f>
        <v>_</v>
      </c>
      <c r="H9" s="138" t="str">
        <f t="shared" ref="H9:H17" si="0">IF(ISNUMBER(G9),+G9*(1-$D$6),"")</f>
        <v/>
      </c>
      <c r="I9" s="139" t="e">
        <f>+J9/E9*1000</f>
        <v>#VALUE!</v>
      </c>
      <c r="J9" s="136" t="e">
        <f>+O9*G9*E9/100</f>
        <v>#VALUE!</v>
      </c>
      <c r="K9" s="140" t="e">
        <f>+J9*$D$6</f>
        <v>#VALUE!</v>
      </c>
      <c r="L9" s="141" t="e">
        <f t="shared" ref="L9" si="1">+(J9+K9)/2</f>
        <v>#VALUE!</v>
      </c>
      <c r="M9" s="141" t="e">
        <f t="shared" ref="M9" si="2">+(J9-K9)/2</f>
        <v>#VALUE!</v>
      </c>
      <c r="N9" s="136">
        <f>+U9</f>
        <v>0</v>
      </c>
      <c r="O9" s="136">
        <f>+V9</f>
        <v>0</v>
      </c>
      <c r="P9" s="136">
        <f>+X9</f>
        <v>0</v>
      </c>
      <c r="Q9" s="136">
        <f>+Z9</f>
        <v>0</v>
      </c>
      <c r="R9" s="202" t="e">
        <f t="shared" ref="R9:R17" si="3">+ABS(P9-Q9)/(P9+Q9)</f>
        <v>#DIV/0!</v>
      </c>
      <c r="S9" s="142" t="str">
        <f>+Plan!N9</f>
        <v>88R1342</v>
      </c>
      <c r="AA9" s="151"/>
      <c r="AB9" s="151"/>
    </row>
    <row r="10" spans="1:28" x14ac:dyDescent="0.2">
      <c r="A10" s="134">
        <f>+Plan!A10</f>
        <v>0</v>
      </c>
      <c r="B10" s="135" t="str">
        <f>+Plan!B10</f>
        <v>EQA02-02</v>
      </c>
      <c r="C10" s="136">
        <f>+Plan!C10</f>
        <v>25.19</v>
      </c>
      <c r="D10" s="136">
        <f>+Plan!D10</f>
        <v>4.3499999999999996</v>
      </c>
      <c r="E10" s="137">
        <f>+Plan!E10</f>
        <v>109.5765</v>
      </c>
      <c r="F10" s="142">
        <f>+Plan!L10</f>
        <v>1</v>
      </c>
      <c r="G10" s="136" t="str">
        <f>+Plan!F10</f>
        <v>_</v>
      </c>
      <c r="H10" s="138" t="str">
        <f t="shared" si="0"/>
        <v/>
      </c>
      <c r="I10" s="139" t="e">
        <f t="shared" ref="I10:I16" si="4">+J10/C10/D10*1000</f>
        <v>#VALUE!</v>
      </c>
      <c r="J10" s="136" t="e">
        <f t="shared" ref="J10:J16" si="5">+O10*G10*E10/100</f>
        <v>#VALUE!</v>
      </c>
      <c r="K10" s="140" t="e">
        <f t="shared" ref="K10:K17" si="6">+J10*$D$6</f>
        <v>#VALUE!</v>
      </c>
      <c r="L10" s="141" t="e">
        <f t="shared" ref="L10:L16" si="7">+(J10+K10)/2</f>
        <v>#VALUE!</v>
      </c>
      <c r="M10" s="141" t="e">
        <f t="shared" ref="M10:M16" si="8">+(J10-K10)/2</f>
        <v>#VALUE!</v>
      </c>
      <c r="N10" s="136">
        <f t="shared" ref="N10:N12" si="9">+U10</f>
        <v>0</v>
      </c>
      <c r="O10" s="136">
        <f t="shared" ref="O10:O12" si="10">+V10</f>
        <v>0</v>
      </c>
      <c r="P10" s="136">
        <f t="shared" ref="P10:P12" si="11">+X10</f>
        <v>0</v>
      </c>
      <c r="Q10" s="136">
        <f t="shared" ref="Q10:Q12" si="12">+Z10</f>
        <v>0</v>
      </c>
      <c r="R10" s="202" t="e">
        <f t="shared" si="3"/>
        <v>#DIV/0!</v>
      </c>
      <c r="S10" s="142" t="str">
        <f>+Plan!N10</f>
        <v>88R1342</v>
      </c>
    </row>
    <row r="11" spans="1:28" x14ac:dyDescent="0.2">
      <c r="A11" s="134">
        <f>+Plan!A11</f>
        <v>42216</v>
      </c>
      <c r="B11" s="135" t="str">
        <f>+Plan!B11</f>
        <v>EQA02-03</v>
      </c>
      <c r="C11" s="136">
        <f>+Plan!C11</f>
        <v>25.21</v>
      </c>
      <c r="D11" s="136">
        <f>+Plan!D11</f>
        <v>4.3600000000000003</v>
      </c>
      <c r="E11" s="137">
        <f>+Plan!E11</f>
        <v>109.91560000000001</v>
      </c>
      <c r="F11" s="142">
        <f>+Plan!L11</f>
        <v>36156</v>
      </c>
      <c r="G11" s="136">
        <f>+Plan!F11</f>
        <v>1</v>
      </c>
      <c r="H11" s="138">
        <f t="shared" si="0"/>
        <v>0.9</v>
      </c>
      <c r="I11" s="139">
        <f t="shared" si="4"/>
        <v>0</v>
      </c>
      <c r="J11" s="136">
        <f t="shared" si="5"/>
        <v>0</v>
      </c>
      <c r="K11" s="140">
        <f t="shared" si="6"/>
        <v>0</v>
      </c>
      <c r="L11" s="141">
        <f t="shared" si="7"/>
        <v>0</v>
      </c>
      <c r="M11" s="141">
        <f t="shared" si="8"/>
        <v>0</v>
      </c>
      <c r="N11" s="136">
        <f t="shared" si="9"/>
        <v>0</v>
      </c>
      <c r="O11" s="136">
        <f t="shared" si="10"/>
        <v>0</v>
      </c>
      <c r="P11" s="136">
        <f t="shared" si="11"/>
        <v>0</v>
      </c>
      <c r="Q11" s="136">
        <f t="shared" si="12"/>
        <v>0</v>
      </c>
      <c r="R11" s="202" t="e">
        <f t="shared" si="3"/>
        <v>#DIV/0!</v>
      </c>
      <c r="S11" s="142" t="str">
        <f>+Plan!N11</f>
        <v>88R1342</v>
      </c>
    </row>
    <row r="12" spans="1:28" x14ac:dyDescent="0.2">
      <c r="A12" s="134">
        <f>+Plan!A12</f>
        <v>42219</v>
      </c>
      <c r="B12" s="135" t="str">
        <f>+Plan!B12</f>
        <v>EQA02-04</v>
      </c>
      <c r="C12" s="136">
        <f>+Plan!C12</f>
        <v>25.19</v>
      </c>
      <c r="D12" s="136">
        <f>+Plan!D12</f>
        <v>4.25</v>
      </c>
      <c r="E12" s="137">
        <f>+Plan!E12</f>
        <v>107.0575</v>
      </c>
      <c r="F12" s="142">
        <f>+Plan!L12</f>
        <v>83871</v>
      </c>
      <c r="G12" s="136">
        <f>+Plan!F12</f>
        <v>0.9</v>
      </c>
      <c r="H12" s="138">
        <f t="shared" si="0"/>
        <v>0.81</v>
      </c>
      <c r="I12" s="139">
        <f t="shared" si="4"/>
        <v>0</v>
      </c>
      <c r="J12" s="136">
        <f t="shared" si="5"/>
        <v>0</v>
      </c>
      <c r="K12" s="140">
        <f t="shared" si="6"/>
        <v>0</v>
      </c>
      <c r="L12" s="141">
        <f t="shared" si="7"/>
        <v>0</v>
      </c>
      <c r="M12" s="141">
        <f t="shared" si="8"/>
        <v>0</v>
      </c>
      <c r="N12" s="136">
        <f t="shared" si="9"/>
        <v>0</v>
      </c>
      <c r="O12" s="136">
        <f t="shared" si="10"/>
        <v>0</v>
      </c>
      <c r="P12" s="136">
        <f t="shared" si="11"/>
        <v>0</v>
      </c>
      <c r="Q12" s="136">
        <f t="shared" si="12"/>
        <v>0</v>
      </c>
      <c r="R12" s="202" t="e">
        <f t="shared" si="3"/>
        <v>#DIV/0!</v>
      </c>
      <c r="S12" s="142" t="str">
        <f>+Plan!N12</f>
        <v>88R1342</v>
      </c>
    </row>
    <row r="13" spans="1:28" x14ac:dyDescent="0.2">
      <c r="A13" s="134">
        <f>+Plan!A13</f>
        <v>42219</v>
      </c>
      <c r="B13" s="135" t="str">
        <f>+Plan!B13</f>
        <v>EQA02-05</v>
      </c>
      <c r="C13" s="136">
        <f>+Plan!C13</f>
        <v>25.18</v>
      </c>
      <c r="D13" s="136">
        <f>+Plan!D13</f>
        <v>4.21</v>
      </c>
      <c r="E13" s="137">
        <f>+Plan!E13</f>
        <v>106.0078</v>
      </c>
      <c r="F13" s="142">
        <f>+Plan!L13</f>
        <v>130906</v>
      </c>
      <c r="G13" s="136">
        <f>+Plan!F13</f>
        <v>0.8</v>
      </c>
      <c r="H13" s="138">
        <f t="shared" si="0"/>
        <v>0.72000000000000008</v>
      </c>
      <c r="I13" s="139">
        <f t="shared" si="4"/>
        <v>0</v>
      </c>
      <c r="J13" s="136">
        <f t="shared" si="5"/>
        <v>0</v>
      </c>
      <c r="K13" s="140">
        <f t="shared" si="6"/>
        <v>0</v>
      </c>
      <c r="L13" s="141">
        <f t="shared" si="7"/>
        <v>0</v>
      </c>
      <c r="M13" s="141">
        <f t="shared" si="8"/>
        <v>0</v>
      </c>
      <c r="N13" s="136"/>
      <c r="O13" s="136"/>
      <c r="P13" s="136"/>
      <c r="Q13" s="136"/>
      <c r="R13" s="202" t="e">
        <f t="shared" si="3"/>
        <v>#DIV/0!</v>
      </c>
      <c r="S13" s="142" t="str">
        <f>+Plan!N13</f>
        <v>88R1331</v>
      </c>
    </row>
    <row r="14" spans="1:28" x14ac:dyDescent="0.2">
      <c r="A14" s="143">
        <f>+Plan!A14</f>
        <v>42221</v>
      </c>
      <c r="B14" s="144" t="str">
        <f>+Plan!B14</f>
        <v>EQA02-06</v>
      </c>
      <c r="C14" s="136">
        <f>+Plan!C14</f>
        <v>25.2</v>
      </c>
      <c r="D14" s="136">
        <f>+Plan!D14</f>
        <v>4.28</v>
      </c>
      <c r="E14" s="137">
        <f>+Plan!E14</f>
        <v>107.85600000000001</v>
      </c>
      <c r="F14" s="142">
        <f>+Plan!L14</f>
        <v>24379</v>
      </c>
      <c r="G14" s="136">
        <f>+Plan!F14</f>
        <v>1.1000000000000001</v>
      </c>
      <c r="H14" s="138">
        <f t="shared" si="0"/>
        <v>0.9900000000000001</v>
      </c>
      <c r="I14" s="139">
        <f t="shared" si="4"/>
        <v>0</v>
      </c>
      <c r="J14" s="136">
        <f t="shared" si="5"/>
        <v>0</v>
      </c>
      <c r="K14" s="140">
        <f t="shared" si="6"/>
        <v>0</v>
      </c>
      <c r="L14" s="141">
        <f t="shared" si="7"/>
        <v>0</v>
      </c>
      <c r="M14" s="141">
        <f t="shared" si="8"/>
        <v>0</v>
      </c>
      <c r="N14" s="136"/>
      <c r="O14" s="136"/>
      <c r="P14" s="136"/>
      <c r="Q14" s="136"/>
      <c r="R14" s="202" t="e">
        <f t="shared" si="3"/>
        <v>#DIV/0!</v>
      </c>
      <c r="S14" s="142" t="str">
        <f>+Plan!N14</f>
        <v>88R1331</v>
      </c>
    </row>
    <row r="15" spans="1:28" x14ac:dyDescent="0.2">
      <c r="A15" s="134">
        <f>+Plan!A15</f>
        <v>0</v>
      </c>
      <c r="B15" s="135" t="str">
        <f>+Plan!B15</f>
        <v>EQA02-07</v>
      </c>
      <c r="C15" s="145">
        <f>+Plan!C15</f>
        <v>25.19</v>
      </c>
      <c r="D15" s="145">
        <f>+Plan!D15</f>
        <v>4.13</v>
      </c>
      <c r="E15" s="146">
        <f>+Plan!E15</f>
        <v>104.0347</v>
      </c>
      <c r="F15" s="150">
        <f>+Plan!L15</f>
        <v>0</v>
      </c>
      <c r="G15" s="145">
        <f>+Plan!F15</f>
        <v>0</v>
      </c>
      <c r="H15" s="147">
        <f t="shared" si="0"/>
        <v>0</v>
      </c>
      <c r="I15" s="148">
        <f t="shared" si="4"/>
        <v>0</v>
      </c>
      <c r="J15" s="145">
        <f t="shared" si="5"/>
        <v>0</v>
      </c>
      <c r="K15" s="149">
        <f t="shared" si="6"/>
        <v>0</v>
      </c>
      <c r="L15" s="147">
        <f t="shared" si="7"/>
        <v>0</v>
      </c>
      <c r="M15" s="147">
        <f t="shared" si="8"/>
        <v>0</v>
      </c>
      <c r="N15" s="145"/>
      <c r="O15" s="145"/>
      <c r="P15" s="145"/>
      <c r="Q15" s="145"/>
      <c r="R15" s="203" t="e">
        <f t="shared" si="3"/>
        <v>#DIV/0!</v>
      </c>
      <c r="S15" s="142">
        <f>+Plan!N15</f>
        <v>0</v>
      </c>
    </row>
    <row r="16" spans="1:28" x14ac:dyDescent="0.2">
      <c r="A16" s="143">
        <f>+Plan!A16</f>
        <v>0</v>
      </c>
      <c r="B16" s="144" t="str">
        <f>+Plan!B16</f>
        <v>EQA02-08</v>
      </c>
      <c r="C16" s="136">
        <f>+Plan!C16</f>
        <v>25.26</v>
      </c>
      <c r="D16" s="136">
        <f>+Plan!D16</f>
        <v>4.28</v>
      </c>
      <c r="E16" s="137">
        <f>+Plan!E16</f>
        <v>108.11280000000001</v>
      </c>
      <c r="F16" s="142">
        <f>+Plan!L16</f>
        <v>0</v>
      </c>
      <c r="G16" s="145">
        <f>+Plan!F16</f>
        <v>0</v>
      </c>
      <c r="H16" s="138">
        <f t="shared" si="0"/>
        <v>0</v>
      </c>
      <c r="I16" s="139">
        <f t="shared" si="4"/>
        <v>0</v>
      </c>
      <c r="J16" s="136">
        <f t="shared" si="5"/>
        <v>0</v>
      </c>
      <c r="K16" s="140">
        <f t="shared" si="6"/>
        <v>0</v>
      </c>
      <c r="L16" s="141">
        <f t="shared" si="7"/>
        <v>0</v>
      </c>
      <c r="M16" s="141">
        <f t="shared" si="8"/>
        <v>0</v>
      </c>
      <c r="N16" s="136"/>
      <c r="O16" s="136"/>
      <c r="P16" s="136"/>
      <c r="Q16" s="136"/>
      <c r="R16" s="202" t="e">
        <f t="shared" si="3"/>
        <v>#DIV/0!</v>
      </c>
      <c r="S16" s="142">
        <f>+Plan!N16</f>
        <v>0</v>
      </c>
    </row>
    <row r="17" spans="1:19" x14ac:dyDescent="0.2">
      <c r="A17" s="143">
        <f>+Plan!A17</f>
        <v>42219</v>
      </c>
      <c r="B17" s="144" t="str">
        <f>+Plan!B17</f>
        <v>EQA02-09</v>
      </c>
      <c r="C17" s="136">
        <f>+Plan!C17</f>
        <v>25.25</v>
      </c>
      <c r="D17" s="136">
        <f>+Plan!D17</f>
        <v>4.2699999999999996</v>
      </c>
      <c r="E17" s="137">
        <f>+Plan!E17</f>
        <v>107.8175</v>
      </c>
      <c r="F17" s="142">
        <f>+Plan!L17</f>
        <v>255387</v>
      </c>
      <c r="G17" s="145">
        <f>+Plan!F17</f>
        <v>0.7</v>
      </c>
      <c r="H17" s="138">
        <f t="shared" si="0"/>
        <v>0.63</v>
      </c>
      <c r="I17" s="139">
        <f t="shared" ref="I17" si="13">+J17/C17/D17*1000</f>
        <v>0</v>
      </c>
      <c r="J17" s="136">
        <f t="shared" ref="J17" si="14">+O17*G17*E17/100</f>
        <v>0</v>
      </c>
      <c r="K17" s="140">
        <f t="shared" si="6"/>
        <v>0</v>
      </c>
      <c r="L17" s="141">
        <f t="shared" ref="L17" si="15">+(J17+K17)/2</f>
        <v>0</v>
      </c>
      <c r="M17" s="141">
        <f t="shared" ref="M17" si="16">+(J17-K17)/2</f>
        <v>0</v>
      </c>
      <c r="N17" s="141"/>
      <c r="O17" s="141"/>
      <c r="P17" s="136"/>
      <c r="Q17" s="136"/>
      <c r="R17" s="202" t="e">
        <f t="shared" si="3"/>
        <v>#DIV/0!</v>
      </c>
      <c r="S17" s="142" t="str">
        <f>+Plan!N17</f>
        <v>88R1342</v>
      </c>
    </row>
    <row r="18" spans="1:19" x14ac:dyDescent="0.2">
      <c r="A18" s="143">
        <f>+Plan!A18</f>
        <v>42220</v>
      </c>
      <c r="B18" s="144" t="str">
        <f>+Plan!B18</f>
        <v>EQA02-10</v>
      </c>
      <c r="C18" s="136">
        <f>+Plan!C18</f>
        <v>25.27</v>
      </c>
      <c r="D18" s="136">
        <f>+Plan!D18</f>
        <v>4.2699999999999996</v>
      </c>
      <c r="E18" s="137">
        <f>+Plan!E18</f>
        <v>107.90289999999999</v>
      </c>
      <c r="F18" s="142">
        <f>+Plan!L18</f>
        <v>596316</v>
      </c>
      <c r="G18" s="145">
        <f>+Plan!F18</f>
        <v>0.6</v>
      </c>
      <c r="H18" s="138">
        <f t="shared" ref="H18" si="17">IF(ISNUMBER(G18),+G18*(1-$D$6),"")</f>
        <v>0.54</v>
      </c>
      <c r="I18" s="139">
        <f t="shared" ref="I18" si="18">+J18/C18/D18*1000</f>
        <v>0</v>
      </c>
      <c r="J18" s="136">
        <f t="shared" ref="J18" si="19">+O18*G18*E18/100</f>
        <v>0</v>
      </c>
      <c r="K18" s="140">
        <f t="shared" ref="K18" si="20">+J18*$D$6</f>
        <v>0</v>
      </c>
      <c r="L18" s="141">
        <f t="shared" ref="L18" si="21">+(J18+K18)/2</f>
        <v>0</v>
      </c>
      <c r="M18" s="141">
        <f t="shared" ref="M18" si="22">+(J18-K18)/2</f>
        <v>0</v>
      </c>
      <c r="N18" s="141"/>
      <c r="O18" s="141"/>
      <c r="P18" s="136"/>
      <c r="Q18" s="136"/>
      <c r="R18" s="202" t="e">
        <f t="shared" ref="R18" si="23">+ABS(P18-Q18)/(P18+Q18)</f>
        <v>#DIV/0!</v>
      </c>
      <c r="S18" s="142" t="str">
        <f>+Plan!N18</f>
        <v>88R1342</v>
      </c>
    </row>
    <row r="19" spans="1:19" x14ac:dyDescent="0.2">
      <c r="A19" s="143">
        <f>+Plan!A19</f>
        <v>42220</v>
      </c>
      <c r="B19" s="144" t="str">
        <f>+Plan!B19</f>
        <v>EQA02-11</v>
      </c>
      <c r="C19" s="136">
        <f>+Plan!C19</f>
        <v>25.28</v>
      </c>
      <c r="D19" s="136">
        <f>+Plan!D19</f>
        <v>4.09</v>
      </c>
      <c r="E19" s="137">
        <f>+Plan!E19</f>
        <v>103.3952</v>
      </c>
      <c r="F19" s="142">
        <f>+Plan!L19</f>
        <v>2500000</v>
      </c>
      <c r="G19" s="145">
        <f>+Plan!F19</f>
        <v>0.55000000000000004</v>
      </c>
      <c r="H19" s="138">
        <f t="shared" ref="H19" si="24">IF(ISNUMBER(G19),+G19*(1-$D$6),"")</f>
        <v>0.49500000000000005</v>
      </c>
      <c r="I19" s="139">
        <f t="shared" ref="I19" si="25">+J19/C19/D19*1000</f>
        <v>0</v>
      </c>
      <c r="J19" s="136">
        <f t="shared" ref="J19" si="26">+O19*G19*E19/100</f>
        <v>0</v>
      </c>
      <c r="K19" s="140">
        <f t="shared" ref="K19" si="27">+J19*$D$6</f>
        <v>0</v>
      </c>
      <c r="L19" s="141">
        <f t="shared" ref="L19" si="28">+(J19+K19)/2</f>
        <v>0</v>
      </c>
      <c r="M19" s="141">
        <f t="shared" ref="M19" si="29">+(J19-K19)/2</f>
        <v>0</v>
      </c>
      <c r="N19" s="141"/>
      <c r="O19" s="141"/>
      <c r="P19" s="136"/>
      <c r="Q19" s="136"/>
      <c r="R19" s="202" t="e">
        <f t="shared" ref="R19" si="30">+ABS(P19-Q19)/(P19+Q19)</f>
        <v>#DIV/0!</v>
      </c>
      <c r="S19" s="142" t="str">
        <f>+Plan!N19</f>
        <v>88R8501</v>
      </c>
    </row>
    <row r="20" spans="1:19" x14ac:dyDescent="0.2">
      <c r="S20" s="63"/>
    </row>
    <row r="21" spans="1:19" ht="19.5" thickBot="1" x14ac:dyDescent="0.35">
      <c r="A21" s="49" t="s">
        <v>109</v>
      </c>
      <c r="B21" s="48" t="s">
        <v>110</v>
      </c>
      <c r="H21" s="3" t="s">
        <v>157</v>
      </c>
      <c r="I21" s="3" t="s">
        <v>158</v>
      </c>
      <c r="S21" s="63"/>
    </row>
    <row r="22" spans="1:19" ht="15.75" thickBot="1" x14ac:dyDescent="0.3">
      <c r="A22" s="54" t="s">
        <v>108</v>
      </c>
      <c r="B22" s="55" t="s">
        <v>101</v>
      </c>
      <c r="C22" s="54" t="s">
        <v>108</v>
      </c>
      <c r="D22" s="55" t="s">
        <v>5</v>
      </c>
      <c r="E22" s="54" t="s">
        <v>108</v>
      </c>
      <c r="F22" s="55" t="s">
        <v>102</v>
      </c>
      <c r="G22" s="3" t="str">
        <f>+B4</f>
        <v>EQA02</v>
      </c>
      <c r="H22" s="151">
        <f>+Plan!H22</f>
        <v>38.561428571428564</v>
      </c>
      <c r="I22" s="52">
        <f>+'ASTM E739 stat (Max Strain)'!J13</f>
        <v>40534.605113527876</v>
      </c>
      <c r="S22" s="63"/>
    </row>
    <row r="23" spans="1:19" x14ac:dyDescent="0.2">
      <c r="A23" s="52">
        <f>+F9</f>
        <v>1</v>
      </c>
      <c r="B23" s="57" t="str">
        <f>+G9</f>
        <v>_</v>
      </c>
      <c r="C23" s="56">
        <f>+F9</f>
        <v>1</v>
      </c>
      <c r="D23" s="151" t="str">
        <f>+H9</f>
        <v/>
      </c>
      <c r="E23" s="56">
        <f>+F9</f>
        <v>1</v>
      </c>
      <c r="F23" s="61" t="e">
        <f>+I9</f>
        <v>#VALUE!</v>
      </c>
      <c r="S23" s="63"/>
    </row>
    <row r="24" spans="1:19" x14ac:dyDescent="0.2">
      <c r="A24" s="52">
        <f t="shared" ref="A24:A31" si="31">+F10</f>
        <v>1</v>
      </c>
      <c r="B24" s="59" t="str">
        <f t="shared" ref="B24:B31" si="32">+G10</f>
        <v>_</v>
      </c>
      <c r="C24" s="58">
        <f t="shared" ref="C24:C31" si="33">+F10</f>
        <v>1</v>
      </c>
      <c r="D24" s="151" t="str">
        <f t="shared" ref="D24:D31" si="34">+H10</f>
        <v/>
      </c>
      <c r="E24" s="58">
        <f t="shared" ref="E24:E31" si="35">+F10</f>
        <v>1</v>
      </c>
      <c r="F24" s="62" t="e">
        <f t="shared" ref="F24:F31" si="36">+I10</f>
        <v>#VALUE!</v>
      </c>
      <c r="S24" s="63"/>
    </row>
    <row r="25" spans="1:19" x14ac:dyDescent="0.2">
      <c r="A25" s="52">
        <f t="shared" si="31"/>
        <v>36156</v>
      </c>
      <c r="B25" s="59">
        <f t="shared" si="32"/>
        <v>1</v>
      </c>
      <c r="C25" s="58">
        <f t="shared" si="33"/>
        <v>36156</v>
      </c>
      <c r="D25" s="151">
        <f t="shared" si="34"/>
        <v>0.9</v>
      </c>
      <c r="E25" s="58">
        <f t="shared" si="35"/>
        <v>36156</v>
      </c>
      <c r="F25" s="62">
        <f t="shared" si="36"/>
        <v>0</v>
      </c>
      <c r="S25" s="63"/>
    </row>
    <row r="26" spans="1:19" x14ac:dyDescent="0.2">
      <c r="A26" s="52">
        <f t="shared" si="31"/>
        <v>83871</v>
      </c>
      <c r="B26" s="59">
        <f t="shared" si="32"/>
        <v>0.9</v>
      </c>
      <c r="C26" s="58">
        <f t="shared" si="33"/>
        <v>83871</v>
      </c>
      <c r="D26" s="151">
        <f t="shared" si="34"/>
        <v>0.81</v>
      </c>
      <c r="E26" s="58">
        <f t="shared" si="35"/>
        <v>83871</v>
      </c>
      <c r="F26" s="62">
        <f t="shared" si="36"/>
        <v>0</v>
      </c>
      <c r="S26" s="63"/>
    </row>
    <row r="27" spans="1:19" x14ac:dyDescent="0.2">
      <c r="A27" s="52">
        <f t="shared" si="31"/>
        <v>130906</v>
      </c>
      <c r="B27" s="59">
        <f t="shared" si="32"/>
        <v>0.8</v>
      </c>
      <c r="C27" s="58">
        <f t="shared" si="33"/>
        <v>130906</v>
      </c>
      <c r="D27" s="151">
        <f t="shared" si="34"/>
        <v>0.72000000000000008</v>
      </c>
      <c r="E27" s="58">
        <f t="shared" si="35"/>
        <v>130906</v>
      </c>
      <c r="F27" s="62">
        <f t="shared" si="36"/>
        <v>0</v>
      </c>
      <c r="S27" s="63"/>
    </row>
    <row r="28" spans="1:19" x14ac:dyDescent="0.2">
      <c r="A28" s="52">
        <f t="shared" si="31"/>
        <v>24379</v>
      </c>
      <c r="B28" s="59">
        <f t="shared" si="32"/>
        <v>1.1000000000000001</v>
      </c>
      <c r="C28" s="58">
        <f t="shared" si="33"/>
        <v>24379</v>
      </c>
      <c r="D28" s="151">
        <f t="shared" si="34"/>
        <v>0.9900000000000001</v>
      </c>
      <c r="E28" s="58">
        <f t="shared" si="35"/>
        <v>24379</v>
      </c>
      <c r="F28" s="62">
        <f t="shared" si="36"/>
        <v>0</v>
      </c>
      <c r="S28" s="63"/>
    </row>
    <row r="29" spans="1:19" x14ac:dyDescent="0.2">
      <c r="A29" s="52">
        <f t="shared" si="31"/>
        <v>0</v>
      </c>
      <c r="B29" s="59">
        <f t="shared" si="32"/>
        <v>0</v>
      </c>
      <c r="C29" s="58">
        <f t="shared" si="33"/>
        <v>0</v>
      </c>
      <c r="D29" s="151">
        <f t="shared" si="34"/>
        <v>0</v>
      </c>
      <c r="E29" s="58">
        <f t="shared" si="35"/>
        <v>0</v>
      </c>
      <c r="F29" s="62">
        <f t="shared" si="36"/>
        <v>0</v>
      </c>
      <c r="S29" s="63"/>
    </row>
    <row r="30" spans="1:19" x14ac:dyDescent="0.2">
      <c r="A30" s="52">
        <f t="shared" si="31"/>
        <v>0</v>
      </c>
      <c r="B30" s="59">
        <f t="shared" si="32"/>
        <v>0</v>
      </c>
      <c r="C30" s="58">
        <f t="shared" si="33"/>
        <v>0</v>
      </c>
      <c r="D30" s="151">
        <f t="shared" si="34"/>
        <v>0</v>
      </c>
      <c r="E30" s="58">
        <f t="shared" si="35"/>
        <v>0</v>
      </c>
      <c r="F30" s="62">
        <f t="shared" si="36"/>
        <v>0</v>
      </c>
      <c r="S30" s="63"/>
    </row>
    <row r="31" spans="1:19" x14ac:dyDescent="0.2">
      <c r="A31" s="52">
        <f t="shared" si="31"/>
        <v>255387</v>
      </c>
      <c r="B31" s="59">
        <f t="shared" si="32"/>
        <v>0.7</v>
      </c>
      <c r="C31" s="58">
        <f t="shared" si="33"/>
        <v>255387</v>
      </c>
      <c r="D31" s="151">
        <f t="shared" si="34"/>
        <v>0.63</v>
      </c>
      <c r="E31" s="58">
        <f t="shared" si="35"/>
        <v>255387</v>
      </c>
      <c r="F31" s="62">
        <f t="shared" si="36"/>
        <v>0</v>
      </c>
      <c r="S31" s="63"/>
    </row>
    <row r="32" spans="1:19" x14ac:dyDescent="0.2">
      <c r="A32" s="52">
        <f t="shared" ref="A32:A33" si="37">+F18</f>
        <v>596316</v>
      </c>
      <c r="B32" s="59">
        <f t="shared" ref="B32" si="38">+G18</f>
        <v>0.6</v>
      </c>
      <c r="C32" s="58">
        <f t="shared" ref="C32:C33" si="39">+F18</f>
        <v>596316</v>
      </c>
      <c r="D32" s="151">
        <f t="shared" ref="D32:D33" si="40">+H18</f>
        <v>0.54</v>
      </c>
      <c r="E32" s="58">
        <f t="shared" ref="E32:E33" si="41">+F18</f>
        <v>596316</v>
      </c>
      <c r="F32" s="62">
        <f t="shared" ref="F32:F33" si="42">+I18</f>
        <v>0</v>
      </c>
      <c r="S32" s="63"/>
    </row>
    <row r="33" spans="1:19" x14ac:dyDescent="0.2">
      <c r="A33" s="52">
        <f t="shared" si="37"/>
        <v>2500000</v>
      </c>
      <c r="B33" s="59">
        <f>+G19</f>
        <v>0.55000000000000004</v>
      </c>
      <c r="C33" s="58">
        <f t="shared" si="39"/>
        <v>2500000</v>
      </c>
      <c r="D33" s="151">
        <f t="shared" si="40"/>
        <v>0.49500000000000005</v>
      </c>
      <c r="E33" s="58">
        <f t="shared" si="41"/>
        <v>2500000</v>
      </c>
      <c r="F33" s="62">
        <f t="shared" si="42"/>
        <v>0</v>
      </c>
      <c r="S33" s="63"/>
    </row>
    <row r="34" spans="1:19" x14ac:dyDescent="0.2">
      <c r="S34" s="63"/>
    </row>
    <row r="35" spans="1:19" x14ac:dyDescent="0.2">
      <c r="S35" s="63"/>
    </row>
    <row r="36" spans="1:19" x14ac:dyDescent="0.2">
      <c r="S36" s="63"/>
    </row>
    <row r="37" spans="1:19" x14ac:dyDescent="0.2">
      <c r="S37" s="63"/>
    </row>
    <row r="38" spans="1:19" x14ac:dyDescent="0.2">
      <c r="S38" s="63"/>
    </row>
    <row r="39" spans="1:19" x14ac:dyDescent="0.2">
      <c r="S39" s="63"/>
    </row>
    <row r="40" spans="1:19" x14ac:dyDescent="0.2">
      <c r="S40" s="63"/>
    </row>
    <row r="41" spans="1:19" x14ac:dyDescent="0.2">
      <c r="S41" s="63"/>
    </row>
  </sheetData>
  <mergeCells count="1">
    <mergeCell ref="N6:Q6"/>
  </mergeCells>
  <phoneticPr fontId="0" type="noConversion"/>
  <pageMargins left="0.32" right="0.22" top="1" bottom="1" header="0.5" footer="0.5"/>
  <pageSetup paperSize="9" scale="42" orientation="landscape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3"/>
  <sheetViews>
    <sheetView tabSelected="1" zoomScale="75" workbookViewId="0">
      <selection activeCell="D53" sqref="D53"/>
    </sheetView>
  </sheetViews>
  <sheetFormatPr defaultRowHeight="12.75" x14ac:dyDescent="0.2"/>
  <cols>
    <col min="1" max="1" width="12.140625" customWidth="1"/>
    <col min="2" max="2" width="13.7109375" bestFit="1" customWidth="1"/>
    <col min="3" max="7" width="9" bestFit="1" customWidth="1"/>
    <col min="8" max="8" width="15.28515625" customWidth="1"/>
    <col min="9" max="10" width="12.7109375" customWidth="1"/>
    <col min="11" max="11" width="15.42578125" customWidth="1"/>
    <col min="12" max="12" width="12.7109375" customWidth="1"/>
    <col min="13" max="13" width="10.5703125" bestFit="1" customWidth="1"/>
    <col min="14" max="19" width="13.140625" customWidth="1"/>
    <col min="20" max="25" width="9" customWidth="1"/>
    <col min="26" max="26" width="26.85546875" customWidth="1"/>
    <col min="27" max="27" width="14.85546875" customWidth="1"/>
    <col min="28" max="28" width="12.42578125" customWidth="1"/>
    <col min="29" max="29" width="16.7109375" customWidth="1"/>
    <col min="31" max="31" width="16.42578125" customWidth="1"/>
    <col min="32" max="32" width="11.28515625" customWidth="1"/>
    <col min="33" max="33" width="13" customWidth="1"/>
    <col min="34" max="34" width="13.42578125" customWidth="1"/>
  </cols>
  <sheetData>
    <row r="1" spans="1:37" ht="13.5" thickBot="1" x14ac:dyDescent="0.25">
      <c r="A1" s="155" t="s">
        <v>27</v>
      </c>
      <c r="B1" s="155"/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156" t="s">
        <v>33</v>
      </c>
      <c r="I1" s="157">
        <f>COUNT(C:C)</f>
        <v>6</v>
      </c>
      <c r="J1" s="3"/>
      <c r="K1" s="3"/>
      <c r="L1" s="3"/>
      <c r="M1" s="63" t="s">
        <v>28</v>
      </c>
      <c r="N1" s="63" t="s">
        <v>34</v>
      </c>
      <c r="O1" s="63" t="s">
        <v>28</v>
      </c>
      <c r="P1" s="63" t="s">
        <v>35</v>
      </c>
      <c r="Q1" s="63" t="s">
        <v>36</v>
      </c>
      <c r="R1" s="63" t="s">
        <v>37</v>
      </c>
      <c r="S1" s="63" t="s">
        <v>38</v>
      </c>
      <c r="T1" s="232" t="s">
        <v>39</v>
      </c>
      <c r="U1" s="232"/>
      <c r="V1" s="232" t="s">
        <v>40</v>
      </c>
      <c r="W1" s="232"/>
      <c r="X1" s="232" t="s">
        <v>41</v>
      </c>
      <c r="Y1" s="232"/>
      <c r="Z1" s="3" t="s">
        <v>42</v>
      </c>
      <c r="AA1" s="3"/>
      <c r="AB1" s="3"/>
      <c r="AC1" s="3"/>
      <c r="AD1" s="3"/>
      <c r="AE1" s="3"/>
      <c r="AF1" s="3"/>
      <c r="AG1" s="3"/>
      <c r="AH1" s="3"/>
      <c r="AI1" s="1"/>
      <c r="AJ1" s="1"/>
      <c r="AK1" s="1"/>
    </row>
    <row r="2" spans="1:37" ht="13.5" thickBot="1" x14ac:dyDescent="0.25">
      <c r="A2" s="53"/>
      <c r="B2" s="52"/>
      <c r="C2" s="53"/>
      <c r="D2" s="53"/>
      <c r="E2" s="53"/>
      <c r="F2" s="53"/>
      <c r="G2" s="3"/>
      <c r="H2" s="158" t="s">
        <v>43</v>
      </c>
      <c r="I2" s="59">
        <f>SUM(C:C)</f>
        <v>-0.478025528012606</v>
      </c>
      <c r="J2" s="53"/>
      <c r="K2" s="53"/>
      <c r="L2" s="53"/>
      <c r="M2" s="153">
        <f t="shared" ref="M2:M19" si="0">+C2</f>
        <v>0</v>
      </c>
      <c r="N2" s="159">
        <f t="shared" ref="N2:N19" si="1">+$I$13+$I$12*M2</f>
        <v>4.6078259464947484</v>
      </c>
      <c r="O2" s="159">
        <f t="shared" ref="O2:O33" si="2">LOG($I$19+($I$20-$I$19)*(ROW()-2)/100)</f>
        <v>-0.25963731050575611</v>
      </c>
      <c r="P2" s="211">
        <f t="shared" ref="P2:P33" si="3">SQRT(2*$I$16*$K$24)*SQRT((1/$I$1)+((O2-$I$10)^2/$I$7))</f>
        <v>0.15556750471706174</v>
      </c>
      <c r="Q2" s="159">
        <f t="shared" ref="Q2:Q33" si="4">+$I$13+$I$12*O2</f>
        <v>5.977359829054663</v>
      </c>
      <c r="R2" s="159">
        <f t="shared" ref="R2:R33" si="5">+$I$13+$I$12*O2-P2</f>
        <v>5.8217923243376015</v>
      </c>
      <c r="S2" s="159">
        <f t="shared" ref="S2:S33" si="6">+$I$13+$I$12*O2+P2</f>
        <v>6.1329273337717245</v>
      </c>
      <c r="T2" s="152">
        <f t="shared" ref="T2:T33" si="7">10^Q2</f>
        <v>949204.58872766432</v>
      </c>
      <c r="U2" s="160">
        <f>10^$O2</f>
        <v>0.55000000000000004</v>
      </c>
      <c r="V2" s="152">
        <f t="shared" ref="V2:V33" si="8">10^R2</f>
        <v>663425.75039186433</v>
      </c>
      <c r="W2" s="160">
        <f t="shared" ref="W2:W33" si="9">10^$O2</f>
        <v>0.55000000000000004</v>
      </c>
      <c r="X2" s="152">
        <f t="shared" ref="X2:X33" si="10">10^S2</f>
        <v>1358086.1923575778</v>
      </c>
      <c r="Y2" s="160">
        <f t="shared" ref="Y2:Y33" si="11">10^$O2</f>
        <v>0.55000000000000004</v>
      </c>
      <c r="Z2" s="3"/>
      <c r="AA2" s="3"/>
      <c r="AB2" s="3"/>
      <c r="AC2" s="3"/>
      <c r="AD2" s="3"/>
      <c r="AE2" s="3"/>
      <c r="AF2" s="3"/>
      <c r="AG2" s="3"/>
      <c r="AH2" s="3"/>
      <c r="AI2" s="1"/>
      <c r="AJ2" s="1"/>
      <c r="AK2" s="1"/>
    </row>
    <row r="3" spans="1:37" x14ac:dyDescent="0.2">
      <c r="A3" s="53"/>
      <c r="B3" s="52"/>
      <c r="C3" s="53"/>
      <c r="D3" s="53"/>
      <c r="E3" s="53"/>
      <c r="F3" s="53"/>
      <c r="G3" s="3"/>
      <c r="H3" s="161" t="s">
        <v>44</v>
      </c>
      <c r="I3" s="59">
        <f>SUM(D:D)</f>
        <v>30.168442887669734</v>
      </c>
      <c r="J3" s="53"/>
      <c r="K3" s="53"/>
      <c r="L3" s="53"/>
      <c r="M3" s="153">
        <f t="shared" si="0"/>
        <v>0</v>
      </c>
      <c r="N3" s="159">
        <f t="shared" si="1"/>
        <v>4.6078259464947484</v>
      </c>
      <c r="O3" s="159">
        <f t="shared" si="2"/>
        <v>-0.25531593672311359</v>
      </c>
      <c r="P3" s="211">
        <f t="shared" si="3"/>
        <v>0.15258323554242231</v>
      </c>
      <c r="Q3" s="159">
        <f t="shared" si="4"/>
        <v>5.9545654633180645</v>
      </c>
      <c r="R3" s="159">
        <f t="shared" si="5"/>
        <v>5.8019822277756425</v>
      </c>
      <c r="S3" s="159">
        <f t="shared" si="6"/>
        <v>6.1071486988604864</v>
      </c>
      <c r="T3" s="152">
        <f t="shared" si="7"/>
        <v>900669.51481261151</v>
      </c>
      <c r="U3" s="160">
        <f t="shared" ref="U3:U34" si="12">10^O3</f>
        <v>0.55549999999999999</v>
      </c>
      <c r="V3" s="152">
        <f t="shared" si="8"/>
        <v>633843.77253402176</v>
      </c>
      <c r="W3" s="160">
        <f t="shared" si="9"/>
        <v>0.55549999999999999</v>
      </c>
      <c r="X3" s="152">
        <f t="shared" si="10"/>
        <v>1279819.4287997757</v>
      </c>
      <c r="Y3" s="160">
        <f t="shared" si="11"/>
        <v>0.55549999999999999</v>
      </c>
      <c r="Z3" s="162" t="s">
        <v>45</v>
      </c>
      <c r="AA3" s="162"/>
      <c r="AB3" s="3"/>
      <c r="AC3" s="3"/>
      <c r="AD3" s="3"/>
      <c r="AE3" s="3"/>
      <c r="AF3" s="3"/>
      <c r="AG3" s="3"/>
      <c r="AH3" s="3"/>
      <c r="AI3" s="1"/>
      <c r="AJ3" s="1"/>
      <c r="AK3" s="1"/>
    </row>
    <row r="4" spans="1:37" x14ac:dyDescent="0.2">
      <c r="A4" s="53">
        <f>+Results!B25</f>
        <v>1</v>
      </c>
      <c r="B4" s="52">
        <f>+Results!A25</f>
        <v>36156</v>
      </c>
      <c r="C4" s="53">
        <f t="shared" ref="C4:C5" si="13">LOG(A4)</f>
        <v>0</v>
      </c>
      <c r="D4" s="53">
        <f t="shared" ref="D4:D5" si="14">LOG(B4)</f>
        <v>4.5581803777209817</v>
      </c>
      <c r="E4" s="53">
        <f t="shared" ref="E4:E5" si="15">+C4^2</f>
        <v>0</v>
      </c>
      <c r="F4" s="53">
        <f t="shared" ref="F4:F5" si="16">+D4^2</f>
        <v>20.777008355840593</v>
      </c>
      <c r="G4" s="3">
        <f t="shared" ref="G4:G5" si="17">+C4*D4</f>
        <v>0</v>
      </c>
      <c r="H4" s="161" t="s">
        <v>46</v>
      </c>
      <c r="I4" s="59">
        <f>SUM(E:E)</f>
        <v>8.6410137862005451E-2</v>
      </c>
      <c r="J4" s="53"/>
      <c r="K4" s="53"/>
      <c r="L4" s="53"/>
      <c r="M4" s="153">
        <f t="shared" si="0"/>
        <v>0</v>
      </c>
      <c r="N4" s="159">
        <f t="shared" si="1"/>
        <v>4.6078259464947484</v>
      </c>
      <c r="O4" s="159">
        <f t="shared" si="2"/>
        <v>-0.25103713874383854</v>
      </c>
      <c r="P4" s="211">
        <f t="shared" si="3"/>
        <v>0.14964330951000837</v>
      </c>
      <c r="Q4" s="159">
        <f t="shared" si="4"/>
        <v>5.9319956762646111</v>
      </c>
      <c r="R4" s="159">
        <f t="shared" si="5"/>
        <v>5.7823523667546031</v>
      </c>
      <c r="S4" s="159">
        <f t="shared" si="6"/>
        <v>6.0816389857746191</v>
      </c>
      <c r="T4" s="152">
        <f t="shared" si="7"/>
        <v>855058.20008068485</v>
      </c>
      <c r="U4" s="160">
        <f t="shared" si="12"/>
        <v>0.56100000000000005</v>
      </c>
      <c r="V4" s="152">
        <f t="shared" si="8"/>
        <v>605832.2200588315</v>
      </c>
      <c r="W4" s="160">
        <f t="shared" si="9"/>
        <v>0.56100000000000005</v>
      </c>
      <c r="X4" s="152">
        <f t="shared" si="10"/>
        <v>1206810.2377490269</v>
      </c>
      <c r="Y4" s="160">
        <f t="shared" si="11"/>
        <v>0.56100000000000005</v>
      </c>
      <c r="Z4" s="163" t="s">
        <v>47</v>
      </c>
      <c r="AA4" s="163">
        <v>0.88244046806828758</v>
      </c>
      <c r="AB4" s="3"/>
      <c r="AC4" s="3"/>
      <c r="AD4" s="3"/>
      <c r="AE4" s="3"/>
      <c r="AF4" s="3"/>
      <c r="AG4" s="3"/>
      <c r="AH4" s="3"/>
      <c r="AI4" s="1"/>
      <c r="AJ4" s="1"/>
      <c r="AK4" s="1"/>
    </row>
    <row r="5" spans="1:37" x14ac:dyDescent="0.2">
      <c r="A5" s="53">
        <f>+Results!B26</f>
        <v>0.9</v>
      </c>
      <c r="B5" s="52">
        <f>+Results!A26</f>
        <v>83871</v>
      </c>
      <c r="C5" s="53">
        <f t="shared" si="13"/>
        <v>-4.5757490560675115E-2</v>
      </c>
      <c r="D5" s="53">
        <f t="shared" si="14"/>
        <v>4.9236118211728526</v>
      </c>
      <c r="E5" s="53">
        <f t="shared" si="15"/>
        <v>2.0937479424102722E-3</v>
      </c>
      <c r="F5" s="53">
        <f t="shared" si="16"/>
        <v>24.241953365593055</v>
      </c>
      <c r="G5" s="3">
        <f t="shared" si="17"/>
        <v>-0.22529212143174521</v>
      </c>
      <c r="H5" s="161" t="s">
        <v>48</v>
      </c>
      <c r="I5" s="59">
        <f>SUM(F:F)</f>
        <v>153.04207226373347</v>
      </c>
      <c r="J5" s="53"/>
      <c r="K5" s="53"/>
      <c r="L5" s="53"/>
      <c r="M5" s="153">
        <f t="shared" si="0"/>
        <v>-4.5757490560675115E-2</v>
      </c>
      <c r="N5" s="159">
        <f t="shared" si="1"/>
        <v>4.8491873809576536</v>
      </c>
      <c r="O5" s="159">
        <f t="shared" si="2"/>
        <v>-0.24680008580058393</v>
      </c>
      <c r="P5" s="211">
        <f t="shared" si="3"/>
        <v>0.14674759689014791</v>
      </c>
      <c r="Q5" s="159">
        <f t="shared" si="4"/>
        <v>5.9096460857659121</v>
      </c>
      <c r="R5" s="159">
        <f t="shared" si="5"/>
        <v>5.7628984888757646</v>
      </c>
      <c r="S5" s="159">
        <f t="shared" si="6"/>
        <v>6.0563936826560596</v>
      </c>
      <c r="T5" s="152">
        <f t="shared" si="7"/>
        <v>812168.39606178284</v>
      </c>
      <c r="U5" s="160">
        <f t="shared" si="12"/>
        <v>0.5665</v>
      </c>
      <c r="V5" s="152">
        <f t="shared" si="8"/>
        <v>579293.27774826507</v>
      </c>
      <c r="W5" s="160">
        <f t="shared" si="9"/>
        <v>0.5665</v>
      </c>
      <c r="X5" s="152">
        <f t="shared" si="10"/>
        <v>1138658.9986431866</v>
      </c>
      <c r="Y5" s="160">
        <f t="shared" si="11"/>
        <v>0.5665</v>
      </c>
      <c r="Z5" s="163" t="s">
        <v>49</v>
      </c>
      <c r="AA5" s="163">
        <v>0.77870117968457842</v>
      </c>
      <c r="AB5" s="3"/>
      <c r="AC5" s="3"/>
      <c r="AD5" s="3"/>
      <c r="AE5" s="3"/>
      <c r="AF5" s="3"/>
      <c r="AG5" s="3"/>
      <c r="AH5" s="3"/>
      <c r="AI5" s="1"/>
      <c r="AJ5" s="1"/>
      <c r="AK5" s="1"/>
    </row>
    <row r="6" spans="1:37" x14ac:dyDescent="0.2">
      <c r="A6" s="53">
        <f>+Results!B27</f>
        <v>0.8</v>
      </c>
      <c r="B6" s="52">
        <f>+Results!A27</f>
        <v>130906</v>
      </c>
      <c r="C6" s="53">
        <f t="shared" ref="C6" si="18">LOG(A6)</f>
        <v>-9.6910013008056392E-2</v>
      </c>
      <c r="D6" s="53">
        <f t="shared" ref="D6" si="19">LOG(B6)</f>
        <v>5.116959552640699</v>
      </c>
      <c r="E6" s="53">
        <f t="shared" ref="E6" si="20">+C6^2</f>
        <v>9.3915506212216594E-3</v>
      </c>
      <c r="F6" s="53">
        <f t="shared" ref="F6" si="21">+D6^2</f>
        <v>26.183275063360902</v>
      </c>
      <c r="G6" s="3">
        <f t="shared" ref="G6" si="22">+C6*D6</f>
        <v>-0.49588461680810858</v>
      </c>
      <c r="H6" s="161" t="s">
        <v>50</v>
      </c>
      <c r="I6" s="59">
        <f>SUM(G:G)</f>
        <v>-2.6584542924831327</v>
      </c>
      <c r="J6" s="53"/>
      <c r="K6" s="53"/>
      <c r="L6" s="53"/>
      <c r="M6" s="153">
        <f t="shared" si="0"/>
        <v>-9.6910013008056392E-2</v>
      </c>
      <c r="N6" s="159">
        <f t="shared" si="1"/>
        <v>5.1190065087772751</v>
      </c>
      <c r="O6" s="159">
        <f t="shared" si="2"/>
        <v>-0.24260397120697574</v>
      </c>
      <c r="P6" s="211">
        <f t="shared" si="3"/>
        <v>0.1438960135796116</v>
      </c>
      <c r="Q6" s="159">
        <f t="shared" si="4"/>
        <v>5.8875124367157952</v>
      </c>
      <c r="R6" s="159">
        <f t="shared" si="5"/>
        <v>5.7436164231361833</v>
      </c>
      <c r="S6" s="159">
        <f t="shared" si="6"/>
        <v>6.0314084502954071</v>
      </c>
      <c r="T6" s="152">
        <f t="shared" si="7"/>
        <v>771813.61738360615</v>
      </c>
      <c r="U6" s="160">
        <f t="shared" si="12"/>
        <v>0.57200000000000006</v>
      </c>
      <c r="V6" s="152">
        <f t="shared" si="8"/>
        <v>554136.07360157208</v>
      </c>
      <c r="W6" s="160">
        <f t="shared" si="9"/>
        <v>0.57200000000000006</v>
      </c>
      <c r="X6" s="152">
        <f t="shared" si="10"/>
        <v>1074999.9654544718</v>
      </c>
      <c r="Y6" s="160">
        <f t="shared" si="11"/>
        <v>0.57200000000000006</v>
      </c>
      <c r="Z6" s="163" t="s">
        <v>51</v>
      </c>
      <c r="AA6" s="163">
        <v>0.75103882714515069</v>
      </c>
      <c r="AB6" s="3"/>
      <c r="AC6" s="3"/>
      <c r="AD6" s="3"/>
      <c r="AE6" s="3"/>
      <c r="AF6" s="3"/>
      <c r="AG6" s="3"/>
      <c r="AH6" s="3"/>
      <c r="AI6" s="1"/>
      <c r="AJ6" s="1"/>
      <c r="AK6" s="1"/>
    </row>
    <row r="7" spans="1:37" x14ac:dyDescent="0.2">
      <c r="A7" s="53">
        <f>+Results!B28</f>
        <v>1.1000000000000001</v>
      </c>
      <c r="B7" s="52">
        <f>+Results!A28</f>
        <v>24379</v>
      </c>
      <c r="C7" s="53">
        <f t="shared" ref="C7" si="23">LOG(A7)</f>
        <v>4.1392685158225077E-2</v>
      </c>
      <c r="D7" s="53">
        <f t="shared" ref="D7" si="24">LOG(B7)</f>
        <v>4.3870158873615708</v>
      </c>
      <c r="E7" s="53">
        <f t="shared" ref="E7" si="25">+C7^2</f>
        <v>1.7133543846079467E-3</v>
      </c>
      <c r="F7" s="53">
        <f t="shared" ref="F7" si="26">+D7^2</f>
        <v>19.245908395962829</v>
      </c>
      <c r="G7" s="3">
        <f t="shared" ref="G7" si="27">+C7*D7</f>
        <v>0.1815903674096889</v>
      </c>
      <c r="H7" s="158" t="s">
        <v>52</v>
      </c>
      <c r="I7" s="164">
        <f>+I4-I2^2/$I$1</f>
        <v>4.832540362338366E-2</v>
      </c>
      <c r="J7" s="3"/>
      <c r="K7" s="3"/>
      <c r="L7" s="3"/>
      <c r="M7" s="153">
        <f t="shared" si="0"/>
        <v>4.1392685158225077E-2</v>
      </c>
      <c r="N7" s="159">
        <f t="shared" si="1"/>
        <v>4.3894879707088403</v>
      </c>
      <c r="O7" s="159">
        <f t="shared" si="2"/>
        <v>-0.23844801143581806</v>
      </c>
      <c r="P7" s="211">
        <f t="shared" si="3"/>
        <v>0.14108852184775245</v>
      </c>
      <c r="Q7" s="159">
        <f t="shared" si="4"/>
        <v>5.865590596168035</v>
      </c>
      <c r="R7" s="159">
        <f t="shared" si="5"/>
        <v>5.7245020743202826</v>
      </c>
      <c r="S7" s="159">
        <f t="shared" si="6"/>
        <v>6.0066791180157875</v>
      </c>
      <c r="T7" s="152">
        <f t="shared" si="7"/>
        <v>733821.77762807743</v>
      </c>
      <c r="U7" s="160">
        <f t="shared" si="12"/>
        <v>0.57750000000000001</v>
      </c>
      <c r="V7" s="152">
        <f t="shared" si="8"/>
        <v>530276.12538047286</v>
      </c>
      <c r="W7" s="160">
        <f t="shared" si="9"/>
        <v>0.57750000000000001</v>
      </c>
      <c r="X7" s="152">
        <f t="shared" si="10"/>
        <v>1015498.1066418218</v>
      </c>
      <c r="Y7" s="160">
        <f t="shared" si="11"/>
        <v>0.57750000000000001</v>
      </c>
      <c r="Z7" s="163" t="s">
        <v>53</v>
      </c>
      <c r="AA7" s="163">
        <v>4.8757093884921039</v>
      </c>
      <c r="AB7" s="3"/>
      <c r="AC7" s="3"/>
      <c r="AD7" s="3"/>
      <c r="AE7" s="3"/>
      <c r="AF7" s="3"/>
      <c r="AG7" s="3"/>
      <c r="AH7" s="3"/>
      <c r="AI7" s="1"/>
      <c r="AJ7" s="1"/>
      <c r="AK7" s="1"/>
    </row>
    <row r="8" spans="1:37" ht="15" thickBot="1" x14ac:dyDescent="0.3">
      <c r="A8" s="53"/>
      <c r="B8" s="52"/>
      <c r="C8" s="53"/>
      <c r="D8" s="53"/>
      <c r="E8" s="53"/>
      <c r="F8" s="53"/>
      <c r="G8" s="3"/>
      <c r="H8" s="161" t="s">
        <v>118</v>
      </c>
      <c r="I8" s="165">
        <f>+I5-I3^2/$I$1</f>
        <v>1.3529145526350419</v>
      </c>
      <c r="J8" s="151"/>
      <c r="K8" s="151"/>
      <c r="L8" s="151"/>
      <c r="M8" s="153">
        <f t="shared" si="0"/>
        <v>0</v>
      </c>
      <c r="N8" s="159">
        <f t="shared" si="1"/>
        <v>4.6078259464947484</v>
      </c>
      <c r="O8" s="159">
        <f t="shared" si="2"/>
        <v>-0.23433144524098587</v>
      </c>
      <c r="P8" s="211">
        <f t="shared" si="3"/>
        <v>0.13832513117239473</v>
      </c>
      <c r="Q8" s="159">
        <f t="shared" si="4"/>
        <v>5.8438765487045128</v>
      </c>
      <c r="R8" s="159">
        <f t="shared" si="5"/>
        <v>5.705551417532118</v>
      </c>
      <c r="S8" s="159">
        <f t="shared" si="6"/>
        <v>5.9822016798769075</v>
      </c>
      <c r="T8" s="152">
        <f t="shared" si="7"/>
        <v>698033.95475664816</v>
      </c>
      <c r="U8" s="160">
        <f t="shared" si="12"/>
        <v>0.58300000000000007</v>
      </c>
      <c r="V8" s="152">
        <f t="shared" si="8"/>
        <v>507634.83600577549</v>
      </c>
      <c r="W8" s="160">
        <f t="shared" si="9"/>
        <v>0.58300000000000007</v>
      </c>
      <c r="X8" s="152">
        <f t="shared" si="10"/>
        <v>959846.26631822158</v>
      </c>
      <c r="Y8" s="160">
        <f t="shared" si="11"/>
        <v>0.58300000000000007</v>
      </c>
      <c r="Z8" s="166" t="s">
        <v>54</v>
      </c>
      <c r="AA8" s="166">
        <v>10</v>
      </c>
      <c r="AB8" s="3"/>
      <c r="AC8" s="3"/>
      <c r="AD8" s="3"/>
      <c r="AE8" s="3"/>
      <c r="AF8" s="3"/>
      <c r="AG8" s="3"/>
      <c r="AH8" s="3"/>
      <c r="AI8" s="1"/>
      <c r="AJ8" s="1"/>
      <c r="AK8" s="1"/>
    </row>
    <row r="9" spans="1:37" ht="13.5" thickBot="1" x14ac:dyDescent="0.25">
      <c r="A9" s="53"/>
      <c r="B9" s="52"/>
      <c r="C9" s="53"/>
      <c r="D9" s="53"/>
      <c r="E9" s="53"/>
      <c r="F9" s="53"/>
      <c r="G9" s="3"/>
      <c r="H9" s="167" t="s">
        <v>55</v>
      </c>
      <c r="I9" s="168">
        <f>+I6-I2*I3/$I$1</f>
        <v>-0.25490665236705379</v>
      </c>
      <c r="J9" s="3"/>
      <c r="K9" s="3"/>
      <c r="L9" s="3"/>
      <c r="M9" s="153">
        <f t="shared" si="0"/>
        <v>0</v>
      </c>
      <c r="N9" s="159">
        <f t="shared" si="1"/>
        <v>4.6078259464947484</v>
      </c>
      <c r="O9" s="159">
        <f t="shared" si="2"/>
        <v>-0.2302535328205465</v>
      </c>
      <c r="P9" s="211">
        <f t="shared" si="3"/>
        <v>0.13560589916007099</v>
      </c>
      <c r="Q9" s="159">
        <f t="shared" si="4"/>
        <v>5.8223663920208502</v>
      </c>
      <c r="R9" s="159">
        <f t="shared" si="5"/>
        <v>5.6867604928607793</v>
      </c>
      <c r="S9" s="159">
        <f t="shared" si="6"/>
        <v>5.957972291180921</v>
      </c>
      <c r="T9" s="152">
        <f t="shared" si="7"/>
        <v>664303.27272413112</v>
      </c>
      <c r="U9" s="160">
        <f t="shared" si="12"/>
        <v>0.58850000000000002</v>
      </c>
      <c r="V9" s="152">
        <f t="shared" si="8"/>
        <v>486139.03309059649</v>
      </c>
      <c r="W9" s="160">
        <f t="shared" si="9"/>
        <v>0.58850000000000002</v>
      </c>
      <c r="X9" s="152">
        <f t="shared" si="10"/>
        <v>907762.61133870156</v>
      </c>
      <c r="Y9" s="160">
        <f t="shared" si="11"/>
        <v>0.58850000000000002</v>
      </c>
      <c r="Z9" s="3"/>
      <c r="AA9" s="3"/>
      <c r="AB9" s="3"/>
      <c r="AC9" s="3"/>
      <c r="AD9" s="3"/>
      <c r="AE9" s="3"/>
      <c r="AF9" s="3"/>
      <c r="AG9" s="3"/>
      <c r="AH9" s="3"/>
      <c r="AI9" s="1"/>
      <c r="AJ9" s="1"/>
      <c r="AK9" s="1"/>
    </row>
    <row r="10" spans="1:37" ht="13.5" thickBot="1" x14ac:dyDescent="0.25">
      <c r="A10" s="53">
        <f>+Results!B31</f>
        <v>0.7</v>
      </c>
      <c r="B10" s="52">
        <f>+Results!A31</f>
        <v>255387</v>
      </c>
      <c r="C10" s="53">
        <f t="shared" ref="C10" si="28">LOG(A10)</f>
        <v>-0.15490195998574319</v>
      </c>
      <c r="D10" s="53">
        <f t="shared" ref="D10" si="29">LOG(B10)</f>
        <v>5.4071987865375863</v>
      </c>
      <c r="E10" s="53">
        <f t="shared" ref="E10" si="30">+C10^2</f>
        <v>2.3994617207424785E-2</v>
      </c>
      <c r="F10" s="53">
        <f t="shared" ref="F10" si="31">+D10^2</f>
        <v>29.237798717133547</v>
      </c>
      <c r="G10" s="3">
        <f t="shared" ref="G10" si="32">+C10*D10</f>
        <v>-0.83758569006720429</v>
      </c>
      <c r="H10" s="169" t="s">
        <v>56</v>
      </c>
      <c r="I10" s="157">
        <f>+I2/$I$1</f>
        <v>-7.9670921335434339E-2</v>
      </c>
      <c r="J10" s="3"/>
      <c r="K10" s="3"/>
      <c r="L10" s="3"/>
      <c r="M10" s="153">
        <f t="shared" si="0"/>
        <v>-0.15490195998574319</v>
      </c>
      <c r="N10" s="159">
        <f t="shared" si="1"/>
        <v>5.4249022066908434</v>
      </c>
      <c r="O10" s="159">
        <f t="shared" si="2"/>
        <v>-0.22621355501880638</v>
      </c>
      <c r="P10" s="211">
        <f t="shared" si="3"/>
        <v>0.13293093254384553</v>
      </c>
      <c r="Q10" s="159">
        <f t="shared" si="4"/>
        <v>5.8010563327173728</v>
      </c>
      <c r="R10" s="159">
        <f t="shared" si="5"/>
        <v>5.6681254001735271</v>
      </c>
      <c r="S10" s="159">
        <f t="shared" si="6"/>
        <v>5.9339872652612184</v>
      </c>
      <c r="T10" s="152">
        <f t="shared" si="7"/>
        <v>632493.88739136001</v>
      </c>
      <c r="U10" s="160">
        <f t="shared" si="12"/>
        <v>0.59400000000000008</v>
      </c>
      <c r="V10" s="152">
        <f t="shared" si="8"/>
        <v>465720.54839005729</v>
      </c>
      <c r="W10" s="160">
        <f t="shared" si="9"/>
        <v>0.59400000000000008</v>
      </c>
      <c r="X10" s="152">
        <f t="shared" si="10"/>
        <v>858988.3331760997</v>
      </c>
      <c r="Y10" s="160">
        <f t="shared" si="11"/>
        <v>0.59400000000000008</v>
      </c>
      <c r="Z10" s="3" t="s">
        <v>57</v>
      </c>
      <c r="AA10" s="3"/>
      <c r="AB10" s="3"/>
      <c r="AC10" s="3"/>
      <c r="AD10" s="3"/>
      <c r="AE10" s="3"/>
      <c r="AF10" s="3"/>
      <c r="AG10" s="3"/>
      <c r="AH10" s="3"/>
      <c r="AI10" s="1"/>
      <c r="AJ10" s="1"/>
      <c r="AK10" s="1"/>
    </row>
    <row r="11" spans="1:37" x14ac:dyDescent="0.2">
      <c r="A11" s="53">
        <f>+Results!B32</f>
        <v>0.6</v>
      </c>
      <c r="B11" s="52">
        <f>+Results!A32</f>
        <v>596316</v>
      </c>
      <c r="C11" s="53">
        <f t="shared" ref="C11" si="33">LOG(A11)</f>
        <v>-0.22184874961635639</v>
      </c>
      <c r="D11" s="53">
        <f t="shared" ref="D11" si="34">LOG(B11)</f>
        <v>5.7754764622360426</v>
      </c>
      <c r="E11" s="53">
        <f t="shared" ref="E11" si="35">+C11^2</f>
        <v>4.9216867706340789E-2</v>
      </c>
      <c r="F11" s="53">
        <f t="shared" ref="F11" si="36">+D11^2</f>
        <v>33.356128365842558</v>
      </c>
      <c r="G11" s="3">
        <f t="shared" ref="G11" si="37">+C11*D11</f>
        <v>-1.2812822315857637</v>
      </c>
      <c r="H11" s="161" t="s">
        <v>58</v>
      </c>
      <c r="I11" s="59">
        <f>+I3/$I$1</f>
        <v>5.0280738146116226</v>
      </c>
      <c r="J11" s="53"/>
      <c r="K11" s="53"/>
      <c r="L11" s="53"/>
      <c r="M11" s="153">
        <f t="shared" si="0"/>
        <v>-0.22184874961635639</v>
      </c>
      <c r="N11" s="159">
        <f t="shared" si="1"/>
        <v>5.7780328740403757</v>
      </c>
      <c r="O11" s="159">
        <f t="shared" si="2"/>
        <v>-0.2222108125651325</v>
      </c>
      <c r="P11" s="211">
        <f t="shared" si="3"/>
        <v>0.1303003882503142</v>
      </c>
      <c r="Q11" s="159">
        <f t="shared" si="4"/>
        <v>5.7799426822840463</v>
      </c>
      <c r="R11" s="159">
        <f t="shared" si="5"/>
        <v>5.6496422940337325</v>
      </c>
      <c r="S11" s="159">
        <f t="shared" si="6"/>
        <v>5.91024307053436</v>
      </c>
      <c r="T11" s="152">
        <f t="shared" si="7"/>
        <v>602480.06615955674</v>
      </c>
      <c r="U11" s="160">
        <f t="shared" si="12"/>
        <v>0.59950000000000003</v>
      </c>
      <c r="V11" s="152">
        <f t="shared" si="8"/>
        <v>446315.83338630066</v>
      </c>
      <c r="W11" s="160">
        <f t="shared" si="9"/>
        <v>0.59950000000000003</v>
      </c>
      <c r="X11" s="152">
        <f t="shared" si="10"/>
        <v>813285.57708919933</v>
      </c>
      <c r="Y11" s="160">
        <f t="shared" si="11"/>
        <v>0.59950000000000003</v>
      </c>
      <c r="Z11" s="170"/>
      <c r="AA11" s="170" t="s">
        <v>59</v>
      </c>
      <c r="AB11" s="170" t="s">
        <v>60</v>
      </c>
      <c r="AC11" s="170" t="s">
        <v>61</v>
      </c>
      <c r="AD11" s="170" t="s">
        <v>62</v>
      </c>
      <c r="AE11" s="170" t="s">
        <v>63</v>
      </c>
      <c r="AF11" s="3"/>
      <c r="AG11" s="3"/>
      <c r="AH11" s="3"/>
      <c r="AI11" s="1"/>
      <c r="AJ11" s="1"/>
      <c r="AK11" s="1"/>
    </row>
    <row r="12" spans="1:37" x14ac:dyDescent="0.2">
      <c r="A12" s="53">
        <f>+Results!B33</f>
        <v>0.55000000000000004</v>
      </c>
      <c r="B12" s="52">
        <f>+Results!A33</f>
        <v>2500000</v>
      </c>
      <c r="C12" s="53"/>
      <c r="D12" s="53"/>
      <c r="E12" s="53"/>
      <c r="F12" s="53"/>
      <c r="G12" s="3"/>
      <c r="H12" s="161" t="s">
        <v>64</v>
      </c>
      <c r="I12" s="164">
        <f>+I9/I7</f>
        <v>-5.2747961373199947</v>
      </c>
      <c r="J12" s="171">
        <f>+I12</f>
        <v>-5.2747961373199947</v>
      </c>
      <c r="K12" s="171">
        <f>1/J12</f>
        <v>-0.1895807864354882</v>
      </c>
      <c r="L12" s="3"/>
      <c r="M12" s="153">
        <f t="shared" si="0"/>
        <v>0</v>
      </c>
      <c r="N12" s="159">
        <f t="shared" si="1"/>
        <v>4.6078259464947484</v>
      </c>
      <c r="O12" s="159">
        <f t="shared" si="2"/>
        <v>-0.21824462534753106</v>
      </c>
      <c r="P12" s="211">
        <f t="shared" si="3"/>
        <v>0.12771447452537724</v>
      </c>
      <c r="Q12" s="159">
        <f t="shared" si="4"/>
        <v>5.7590218532687549</v>
      </c>
      <c r="R12" s="159">
        <f t="shared" si="5"/>
        <v>5.6313073787433776</v>
      </c>
      <c r="S12" s="159">
        <f t="shared" si="6"/>
        <v>5.8867363277941323</v>
      </c>
      <c r="T12" s="152">
        <f t="shared" si="7"/>
        <v>574145.35190667456</v>
      </c>
      <c r="U12" s="160">
        <f t="shared" si="12"/>
        <v>0.60500000000000009</v>
      </c>
      <c r="V12" s="152">
        <f t="shared" si="8"/>
        <v>427865.60761760175</v>
      </c>
      <c r="W12" s="160">
        <f t="shared" si="9"/>
        <v>0.60500000000000009</v>
      </c>
      <c r="X12" s="152">
        <f t="shared" si="10"/>
        <v>770435.57427184447</v>
      </c>
      <c r="Y12" s="160">
        <f t="shared" si="11"/>
        <v>0.60500000000000009</v>
      </c>
      <c r="Z12" s="163" t="s">
        <v>65</v>
      </c>
      <c r="AA12" s="163">
        <v>1</v>
      </c>
      <c r="AB12" s="163">
        <v>669.20217667916086</v>
      </c>
      <c r="AC12" s="163">
        <v>669.20217667916086</v>
      </c>
      <c r="AD12" s="163">
        <v>28.150215299826005</v>
      </c>
      <c r="AE12" s="163">
        <v>7.2341618680963758E-4</v>
      </c>
      <c r="AF12" s="3"/>
      <c r="AG12" s="3"/>
      <c r="AH12" s="3"/>
      <c r="AI12" s="1"/>
      <c r="AJ12" s="1"/>
      <c r="AK12" s="1"/>
    </row>
    <row r="13" spans="1:37" x14ac:dyDescent="0.2">
      <c r="A13" s="53"/>
      <c r="B13" s="52"/>
      <c r="C13" s="53"/>
      <c r="D13" s="53"/>
      <c r="E13" s="53"/>
      <c r="F13" s="53"/>
      <c r="G13" s="3"/>
      <c r="H13" s="161" t="s">
        <v>66</v>
      </c>
      <c r="I13" s="59">
        <f>+I11-I12*I10</f>
        <v>4.6078259464947484</v>
      </c>
      <c r="J13" s="172">
        <f>10^I13</f>
        <v>40534.605113527876</v>
      </c>
      <c r="K13" s="190">
        <f>+J13^J12</f>
        <v>4.9505961070438346E-25</v>
      </c>
      <c r="L13" s="53"/>
      <c r="M13" s="153">
        <f t="shared" si="0"/>
        <v>0</v>
      </c>
      <c r="N13" s="159">
        <f t="shared" si="1"/>
        <v>4.6078259464947484</v>
      </c>
      <c r="O13" s="159">
        <f t="shared" si="2"/>
        <v>-0.21431433171909869</v>
      </c>
      <c r="P13" s="211">
        <f t="shared" si="3"/>
        <v>0.12517345210602035</v>
      </c>
      <c r="Q13" s="159">
        <f t="shared" si="4"/>
        <v>5.7382903556189664</v>
      </c>
      <c r="R13" s="159">
        <f t="shared" si="5"/>
        <v>5.613116903512946</v>
      </c>
      <c r="S13" s="159">
        <f t="shared" si="6"/>
        <v>5.8634638077249868</v>
      </c>
      <c r="T13" s="152">
        <f t="shared" si="7"/>
        <v>547381.8028275494</v>
      </c>
      <c r="U13" s="160">
        <f t="shared" si="12"/>
        <v>0.61050000000000004</v>
      </c>
      <c r="V13" s="152">
        <f t="shared" si="8"/>
        <v>410314.53670708486</v>
      </c>
      <c r="W13" s="160">
        <f t="shared" si="9"/>
        <v>0.61050000000000004</v>
      </c>
      <c r="X13" s="152">
        <f t="shared" si="10"/>
        <v>730236.95546189277</v>
      </c>
      <c r="Y13" s="160">
        <f t="shared" si="11"/>
        <v>0.61050000000000004</v>
      </c>
      <c r="Z13" s="163" t="s">
        <v>67</v>
      </c>
      <c r="AA13" s="163">
        <v>8</v>
      </c>
      <c r="AB13" s="163">
        <v>190.18033632824034</v>
      </c>
      <c r="AC13" s="163">
        <v>23.772542041030043</v>
      </c>
      <c r="AD13" s="163"/>
      <c r="AE13" s="163"/>
      <c r="AF13" s="3"/>
      <c r="AG13" s="3"/>
      <c r="AH13" s="3"/>
      <c r="AI13" s="1"/>
      <c r="AJ13" s="1"/>
      <c r="AK13" s="1"/>
    </row>
    <row r="14" spans="1:37" ht="13.5" thickBot="1" x14ac:dyDescent="0.25">
      <c r="A14" s="53"/>
      <c r="B14" s="52"/>
      <c r="C14" s="53"/>
      <c r="D14" s="53"/>
      <c r="E14" s="53"/>
      <c r="F14" s="53"/>
      <c r="G14" s="3"/>
      <c r="H14" s="173" t="s">
        <v>68</v>
      </c>
      <c r="I14" s="60">
        <f>+I9^2/(I7*I8)</f>
        <v>0.99384001943367062</v>
      </c>
      <c r="J14" s="3" t="str">
        <f>"(X="&amp;TEXT(J13,"0.0")&amp;"Y^"&amp;TEXT(J12,"0.00")&amp;")"</f>
        <v>(X=40534.6Y^-5.27)</v>
      </c>
      <c r="K14" s="53"/>
      <c r="L14" s="53"/>
      <c r="M14" s="153">
        <f t="shared" si="0"/>
        <v>0</v>
      </c>
      <c r="N14" s="159">
        <f t="shared" si="1"/>
        <v>4.6078259464947484</v>
      </c>
      <c r="O14" s="159">
        <f t="shared" si="2"/>
        <v>-0.21041928783557448</v>
      </c>
      <c r="P14" s="211">
        <f t="shared" si="3"/>
        <v>0.12267763542254852</v>
      </c>
      <c r="Q14" s="159">
        <f t="shared" si="4"/>
        <v>5.7177447931874603</v>
      </c>
      <c r="R14" s="159">
        <f t="shared" si="5"/>
        <v>5.5950671577649116</v>
      </c>
      <c r="S14" s="159">
        <f t="shared" si="6"/>
        <v>5.840422428610009</v>
      </c>
      <c r="T14" s="152">
        <f t="shared" si="7"/>
        <v>522089.30068254925</v>
      </c>
      <c r="U14" s="160">
        <f t="shared" si="12"/>
        <v>0.6160000000000001</v>
      </c>
      <c r="V14" s="152">
        <f t="shared" si="8"/>
        <v>393610.93735518446</v>
      </c>
      <c r="W14" s="160">
        <f t="shared" si="9"/>
        <v>0.6160000000000001</v>
      </c>
      <c r="X14" s="152">
        <f t="shared" si="10"/>
        <v>692504.22693723731</v>
      </c>
      <c r="Y14" s="160">
        <f t="shared" si="11"/>
        <v>0.6160000000000001</v>
      </c>
      <c r="Z14" s="166" t="s">
        <v>69</v>
      </c>
      <c r="AA14" s="166">
        <v>9</v>
      </c>
      <c r="AB14" s="166">
        <v>859.38251300740126</v>
      </c>
      <c r="AC14" s="166"/>
      <c r="AD14" s="166"/>
      <c r="AE14" s="166"/>
      <c r="AF14" s="3"/>
      <c r="AG14" s="3"/>
      <c r="AH14" s="3"/>
      <c r="AI14" s="1"/>
      <c r="AJ14" s="1"/>
      <c r="AK14" s="1"/>
    </row>
    <row r="15" spans="1:37" ht="13.5" thickBot="1" x14ac:dyDescent="0.25">
      <c r="A15" s="53"/>
      <c r="B15" s="52"/>
      <c r="C15" s="53"/>
      <c r="D15" s="53"/>
      <c r="E15" s="53"/>
      <c r="F15" s="53"/>
      <c r="G15" s="3"/>
      <c r="H15" s="3" t="s">
        <v>70</v>
      </c>
      <c r="I15" s="53">
        <f>VLOOKUP($J$24,$H$33:$J$69,2)</f>
        <v>2.7764000000000002</v>
      </c>
      <c r="J15" s="53"/>
      <c r="K15" s="53"/>
      <c r="L15" s="53"/>
      <c r="M15" s="153">
        <f t="shared" si="0"/>
        <v>0</v>
      </c>
      <c r="N15" s="159">
        <f t="shared" si="1"/>
        <v>4.6078259464947484</v>
      </c>
      <c r="O15" s="159">
        <f t="shared" si="2"/>
        <v>-0.20655886702233639</v>
      </c>
      <c r="P15" s="211">
        <f t="shared" si="3"/>
        <v>0.1202273938124654</v>
      </c>
      <c r="Q15" s="159">
        <f t="shared" si="4"/>
        <v>5.6973818603933628</v>
      </c>
      <c r="R15" s="159">
        <f t="shared" si="5"/>
        <v>5.5771544665808976</v>
      </c>
      <c r="S15" s="159">
        <f t="shared" si="6"/>
        <v>5.817609254205828</v>
      </c>
      <c r="T15" s="152">
        <f t="shared" si="7"/>
        <v>498174.92075812718</v>
      </c>
      <c r="U15" s="160">
        <f t="shared" si="12"/>
        <v>0.62150000000000005</v>
      </c>
      <c r="V15" s="152">
        <f t="shared" si="8"/>
        <v>377706.50683512667</v>
      </c>
      <c r="W15" s="160">
        <f t="shared" si="9"/>
        <v>0.62150000000000005</v>
      </c>
      <c r="X15" s="152">
        <f t="shared" si="10"/>
        <v>657066.39197692869</v>
      </c>
      <c r="Y15" s="160">
        <f t="shared" si="11"/>
        <v>0.62150000000000005</v>
      </c>
      <c r="Z15" s="3"/>
      <c r="AA15" s="3"/>
      <c r="AB15" s="3"/>
      <c r="AC15" s="3"/>
      <c r="AD15" s="3"/>
      <c r="AE15" s="3"/>
      <c r="AF15" s="3"/>
      <c r="AG15" s="3"/>
      <c r="AH15" s="3"/>
      <c r="AI15" s="1"/>
      <c r="AJ15" s="1"/>
      <c r="AK15" s="1"/>
    </row>
    <row r="16" spans="1:37" x14ac:dyDescent="0.2">
      <c r="A16" s="53"/>
      <c r="B16" s="52"/>
      <c r="C16" s="53"/>
      <c r="D16" s="53"/>
      <c r="E16" s="190"/>
      <c r="F16" s="53"/>
      <c r="G16" s="3"/>
      <c r="H16" s="3" t="s">
        <v>71</v>
      </c>
      <c r="I16" s="53">
        <f>VLOOKUP($J$24,$H$33:$J$69,3)</f>
        <v>6.94</v>
      </c>
      <c r="J16" s="53"/>
      <c r="K16" s="53"/>
      <c r="L16" s="53"/>
      <c r="M16" s="153">
        <f t="shared" si="0"/>
        <v>0</v>
      </c>
      <c r="N16" s="159">
        <f t="shared" si="1"/>
        <v>4.6078259464947484</v>
      </c>
      <c r="O16" s="159">
        <f t="shared" si="2"/>
        <v>-0.20273245916928356</v>
      </c>
      <c r="P16" s="211">
        <f t="shared" si="3"/>
        <v>0.1178231527234294</v>
      </c>
      <c r="Q16" s="159">
        <f t="shared" si="4"/>
        <v>5.6771983390302694</v>
      </c>
      <c r="R16" s="159">
        <f t="shared" si="5"/>
        <v>5.5593751863068404</v>
      </c>
      <c r="S16" s="159">
        <f t="shared" si="6"/>
        <v>5.7950214917536984</v>
      </c>
      <c r="T16" s="152">
        <f t="shared" si="7"/>
        <v>475552.35755025892</v>
      </c>
      <c r="U16" s="160">
        <f t="shared" si="12"/>
        <v>0.627</v>
      </c>
      <c r="V16" s="152">
        <f t="shared" si="8"/>
        <v>362556.07477604877</v>
      </c>
      <c r="W16" s="160">
        <f t="shared" si="9"/>
        <v>0.627</v>
      </c>
      <c r="X16" s="152">
        <f t="shared" si="10"/>
        <v>623765.70275729743</v>
      </c>
      <c r="Y16" s="160">
        <f t="shared" si="11"/>
        <v>0.627</v>
      </c>
      <c r="Z16" s="170"/>
      <c r="AA16" s="170" t="s">
        <v>72</v>
      </c>
      <c r="AB16" s="170" t="s">
        <v>53</v>
      </c>
      <c r="AC16" s="170" t="s">
        <v>73</v>
      </c>
      <c r="AD16" s="170" t="s">
        <v>74</v>
      </c>
      <c r="AE16" s="170" t="s">
        <v>75</v>
      </c>
      <c r="AF16" s="170" t="s">
        <v>76</v>
      </c>
      <c r="AG16" s="170" t="s">
        <v>77</v>
      </c>
      <c r="AH16" s="170" t="s">
        <v>78</v>
      </c>
      <c r="AI16" s="1"/>
      <c r="AJ16" s="1"/>
      <c r="AK16" s="1"/>
    </row>
    <row r="17" spans="1:37" x14ac:dyDescent="0.2">
      <c r="A17" s="53"/>
      <c r="B17" s="52"/>
      <c r="C17" s="53"/>
      <c r="D17" s="53"/>
      <c r="E17" s="53"/>
      <c r="F17" s="53"/>
      <c r="G17" s="3"/>
      <c r="H17" s="3" t="s">
        <v>79</v>
      </c>
      <c r="I17" s="3">
        <f>+I15*SQRT($K$24/$I$7)</f>
        <v>0.57648651149343333</v>
      </c>
      <c r="J17" s="3">
        <f>+I12+I17</f>
        <v>-4.6983096258265613</v>
      </c>
      <c r="K17" s="3">
        <f>+I12-I17</f>
        <v>-5.8512826488134282</v>
      </c>
      <c r="L17" s="3"/>
      <c r="M17" s="153">
        <f t="shared" si="0"/>
        <v>0</v>
      </c>
      <c r="N17" s="159">
        <f t="shared" si="1"/>
        <v>4.6078259464947484</v>
      </c>
      <c r="O17" s="159">
        <f t="shared" si="2"/>
        <v>-0.19893947015214442</v>
      </c>
      <c r="P17" s="211">
        <f t="shared" si="3"/>
        <v>0.11546539487840755</v>
      </c>
      <c r="Q17" s="159">
        <f t="shared" si="4"/>
        <v>5.6571910952137658</v>
      </c>
      <c r="R17" s="159">
        <f t="shared" si="5"/>
        <v>5.5417257003353582</v>
      </c>
      <c r="S17" s="159">
        <f t="shared" si="6"/>
        <v>5.7726564900921735</v>
      </c>
      <c r="T17" s="152">
        <f t="shared" si="7"/>
        <v>454141.40080907498</v>
      </c>
      <c r="U17" s="160">
        <f t="shared" si="12"/>
        <v>0.63250000000000006</v>
      </c>
      <c r="V17" s="152">
        <f t="shared" si="8"/>
        <v>348117.37523756875</v>
      </c>
      <c r="W17" s="160">
        <f t="shared" si="9"/>
        <v>0.63250000000000006</v>
      </c>
      <c r="X17" s="152">
        <f t="shared" si="10"/>
        <v>592456.52931882348</v>
      </c>
      <c r="Y17" s="160">
        <f t="shared" si="11"/>
        <v>0.63250000000000006</v>
      </c>
      <c r="Z17" s="163" t="s">
        <v>80</v>
      </c>
      <c r="AA17" s="163">
        <v>86.958826444998394</v>
      </c>
      <c r="AB17" s="163">
        <v>2.9348406973796441</v>
      </c>
      <c r="AC17" s="163">
        <v>29.629828468250114</v>
      </c>
      <c r="AD17" s="163">
        <v>1.824742265606886E-9</v>
      </c>
      <c r="AE17" s="163">
        <v>80.1910672841029</v>
      </c>
      <c r="AF17" s="163">
        <v>93.726585605893888</v>
      </c>
      <c r="AG17" s="163">
        <v>80.1910672841029</v>
      </c>
      <c r="AH17" s="163">
        <v>93.726585605893888</v>
      </c>
      <c r="AI17" s="1"/>
      <c r="AJ17" s="1"/>
      <c r="AK17" s="1"/>
    </row>
    <row r="18" spans="1:37" ht="13.5" thickBot="1" x14ac:dyDescent="0.25">
      <c r="A18" s="53"/>
      <c r="B18" s="52"/>
      <c r="C18" s="53"/>
      <c r="D18" s="53"/>
      <c r="E18" s="53"/>
      <c r="F18" s="53"/>
      <c r="G18" s="3"/>
      <c r="H18" s="3" t="s">
        <v>81</v>
      </c>
      <c r="I18" s="3">
        <f>+I15*SQRT(K24/I1)</f>
        <v>5.1737003306010297E-2</v>
      </c>
      <c r="J18" s="53">
        <f>+I13-I18</f>
        <v>4.5560889431887377</v>
      </c>
      <c r="K18" s="53">
        <f>+I13+I18</f>
        <v>4.6595629498007591</v>
      </c>
      <c r="L18" s="3"/>
      <c r="M18" s="153">
        <f t="shared" si="0"/>
        <v>0</v>
      </c>
      <c r="N18" s="159">
        <f t="shared" si="1"/>
        <v>4.6078259464947484</v>
      </c>
      <c r="O18" s="159">
        <f t="shared" si="2"/>
        <v>-0.19517932127883766</v>
      </c>
      <c r="P18" s="211">
        <f t="shared" si="3"/>
        <v>0.11315466137126096</v>
      </c>
      <c r="Q18" s="159">
        <f t="shared" si="4"/>
        <v>5.6373570764610994</v>
      </c>
      <c r="R18" s="159">
        <f t="shared" si="5"/>
        <v>5.5242024150898388</v>
      </c>
      <c r="S18" s="159">
        <f t="shared" si="6"/>
        <v>5.75051173783236</v>
      </c>
      <c r="T18" s="152">
        <f t="shared" si="7"/>
        <v>433867.45713989943</v>
      </c>
      <c r="U18" s="160">
        <f t="shared" si="12"/>
        <v>0.63800000000000001</v>
      </c>
      <c r="V18" s="152">
        <f t="shared" si="8"/>
        <v>334350.83727545186</v>
      </c>
      <c r="W18" s="160">
        <f t="shared" si="9"/>
        <v>0.63800000000000001</v>
      </c>
      <c r="X18" s="152">
        <f t="shared" si="10"/>
        <v>563004.33370819374</v>
      </c>
      <c r="Y18" s="160">
        <f t="shared" si="11"/>
        <v>0.63800000000000001</v>
      </c>
      <c r="Z18" s="166" t="s">
        <v>82</v>
      </c>
      <c r="AA18" s="166">
        <v>-3.9353116272950031E-4</v>
      </c>
      <c r="AB18" s="166">
        <v>7.4171706023342889E-5</v>
      </c>
      <c r="AC18" s="166">
        <v>-5.3056776475607892</v>
      </c>
      <c r="AD18" s="166">
        <v>7.2341618680962284E-4</v>
      </c>
      <c r="AE18" s="166">
        <v>-5.645715341428152E-4</v>
      </c>
      <c r="AF18" s="166">
        <v>-2.2249079131618545E-4</v>
      </c>
      <c r="AG18" s="166">
        <v>-5.645715341428152E-4</v>
      </c>
      <c r="AH18" s="166">
        <v>-2.2249079131618545E-4</v>
      </c>
      <c r="AI18" s="1"/>
      <c r="AJ18" s="1"/>
      <c r="AK18" s="1"/>
    </row>
    <row r="19" spans="1:37" x14ac:dyDescent="0.2">
      <c r="A19" s="53"/>
      <c r="B19" s="52"/>
      <c r="C19" s="53"/>
      <c r="D19" s="53"/>
      <c r="E19" s="53"/>
      <c r="F19" s="53"/>
      <c r="G19" s="3"/>
      <c r="H19" s="3" t="s">
        <v>83</v>
      </c>
      <c r="I19" s="3">
        <v>0.55000000000000004</v>
      </c>
      <c r="J19" s="151"/>
      <c r="K19" s="151"/>
      <c r="L19" s="151"/>
      <c r="M19" s="153">
        <f t="shared" si="0"/>
        <v>0</v>
      </c>
      <c r="N19" s="159">
        <f t="shared" si="1"/>
        <v>4.6078259464947484</v>
      </c>
      <c r="O19" s="159">
        <f t="shared" si="2"/>
        <v>-0.19145144875959447</v>
      </c>
      <c r="P19" s="211">
        <f t="shared" si="3"/>
        <v>0.11089155265550626</v>
      </c>
      <c r="Q19" s="159">
        <f t="shared" si="4"/>
        <v>5.6176933088961745</v>
      </c>
      <c r="R19" s="159">
        <f t="shared" si="5"/>
        <v>5.5068017562406686</v>
      </c>
      <c r="S19" s="159">
        <f t="shared" si="6"/>
        <v>5.7285848615516803</v>
      </c>
      <c r="T19" s="152">
        <f t="shared" si="7"/>
        <v>414661.11285075534</v>
      </c>
      <c r="U19" s="160">
        <f t="shared" si="12"/>
        <v>0.64350000000000007</v>
      </c>
      <c r="V19" s="152">
        <f t="shared" si="8"/>
        <v>321219.39237321209</v>
      </c>
      <c r="W19" s="160">
        <f t="shared" si="9"/>
        <v>0.64350000000000007</v>
      </c>
      <c r="X19" s="152">
        <f t="shared" si="10"/>
        <v>535284.73869613733</v>
      </c>
      <c r="Y19" s="160">
        <f t="shared" si="11"/>
        <v>0.64350000000000007</v>
      </c>
      <c r="Z19" s="3"/>
      <c r="AA19" s="3"/>
      <c r="AB19" s="3"/>
      <c r="AC19" s="3"/>
      <c r="AD19" s="3"/>
      <c r="AE19" s="3"/>
      <c r="AF19" s="3"/>
      <c r="AG19" s="3"/>
      <c r="AH19" s="3"/>
      <c r="AI19" s="1"/>
      <c r="AJ19" s="1"/>
      <c r="AK19" s="1"/>
    </row>
    <row r="20" spans="1:37" ht="13.5" thickBot="1" x14ac:dyDescent="0.25">
      <c r="A20" s="53"/>
      <c r="B20" s="52"/>
      <c r="C20" s="53"/>
      <c r="D20" s="53"/>
      <c r="E20" s="53"/>
      <c r="F20" s="53"/>
      <c r="G20" s="3"/>
      <c r="H20" s="3" t="s">
        <v>84</v>
      </c>
      <c r="I20" s="3">
        <v>1.1000000000000001</v>
      </c>
      <c r="J20" s="3"/>
      <c r="K20" s="3"/>
      <c r="L20" s="3"/>
      <c r="M20" s="63"/>
      <c r="N20" s="63"/>
      <c r="O20" s="159">
        <f t="shared" si="2"/>
        <v>-0.18775530319963074</v>
      </c>
      <c r="P20" s="211">
        <f t="shared" si="3"/>
        <v>0.10867672938291395</v>
      </c>
      <c r="Q20" s="159">
        <f t="shared" si="4"/>
        <v>5.5981968945735048</v>
      </c>
      <c r="R20" s="159">
        <f t="shared" si="5"/>
        <v>5.4895201651905907</v>
      </c>
      <c r="S20" s="159">
        <f t="shared" si="6"/>
        <v>5.7068736239564188</v>
      </c>
      <c r="T20" s="152">
        <f t="shared" si="7"/>
        <v>396457.73417664319</v>
      </c>
      <c r="U20" s="160">
        <f t="shared" si="12"/>
        <v>0.64900000000000002</v>
      </c>
      <c r="V20" s="152">
        <f t="shared" si="8"/>
        <v>308688.29727141396</v>
      </c>
      <c r="W20" s="160">
        <f t="shared" si="9"/>
        <v>0.64900000000000002</v>
      </c>
      <c r="X20" s="152">
        <f t="shared" si="10"/>
        <v>509182.68161710905</v>
      </c>
      <c r="Y20" s="160">
        <f t="shared" si="11"/>
        <v>0.64900000000000002</v>
      </c>
      <c r="Z20" s="3"/>
      <c r="AA20" s="3"/>
      <c r="AB20" s="3"/>
      <c r="AC20" s="3"/>
      <c r="AD20" s="3"/>
      <c r="AE20" s="3"/>
      <c r="AF20" s="3"/>
      <c r="AG20" s="3"/>
      <c r="AH20" s="3"/>
      <c r="AI20" s="1"/>
      <c r="AJ20" s="1"/>
      <c r="AK20" s="1"/>
    </row>
    <row r="21" spans="1:37" ht="13.5" thickBot="1" x14ac:dyDescent="0.25">
      <c r="A21" s="53"/>
      <c r="B21" s="52"/>
      <c r="C21" s="53"/>
      <c r="D21" s="53"/>
      <c r="E21" s="53"/>
      <c r="F21" s="53"/>
      <c r="G21" s="3"/>
      <c r="H21" s="174" t="s">
        <v>85</v>
      </c>
      <c r="I21" s="175"/>
      <c r="J21" s="3"/>
      <c r="K21" s="3"/>
      <c r="L21" s="3"/>
      <c r="M21" s="63"/>
      <c r="N21" s="63"/>
      <c r="O21" s="159">
        <f t="shared" si="2"/>
        <v>-0.18409034911322533</v>
      </c>
      <c r="P21" s="211">
        <f t="shared" si="3"/>
        <v>0.10651091304193669</v>
      </c>
      <c r="Q21" s="159">
        <f t="shared" si="4"/>
        <v>5.5788650089150789</v>
      </c>
      <c r="R21" s="159">
        <f t="shared" si="5"/>
        <v>5.4723540958731425</v>
      </c>
      <c r="S21" s="159">
        <f t="shared" si="6"/>
        <v>5.6853759219570152</v>
      </c>
      <c r="T21" s="152">
        <f t="shared" si="7"/>
        <v>379197.10140284756</v>
      </c>
      <c r="U21" s="160">
        <f t="shared" si="12"/>
        <v>0.65450000000000008</v>
      </c>
      <c r="V21" s="152">
        <f t="shared" si="8"/>
        <v>296724.97086685919</v>
      </c>
      <c r="W21" s="160">
        <f t="shared" si="9"/>
        <v>0.65450000000000008</v>
      </c>
      <c r="X21" s="152">
        <f t="shared" si="10"/>
        <v>484591.64489004324</v>
      </c>
      <c r="Y21" s="160">
        <f t="shared" si="11"/>
        <v>0.65450000000000008</v>
      </c>
      <c r="Z21" s="3"/>
      <c r="AA21" s="3"/>
      <c r="AB21" s="3"/>
      <c r="AC21" s="3"/>
      <c r="AD21" s="3"/>
      <c r="AE21" s="3"/>
      <c r="AF21" s="3"/>
      <c r="AG21" s="3"/>
      <c r="AH21" s="3"/>
      <c r="AI21" s="1"/>
      <c r="AJ21" s="1"/>
      <c r="AK21" s="1"/>
    </row>
    <row r="22" spans="1:37" ht="15" x14ac:dyDescent="0.2">
      <c r="A22" s="53"/>
      <c r="B22" s="52"/>
      <c r="C22" s="53"/>
      <c r="D22" s="53"/>
      <c r="E22" s="53"/>
      <c r="F22" s="53"/>
      <c r="G22" s="3"/>
      <c r="H22" s="156"/>
      <c r="I22" s="176" t="s">
        <v>86</v>
      </c>
      <c r="J22" s="177" t="s">
        <v>87</v>
      </c>
      <c r="K22" s="178" t="s">
        <v>119</v>
      </c>
      <c r="L22" s="179" t="s">
        <v>62</v>
      </c>
      <c r="M22" s="63"/>
      <c r="N22" s="63"/>
      <c r="O22" s="159">
        <f t="shared" si="2"/>
        <v>-0.18045606445813131</v>
      </c>
      <c r="P22" s="211">
        <f t="shared" si="3"/>
        <v>0.10439488633878102</v>
      </c>
      <c r="Q22" s="159">
        <f t="shared" si="4"/>
        <v>5.5596948982544676</v>
      </c>
      <c r="R22" s="159">
        <f t="shared" si="5"/>
        <v>5.4553000119156865</v>
      </c>
      <c r="S22" s="159">
        <f t="shared" si="6"/>
        <v>5.6640897845932487</v>
      </c>
      <c r="T22" s="152">
        <f t="shared" si="7"/>
        <v>362823.0737589238</v>
      </c>
      <c r="U22" s="160">
        <f t="shared" si="12"/>
        <v>0.66</v>
      </c>
      <c r="V22" s="152">
        <f t="shared" si="8"/>
        <v>285298.84397978277</v>
      </c>
      <c r="W22" s="160">
        <f t="shared" si="9"/>
        <v>0.66</v>
      </c>
      <c r="X22" s="152">
        <f t="shared" si="10"/>
        <v>461412.9556767568</v>
      </c>
      <c r="Y22" s="160">
        <f t="shared" si="11"/>
        <v>0.66</v>
      </c>
      <c r="Z22" s="3" t="s">
        <v>88</v>
      </c>
      <c r="AA22" s="3"/>
      <c r="AB22" s="3"/>
      <c r="AC22" s="3"/>
      <c r="AD22" s="3"/>
      <c r="AE22" s="3"/>
      <c r="AF22" s="3"/>
      <c r="AG22" s="3"/>
      <c r="AH22" s="3"/>
      <c r="AI22" s="1"/>
      <c r="AJ22" s="1"/>
      <c r="AK22" s="1"/>
    </row>
    <row r="23" spans="1:37" ht="13.5" thickBot="1" x14ac:dyDescent="0.25">
      <c r="A23" s="53"/>
      <c r="B23" s="52"/>
      <c r="C23" s="53"/>
      <c r="D23" s="53"/>
      <c r="E23" s="53"/>
      <c r="F23" s="53"/>
      <c r="G23" s="3"/>
      <c r="H23" s="158" t="s">
        <v>89</v>
      </c>
      <c r="I23" s="180">
        <f>+I9^2/I7</f>
        <v>1.3445806252829058</v>
      </c>
      <c r="J23" s="63">
        <v>1</v>
      </c>
      <c r="K23" s="153">
        <f>+I23/1</f>
        <v>1.3445806252829058</v>
      </c>
      <c r="L23" s="181">
        <f>+K23/K24</f>
        <v>645.35269793935447</v>
      </c>
      <c r="M23" s="63"/>
      <c r="N23" s="63"/>
      <c r="O23" s="159">
        <f t="shared" si="2"/>
        <v>-0.176851940189306</v>
      </c>
      <c r="P23" s="211">
        <f t="shared" si="3"/>
        <v>0.10232949325633343</v>
      </c>
      <c r="Q23" s="159">
        <f t="shared" si="4"/>
        <v>5.5406838774828469</v>
      </c>
      <c r="R23" s="159">
        <f t="shared" si="5"/>
        <v>5.4383543842265132</v>
      </c>
      <c r="S23" s="159">
        <f t="shared" si="6"/>
        <v>5.6430133707391805</v>
      </c>
      <c r="T23" s="152">
        <f t="shared" si="7"/>
        <v>347283.28226678673</v>
      </c>
      <c r="U23" s="160">
        <f t="shared" si="12"/>
        <v>0.66550000000000009</v>
      </c>
      <c r="V23" s="152">
        <f t="shared" si="8"/>
        <v>274381.22090005066</v>
      </c>
      <c r="W23" s="160">
        <f t="shared" si="9"/>
        <v>0.66550000000000009</v>
      </c>
      <c r="X23" s="152">
        <f t="shared" si="10"/>
        <v>439555.14793020819</v>
      </c>
      <c r="Y23" s="160">
        <f t="shared" si="11"/>
        <v>0.66550000000000009</v>
      </c>
      <c r="Z23" s="3"/>
      <c r="AA23" s="3"/>
      <c r="AB23" s="3"/>
      <c r="AC23" s="3"/>
      <c r="AD23" s="3"/>
      <c r="AE23" s="3"/>
      <c r="AF23" s="3"/>
      <c r="AG23" s="3"/>
      <c r="AH23" s="3"/>
      <c r="AI23" s="1"/>
      <c r="AJ23" s="1"/>
      <c r="AK23" s="1"/>
    </row>
    <row r="24" spans="1:37" x14ac:dyDescent="0.2">
      <c r="A24" s="53"/>
      <c r="B24" s="52"/>
      <c r="C24" s="53"/>
      <c r="D24" s="53"/>
      <c r="E24" s="53"/>
      <c r="F24" s="53"/>
      <c r="G24" s="3"/>
      <c r="H24" s="158" t="s">
        <v>67</v>
      </c>
      <c r="I24" s="182">
        <f>+I8-I23</f>
        <v>8.3339273521361168E-3</v>
      </c>
      <c r="J24" s="183">
        <f>+I1-2</f>
        <v>4</v>
      </c>
      <c r="K24" s="184">
        <f>+I24/($I$1-2)</f>
        <v>2.0834818380340292E-3</v>
      </c>
      <c r="L24" s="185"/>
      <c r="M24" s="3"/>
      <c r="N24" s="3"/>
      <c r="O24" s="159">
        <f t="shared" si="2"/>
        <v>-0.17327747983100789</v>
      </c>
      <c r="P24" s="211">
        <f t="shared" si="3"/>
        <v>0.1003156387182937</v>
      </c>
      <c r="Q24" s="159">
        <f t="shared" si="4"/>
        <v>5.5218293277918917</v>
      </c>
      <c r="R24" s="159">
        <f t="shared" si="5"/>
        <v>5.4215136890735982</v>
      </c>
      <c r="S24" s="159">
        <f t="shared" si="6"/>
        <v>5.6221449665101852</v>
      </c>
      <c r="T24" s="152">
        <f t="shared" si="7"/>
        <v>332528.84800470556</v>
      </c>
      <c r="U24" s="160">
        <f t="shared" si="12"/>
        <v>0.67100000000000004</v>
      </c>
      <c r="V24" s="152">
        <f t="shared" si="8"/>
        <v>263945.15172442101</v>
      </c>
      <c r="W24" s="160">
        <f t="shared" si="9"/>
        <v>0.67100000000000004</v>
      </c>
      <c r="X24" s="152">
        <f t="shared" si="10"/>
        <v>418933.38079111913</v>
      </c>
      <c r="Y24" s="160">
        <f t="shared" si="11"/>
        <v>0.67100000000000004</v>
      </c>
      <c r="Z24" s="170" t="s">
        <v>90</v>
      </c>
      <c r="AA24" s="170" t="s">
        <v>91</v>
      </c>
      <c r="AB24" s="170" t="s">
        <v>92</v>
      </c>
      <c r="AC24" s="170" t="s">
        <v>93</v>
      </c>
      <c r="AD24" s="3"/>
      <c r="AE24" s="3"/>
      <c r="AF24" s="3"/>
      <c r="AG24" s="3"/>
      <c r="AH24" s="3"/>
      <c r="AI24" s="1"/>
      <c r="AJ24" s="1"/>
      <c r="AK24" s="1"/>
    </row>
    <row r="25" spans="1:37" ht="13.5" thickBot="1" x14ac:dyDescent="0.25">
      <c r="A25" s="53"/>
      <c r="B25" s="52"/>
      <c r="C25" s="53"/>
      <c r="D25" s="53"/>
      <c r="E25" s="53"/>
      <c r="F25" s="53"/>
      <c r="G25" s="3"/>
      <c r="H25" s="173" t="s">
        <v>69</v>
      </c>
      <c r="I25" s="186">
        <f>SUM(I23:I24)</f>
        <v>1.3529145526350419</v>
      </c>
      <c r="J25" s="187">
        <f>SUM(J23:J24)</f>
        <v>5</v>
      </c>
      <c r="K25" s="188"/>
      <c r="L25" s="189"/>
      <c r="M25" s="3"/>
      <c r="N25" s="3"/>
      <c r="O25" s="159">
        <f t="shared" si="2"/>
        <v>-0.16973219906635817</v>
      </c>
      <c r="P25" s="211">
        <f t="shared" si="3"/>
        <v>9.8354287777973004E-2</v>
      </c>
      <c r="Q25" s="159">
        <f t="shared" si="4"/>
        <v>5.5031286945088027</v>
      </c>
      <c r="R25" s="159">
        <f t="shared" si="5"/>
        <v>5.4047744067308301</v>
      </c>
      <c r="S25" s="159">
        <f t="shared" si="6"/>
        <v>5.6014829822867753</v>
      </c>
      <c r="T25" s="152">
        <f t="shared" si="7"/>
        <v>318514.12349792907</v>
      </c>
      <c r="U25" s="160">
        <f t="shared" si="12"/>
        <v>0.6765000000000001</v>
      </c>
      <c r="V25" s="152">
        <f t="shared" si="8"/>
        <v>253965.31458758129</v>
      </c>
      <c r="W25" s="160">
        <f t="shared" si="9"/>
        <v>0.6765000000000001</v>
      </c>
      <c r="X25" s="152">
        <f t="shared" si="10"/>
        <v>399468.90791918681</v>
      </c>
      <c r="Y25" s="160">
        <f t="shared" si="11"/>
        <v>0.6765000000000001</v>
      </c>
      <c r="Z25" s="163">
        <v>1</v>
      </c>
      <c r="AA25" s="163">
        <v>64.96200857307025</v>
      </c>
      <c r="AB25" s="163">
        <v>0.47441169590722154</v>
      </c>
      <c r="AC25" s="163">
        <v>0.1032033599178334</v>
      </c>
      <c r="AD25" s="3"/>
      <c r="AE25" s="3"/>
      <c r="AF25" s="3"/>
      <c r="AG25" s="3"/>
      <c r="AH25" s="3"/>
      <c r="AI25" s="1"/>
      <c r="AJ25" s="1"/>
      <c r="AK25" s="1"/>
    </row>
    <row r="26" spans="1:37" x14ac:dyDescent="0.2">
      <c r="A26" s="53"/>
      <c r="B26" s="52"/>
      <c r="C26" s="53"/>
      <c r="D26" s="53"/>
      <c r="E26" s="53"/>
      <c r="F26" s="53"/>
      <c r="G26" s="3"/>
      <c r="H26" s="3"/>
      <c r="I26" s="3"/>
      <c r="J26" s="3"/>
      <c r="K26" s="3"/>
      <c r="L26" s="3"/>
      <c r="M26" s="3"/>
      <c r="N26" s="3"/>
      <c r="O26" s="159">
        <f t="shared" si="2"/>
        <v>-0.16621562534352105</v>
      </c>
      <c r="P26" s="211">
        <f t="shared" si="3"/>
        <v>9.6446464243600052E-2</v>
      </c>
      <c r="Q26" s="159">
        <f t="shared" si="4"/>
        <v>5.4845794850189806</v>
      </c>
      <c r="R26" s="159">
        <f t="shared" si="5"/>
        <v>5.3881330207753804</v>
      </c>
      <c r="S26" s="159">
        <f t="shared" si="6"/>
        <v>5.5810259492625809</v>
      </c>
      <c r="T26" s="152">
        <f t="shared" si="7"/>
        <v>305196.45516935131</v>
      </c>
      <c r="U26" s="160">
        <f t="shared" si="12"/>
        <v>0.68199999999999994</v>
      </c>
      <c r="V26" s="152">
        <f t="shared" si="8"/>
        <v>244417.90697068966</v>
      </c>
      <c r="W26" s="160">
        <f t="shared" si="9"/>
        <v>0.68199999999999994</v>
      </c>
      <c r="X26" s="152">
        <f t="shared" si="10"/>
        <v>381088.59290374216</v>
      </c>
      <c r="Y26" s="160">
        <f t="shared" si="11"/>
        <v>0.68199999999999994</v>
      </c>
      <c r="Z26" s="163">
        <v>2</v>
      </c>
      <c r="AA26" s="163">
        <v>84.735375375576723</v>
      </c>
      <c r="AB26" s="163">
        <v>8.1224337994435558</v>
      </c>
      <c r="AC26" s="163">
        <v>1.7669515023438278</v>
      </c>
      <c r="AD26" s="3"/>
      <c r="AE26" s="3"/>
      <c r="AF26" s="3"/>
      <c r="AG26" s="3"/>
      <c r="AH26" s="3"/>
      <c r="AI26" s="1"/>
      <c r="AJ26" s="1"/>
      <c r="AK26" s="1"/>
    </row>
    <row r="27" spans="1:37" x14ac:dyDescent="0.2">
      <c r="A27" s="53"/>
      <c r="B27" s="52"/>
      <c r="C27" s="53"/>
      <c r="D27" s="53"/>
      <c r="E27" s="53"/>
      <c r="F27" s="53"/>
      <c r="G27" s="3"/>
      <c r="H27" s="3"/>
      <c r="I27" s="3"/>
      <c r="J27" s="3"/>
      <c r="K27" s="3"/>
      <c r="L27" s="3"/>
      <c r="M27" s="3"/>
      <c r="N27" s="3"/>
      <c r="O27" s="159">
        <f t="shared" si="2"/>
        <v>-0.16272729749769974</v>
      </c>
      <c r="P27" s="211">
        <f t="shared" si="3"/>
        <v>9.4593248645038763E-2</v>
      </c>
      <c r="Q27" s="159">
        <f t="shared" si="4"/>
        <v>5.4661792667721363</v>
      </c>
      <c r="R27" s="159">
        <f t="shared" si="5"/>
        <v>5.3715860181270978</v>
      </c>
      <c r="S27" s="159">
        <f t="shared" si="6"/>
        <v>5.5607725154171748</v>
      </c>
      <c r="T27" s="152">
        <f t="shared" si="7"/>
        <v>292535.96498311014</v>
      </c>
      <c r="U27" s="160">
        <f t="shared" si="12"/>
        <v>0.6875</v>
      </c>
      <c r="V27" s="152">
        <f t="shared" si="8"/>
        <v>235280.54534363252</v>
      </c>
      <c r="W27" s="160">
        <f t="shared" si="9"/>
        <v>0.6875</v>
      </c>
      <c r="X27" s="152">
        <f t="shared" si="10"/>
        <v>363724.46639653906</v>
      </c>
      <c r="Y27" s="160">
        <f t="shared" si="11"/>
        <v>0.6875</v>
      </c>
      <c r="Z27" s="163">
        <v>3</v>
      </c>
      <c r="AA27" s="163">
        <v>72.398960486332342</v>
      </c>
      <c r="AB27" s="163">
        <v>-3.7728515527469852</v>
      </c>
      <c r="AC27" s="163">
        <v>-0.82074485109416684</v>
      </c>
      <c r="AD27" s="3"/>
      <c r="AE27" s="3"/>
      <c r="AF27" s="3"/>
      <c r="AG27" s="3"/>
      <c r="AH27" s="3"/>
      <c r="AI27" s="1"/>
      <c r="AJ27" s="1"/>
      <c r="AK27" s="1"/>
    </row>
    <row r="28" spans="1:37" x14ac:dyDescent="0.2">
      <c r="A28" s="53"/>
      <c r="B28" s="52"/>
      <c r="C28" s="53"/>
      <c r="D28" s="53"/>
      <c r="E28" s="53"/>
      <c r="F28" s="53"/>
      <c r="G28" s="3"/>
      <c r="H28" s="3"/>
      <c r="I28" s="53"/>
      <c r="J28" s="3"/>
      <c r="K28" s="3"/>
      <c r="L28" s="3"/>
      <c r="M28" s="163"/>
      <c r="N28" s="163"/>
      <c r="O28" s="159">
        <f t="shared" si="2"/>
        <v>-0.1592667653881932</v>
      </c>
      <c r="P28" s="211">
        <f t="shared" si="3"/>
        <v>9.279577544107652E-2</v>
      </c>
      <c r="Q28" s="159">
        <f t="shared" si="4"/>
        <v>5.4479256653678396</v>
      </c>
      <c r="R28" s="159">
        <f t="shared" si="5"/>
        <v>5.3551298899267632</v>
      </c>
      <c r="S28" s="159">
        <f t="shared" si="6"/>
        <v>5.540721440808916</v>
      </c>
      <c r="T28" s="152">
        <f t="shared" si="7"/>
        <v>280495.34959280037</v>
      </c>
      <c r="U28" s="160">
        <f t="shared" si="12"/>
        <v>0.69300000000000006</v>
      </c>
      <c r="V28" s="152">
        <f t="shared" si="8"/>
        <v>226532.17246180269</v>
      </c>
      <c r="W28" s="160">
        <f t="shared" si="9"/>
        <v>0.69300000000000006</v>
      </c>
      <c r="X28" s="152">
        <f t="shared" si="10"/>
        <v>347313.3210535642</v>
      </c>
      <c r="Y28" s="160">
        <f t="shared" si="11"/>
        <v>0.69300000000000006</v>
      </c>
      <c r="Z28" s="163">
        <v>4</v>
      </c>
      <c r="AA28" s="163">
        <v>83.967989608254186</v>
      </c>
      <c r="AB28" s="163">
        <v>3.5389412932821216</v>
      </c>
      <c r="AC28" s="163">
        <v>0.76986009234077568</v>
      </c>
      <c r="AD28" s="3"/>
      <c r="AE28" s="3"/>
      <c r="AF28" s="3"/>
      <c r="AG28" s="3"/>
      <c r="AH28" s="3"/>
      <c r="AI28" s="1"/>
      <c r="AJ28" s="1"/>
      <c r="AK28" s="1"/>
    </row>
    <row r="29" spans="1:37" x14ac:dyDescent="0.2">
      <c r="A29" s="53"/>
      <c r="B29" s="52"/>
      <c r="C29" s="53"/>
      <c r="D29" s="53"/>
      <c r="E29" s="53"/>
      <c r="F29" s="53"/>
      <c r="G29" s="3"/>
      <c r="H29" s="3" t="s">
        <v>94</v>
      </c>
      <c r="I29" s="190">
        <f>10^$I$13</f>
        <v>40534.605113527876</v>
      </c>
      <c r="J29" s="3" t="s">
        <v>95</v>
      </c>
      <c r="K29" s="3" t="s">
        <v>96</v>
      </c>
      <c r="L29" s="151">
        <f>+I12</f>
        <v>-5.2747961373199947</v>
      </c>
      <c r="M29" s="163"/>
      <c r="N29" s="163"/>
      <c r="O29" s="159">
        <f t="shared" si="2"/>
        <v>-0.15583358954979923</v>
      </c>
      <c r="P29" s="211">
        <f t="shared" si="3"/>
        <v>9.1055229362508178E-2</v>
      </c>
      <c r="Q29" s="159">
        <f t="shared" si="4"/>
        <v>5.4298163627167391</v>
      </c>
      <c r="R29" s="159">
        <f t="shared" si="5"/>
        <v>5.3387611333542306</v>
      </c>
      <c r="S29" s="159">
        <f t="shared" si="6"/>
        <v>5.5208715920792475</v>
      </c>
      <c r="T29" s="152">
        <f t="shared" si="7"/>
        <v>269039.69546641468</v>
      </c>
      <c r="U29" s="160">
        <f t="shared" si="12"/>
        <v>0.69850000000000012</v>
      </c>
      <c r="V29" s="152">
        <f t="shared" si="8"/>
        <v>218152.97169568628</v>
      </c>
      <c r="W29" s="160">
        <f t="shared" si="9"/>
        <v>0.69850000000000012</v>
      </c>
      <c r="X29" s="152">
        <f t="shared" si="10"/>
        <v>331796.34076968394</v>
      </c>
      <c r="Y29" s="160">
        <f t="shared" si="11"/>
        <v>0.69850000000000012</v>
      </c>
      <c r="Z29" s="163">
        <v>5</v>
      </c>
      <c r="AA29" s="163">
        <v>80.249513651623147</v>
      </c>
      <c r="AB29" s="163">
        <v>-3.074627132090697</v>
      </c>
      <c r="AC29" s="163">
        <v>-0.66885334671080132</v>
      </c>
      <c r="AD29" s="3"/>
      <c r="AE29" s="3"/>
      <c r="AF29" s="3"/>
      <c r="AG29" s="3"/>
      <c r="AH29" s="3"/>
      <c r="AI29" s="1"/>
      <c r="AJ29" s="1"/>
      <c r="AK29" s="1"/>
    </row>
    <row r="30" spans="1:37" ht="15.75" x14ac:dyDescent="0.2">
      <c r="A30" s="154"/>
      <c r="B30" s="154"/>
      <c r="C30" s="160"/>
      <c r="D30" s="3"/>
      <c r="E30" s="3"/>
      <c r="F30" s="3"/>
      <c r="G30" s="3"/>
      <c r="H30" s="3"/>
      <c r="I30" s="3"/>
      <c r="J30" s="3"/>
      <c r="K30" s="3"/>
      <c r="L30" s="3"/>
      <c r="M30" s="163"/>
      <c r="N30" s="163"/>
      <c r="O30" s="159">
        <f t="shared" si="2"/>
        <v>-0.15242734085788776</v>
      </c>
      <c r="P30" s="211">
        <f t="shared" si="3"/>
        <v>8.9372840784858604E-2</v>
      </c>
      <c r="Q30" s="159">
        <f t="shared" si="4"/>
        <v>5.4118490952738929</v>
      </c>
      <c r="R30" s="159">
        <f t="shared" si="5"/>
        <v>5.3224762544890343</v>
      </c>
      <c r="S30" s="159">
        <f t="shared" si="6"/>
        <v>5.5012219360587515</v>
      </c>
      <c r="T30" s="152">
        <f t="shared" si="7"/>
        <v>258136.3086042075</v>
      </c>
      <c r="U30" s="160">
        <f t="shared" si="12"/>
        <v>0.70400000000000007</v>
      </c>
      <c r="V30" s="152">
        <f t="shared" si="8"/>
        <v>210124.28782250977</v>
      </c>
      <c r="W30" s="160">
        <f t="shared" si="9"/>
        <v>0.70400000000000007</v>
      </c>
      <c r="X30" s="152">
        <f t="shared" si="10"/>
        <v>317118.76104533015</v>
      </c>
      <c r="Y30" s="160">
        <f t="shared" si="11"/>
        <v>0.70400000000000007</v>
      </c>
      <c r="Z30" s="163">
        <v>6</v>
      </c>
      <c r="AA30" s="163">
        <v>78.183475047293271</v>
      </c>
      <c r="AB30" s="163">
        <v>-4.5407034997025164</v>
      </c>
      <c r="AC30" s="163">
        <v>-0.98778310400595504</v>
      </c>
      <c r="AD30" s="3"/>
      <c r="AE30" s="3"/>
      <c r="AF30" s="3"/>
      <c r="AG30" s="3"/>
      <c r="AH30" s="3"/>
      <c r="AI30" s="1"/>
      <c r="AJ30" s="1"/>
      <c r="AK30" s="1"/>
    </row>
    <row r="31" spans="1:37" ht="16.5" thickBot="1" x14ac:dyDescent="0.25">
      <c r="A31" s="154"/>
      <c r="B31" s="154"/>
      <c r="C31" s="160"/>
      <c r="D31" s="3"/>
      <c r="E31" s="3"/>
      <c r="F31" s="3"/>
      <c r="G31" s="3"/>
      <c r="H31" s="3"/>
      <c r="I31" s="3"/>
      <c r="J31" s="3"/>
      <c r="K31" s="3"/>
      <c r="L31" s="3"/>
      <c r="M31" s="163"/>
      <c r="N31" s="163"/>
      <c r="O31" s="159">
        <f t="shared" si="2"/>
        <v>-0.14904760020650717</v>
      </c>
      <c r="P31" s="211">
        <f t="shared" si="3"/>
        <v>8.774988002659459E-2</v>
      </c>
      <c r="Q31" s="159">
        <f t="shared" si="4"/>
        <v>5.3940216523408475</v>
      </c>
      <c r="R31" s="159">
        <f t="shared" si="5"/>
        <v>5.3062717723142532</v>
      </c>
      <c r="S31" s="159">
        <f t="shared" si="6"/>
        <v>5.4817715323674419</v>
      </c>
      <c r="T31" s="152">
        <f t="shared" si="7"/>
        <v>247754.55759515503</v>
      </c>
      <c r="U31" s="160">
        <f t="shared" si="12"/>
        <v>0.70950000000000002</v>
      </c>
      <c r="V31" s="152">
        <f t="shared" si="8"/>
        <v>202428.55375420814</v>
      </c>
      <c r="W31" s="160">
        <f t="shared" si="9"/>
        <v>0.70950000000000002</v>
      </c>
      <c r="X31" s="152">
        <f t="shared" si="10"/>
        <v>303229.55764285283</v>
      </c>
      <c r="Y31" s="160">
        <f t="shared" si="11"/>
        <v>0.70950000000000002</v>
      </c>
      <c r="Z31" s="163">
        <v>7</v>
      </c>
      <c r="AA31" s="163">
        <v>58.292048895967945</v>
      </c>
      <c r="AB31" s="163">
        <v>5.5384635753090379</v>
      </c>
      <c r="AC31" s="163">
        <v>1.2048354934870995</v>
      </c>
      <c r="AD31" s="3"/>
      <c r="AE31" s="3"/>
      <c r="AF31" s="3"/>
      <c r="AG31" s="3"/>
      <c r="AH31" s="3"/>
      <c r="AI31" s="1"/>
      <c r="AJ31" s="1"/>
      <c r="AK31" s="1"/>
    </row>
    <row r="32" spans="1:37" ht="16.5" thickBot="1" x14ac:dyDescent="0.25">
      <c r="A32" s="154"/>
      <c r="B32" s="154"/>
      <c r="C32" s="160"/>
      <c r="D32" s="3"/>
      <c r="E32" s="3"/>
      <c r="F32" s="3"/>
      <c r="G32" s="3"/>
      <c r="H32" s="174" t="s">
        <v>33</v>
      </c>
      <c r="I32" s="191" t="s">
        <v>97</v>
      </c>
      <c r="J32" s="191" t="s">
        <v>98</v>
      </c>
      <c r="K32" s="191"/>
      <c r="L32" s="192">
        <v>0.95</v>
      </c>
      <c r="M32" s="163"/>
      <c r="N32" s="163"/>
      <c r="O32" s="159">
        <f t="shared" si="2"/>
        <v>-0.14569395819891934</v>
      </c>
      <c r="P32" s="211">
        <f t="shared" si="3"/>
        <v>8.6187650474994437E-2</v>
      </c>
      <c r="Q32" s="159">
        <f t="shared" si="4"/>
        <v>5.3763318744332693</v>
      </c>
      <c r="R32" s="159">
        <f t="shared" si="5"/>
        <v>5.2901442239582748</v>
      </c>
      <c r="S32" s="159">
        <f t="shared" si="6"/>
        <v>5.4625195249082639</v>
      </c>
      <c r="T32" s="152">
        <f t="shared" si="7"/>
        <v>237865.72887417627</v>
      </c>
      <c r="U32" s="160">
        <f t="shared" si="12"/>
        <v>0.71500000000000008</v>
      </c>
      <c r="V32" s="152">
        <f t="shared" si="8"/>
        <v>195049.22271561073</v>
      </c>
      <c r="W32" s="160">
        <f t="shared" si="9"/>
        <v>0.71500000000000008</v>
      </c>
      <c r="X32" s="152">
        <f t="shared" si="10"/>
        <v>290081.16097616608</v>
      </c>
      <c r="Y32" s="160">
        <f t="shared" si="11"/>
        <v>0.71500000000000008</v>
      </c>
      <c r="Z32" s="163">
        <v>8</v>
      </c>
      <c r="AA32" s="163">
        <v>76.17685964853554</v>
      </c>
      <c r="AB32" s="163">
        <v>-1.6616650429208448</v>
      </c>
      <c r="AC32" s="163">
        <v>-0.36147805158871843</v>
      </c>
      <c r="AD32" s="3"/>
      <c r="AE32" s="3"/>
      <c r="AF32" s="3"/>
      <c r="AG32" s="3"/>
      <c r="AH32" s="3"/>
      <c r="AI32" s="1"/>
      <c r="AJ32" s="1"/>
      <c r="AK32" s="1"/>
    </row>
    <row r="33" spans="1:37" ht="15.75" x14ac:dyDescent="0.2">
      <c r="A33" s="154"/>
      <c r="B33" s="154"/>
      <c r="C33" s="160"/>
      <c r="D33" s="3"/>
      <c r="E33" s="3"/>
      <c r="F33" s="3"/>
      <c r="G33" s="3"/>
      <c r="H33" s="158">
        <v>1</v>
      </c>
      <c r="I33" s="63">
        <v>12.706</v>
      </c>
      <c r="J33" s="63">
        <v>199.5</v>
      </c>
      <c r="K33" s="63"/>
      <c r="L33" s="164"/>
      <c r="M33" s="63"/>
      <c r="N33" s="63"/>
      <c r="O33" s="159">
        <f t="shared" si="2"/>
        <v>-0.14236601484999187</v>
      </c>
      <c r="P33" s="211">
        <f t="shared" si="3"/>
        <v>8.4687480453430358E-2</v>
      </c>
      <c r="Q33" s="159">
        <f t="shared" si="4"/>
        <v>5.3587776517111267</v>
      </c>
      <c r="R33" s="159">
        <f t="shared" si="5"/>
        <v>5.2740901712576962</v>
      </c>
      <c r="S33" s="159">
        <f t="shared" si="6"/>
        <v>5.4434651321645573</v>
      </c>
      <c r="T33" s="152">
        <f t="shared" si="7"/>
        <v>228442.89314715847</v>
      </c>
      <c r="U33" s="160">
        <f t="shared" si="12"/>
        <v>0.72049999999999992</v>
      </c>
      <c r="V33" s="152">
        <f t="shared" si="8"/>
        <v>187970.70542148259</v>
      </c>
      <c r="W33" s="160">
        <f t="shared" si="9"/>
        <v>0.72049999999999992</v>
      </c>
      <c r="X33" s="152">
        <f t="shared" si="10"/>
        <v>277629.19393438514</v>
      </c>
      <c r="Y33" s="160">
        <f t="shared" si="11"/>
        <v>0.72049999999999992</v>
      </c>
      <c r="Z33" s="163">
        <v>9</v>
      </c>
      <c r="AA33" s="163">
        <v>66.37832722773372</v>
      </c>
      <c r="AB33" s="163">
        <v>1.0806764711593644</v>
      </c>
      <c r="AC33" s="163">
        <v>0.23508999413371393</v>
      </c>
      <c r="AD33" s="3"/>
      <c r="AE33" s="3"/>
      <c r="AF33" s="3"/>
      <c r="AG33" s="3"/>
      <c r="AH33" s="3"/>
      <c r="AI33" s="1"/>
      <c r="AJ33" s="1"/>
      <c r="AK33" s="1"/>
    </row>
    <row r="34" spans="1:37" ht="16.5" thickBot="1" x14ac:dyDescent="0.25">
      <c r="A34" s="154"/>
      <c r="B34" s="154"/>
      <c r="C34" s="160"/>
      <c r="D34" s="3"/>
      <c r="E34" s="3"/>
      <c r="F34" s="3"/>
      <c r="G34" s="3"/>
      <c r="H34" s="158">
        <v>2</v>
      </c>
      <c r="I34" s="63">
        <v>4.3029999999999999</v>
      </c>
      <c r="J34" s="63">
        <v>19</v>
      </c>
      <c r="K34" s="63"/>
      <c r="L34" s="164"/>
      <c r="M34" s="63"/>
      <c r="N34" s="63"/>
      <c r="O34" s="159">
        <f t="shared" ref="O34:O65" si="38">LOG($I$19+($I$20-$I$19)*(ROW()-2)/100)</f>
        <v>-0.13906337929990623</v>
      </c>
      <c r="P34" s="211">
        <f t="shared" ref="P34:P65" si="39">SQRT(2*$I$16*$K$24)*SQRT((1/$I$1)+((O34-$I$10)^2/$I$7))</f>
        <v>8.3250713761610293E-2</v>
      </c>
      <c r="Q34" s="159">
        <f t="shared" ref="Q34:Q65" si="40">+$I$13+$I$12*O34</f>
        <v>5.3413569224685595</v>
      </c>
      <c r="R34" s="159">
        <f t="shared" ref="R34:R65" si="41">+$I$13+$I$12*O34-P34</f>
        <v>5.2581062087069492</v>
      </c>
      <c r="S34" s="159">
        <f t="shared" ref="S34:S65" si="42">+$I$13+$I$12*O34+P34</f>
        <v>5.4246076362301698</v>
      </c>
      <c r="T34" s="152">
        <f t="shared" ref="T34:T65" si="43">10^Q34</f>
        <v>219460.78204531909</v>
      </c>
      <c r="U34" s="160">
        <f t="shared" si="12"/>
        <v>0.72600000000000009</v>
      </c>
      <c r="V34" s="152">
        <f t="shared" ref="V34:V65" si="44">10^R34</f>
        <v>181178.31183146883</v>
      </c>
      <c r="W34" s="160">
        <f t="shared" ref="W34:W65" si="45">10^$O34</f>
        <v>0.72600000000000009</v>
      </c>
      <c r="X34" s="152">
        <f t="shared" ref="X34:X65" si="46">10^S34</f>
        <v>265832.23107158643</v>
      </c>
      <c r="Y34" s="160">
        <f t="shared" ref="Y34:Y65" si="47">10^$O34</f>
        <v>0.72600000000000009</v>
      </c>
      <c r="Z34" s="166">
        <v>10</v>
      </c>
      <c r="AA34" s="166">
        <v>71.750027598991394</v>
      </c>
      <c r="AB34" s="166">
        <v>-5.705079607640414</v>
      </c>
      <c r="AC34" s="166">
        <v>-1.2410810888236428</v>
      </c>
      <c r="AD34" s="3"/>
      <c r="AE34" s="3"/>
      <c r="AF34" s="3"/>
      <c r="AG34" s="3"/>
      <c r="AH34" s="3"/>
      <c r="AI34" s="1"/>
      <c r="AJ34" s="1"/>
      <c r="AK34" s="1"/>
    </row>
    <row r="35" spans="1:37" ht="15.75" x14ac:dyDescent="0.2">
      <c r="A35" s="154"/>
      <c r="B35" s="154"/>
      <c r="C35" s="160"/>
      <c r="D35" s="3"/>
      <c r="E35" s="3"/>
      <c r="F35" s="3"/>
      <c r="G35" s="3"/>
      <c r="H35" s="158">
        <v>3</v>
      </c>
      <c r="I35" s="63">
        <v>3.1819999999999999</v>
      </c>
      <c r="J35" s="63">
        <v>9.5500000000000007</v>
      </c>
      <c r="K35" s="63"/>
      <c r="L35" s="164"/>
      <c r="M35" s="63"/>
      <c r="N35" s="63"/>
      <c r="O35" s="159">
        <f t="shared" si="38"/>
        <v>-0.13578566953867033</v>
      </c>
      <c r="P35" s="211">
        <f t="shared" si="39"/>
        <v>8.1878698845154058E-2</v>
      </c>
      <c r="Q35" s="159">
        <f t="shared" si="40"/>
        <v>5.3240676716807362</v>
      </c>
      <c r="R35" s="159">
        <f t="shared" si="41"/>
        <v>5.2421889728355824</v>
      </c>
      <c r="S35" s="159">
        <f t="shared" si="42"/>
        <v>5.4059463705258901</v>
      </c>
      <c r="T35" s="152">
        <f t="shared" si="43"/>
        <v>210895.67415566841</v>
      </c>
      <c r="U35" s="160">
        <f t="shared" ref="U35:U66" si="48">10^O35</f>
        <v>0.73150000000000004</v>
      </c>
      <c r="V35" s="152">
        <f t="shared" si="44"/>
        <v>174658.1970886612</v>
      </c>
      <c r="W35" s="160">
        <f t="shared" si="45"/>
        <v>0.73150000000000004</v>
      </c>
      <c r="X35" s="152">
        <f t="shared" si="46"/>
        <v>254651.57730327509</v>
      </c>
      <c r="Y35" s="160">
        <f t="shared" si="47"/>
        <v>0.73150000000000004</v>
      </c>
      <c r="Z35" s="163">
        <v>11</v>
      </c>
      <c r="AA35" s="163">
        <v>1.8219740757524479</v>
      </c>
      <c r="AB35" s="163">
        <v>-2.3572384393459211E-2</v>
      </c>
      <c r="AC35" s="163">
        <v>-2.1105589333618084</v>
      </c>
      <c r="AD35" s="3"/>
      <c r="AE35" s="3"/>
      <c r="AF35" s="3"/>
      <c r="AG35" s="3"/>
      <c r="AH35" s="3"/>
      <c r="AI35" s="1"/>
      <c r="AJ35" s="1"/>
      <c r="AK35" s="1"/>
    </row>
    <row r="36" spans="1:37" ht="16.5" thickBot="1" x14ac:dyDescent="0.25">
      <c r="A36" s="154"/>
      <c r="B36" s="154"/>
      <c r="C36" s="160"/>
      <c r="D36" s="3"/>
      <c r="E36" s="3"/>
      <c r="F36" s="3"/>
      <c r="G36" s="3"/>
      <c r="H36" s="158">
        <v>4</v>
      </c>
      <c r="I36" s="63">
        <v>2.7764000000000002</v>
      </c>
      <c r="J36" s="63">
        <v>6.94</v>
      </c>
      <c r="K36" s="63"/>
      <c r="L36" s="164"/>
      <c r="M36" s="63"/>
      <c r="N36" s="63"/>
      <c r="O36" s="159">
        <f t="shared" si="38"/>
        <v>-0.13253251214094847</v>
      </c>
      <c r="P36" s="211">
        <f t="shared" si="39"/>
        <v>8.0572776583351713E-2</v>
      </c>
      <c r="Q36" s="159">
        <f t="shared" si="40"/>
        <v>5.3069079296051385</v>
      </c>
      <c r="R36" s="159">
        <f t="shared" si="41"/>
        <v>5.226335153021787</v>
      </c>
      <c r="S36" s="159">
        <f t="shared" si="42"/>
        <v>5.38748070618849</v>
      </c>
      <c r="T36" s="152">
        <f t="shared" si="43"/>
        <v>202725.28965123993</v>
      </c>
      <c r="U36" s="160">
        <f t="shared" si="48"/>
        <v>0.7370000000000001</v>
      </c>
      <c r="V36" s="152">
        <f t="shared" si="44"/>
        <v>168397.31127100837</v>
      </c>
      <c r="W36" s="160">
        <f t="shared" si="45"/>
        <v>0.7370000000000001</v>
      </c>
      <c r="X36" s="152">
        <f t="shared" si="46"/>
        <v>244051.0644379544</v>
      </c>
      <c r="Y36" s="160">
        <f t="shared" si="47"/>
        <v>0.7370000000000001</v>
      </c>
      <c r="Z36" s="166">
        <v>12</v>
      </c>
      <c r="AA36" s="166">
        <v>1.7418458667896419</v>
      </c>
      <c r="AB36" s="166">
        <v>5.198026089093144E-3</v>
      </c>
      <c r="AC36" s="166">
        <v>0.46540647798138757</v>
      </c>
      <c r="AD36" s="3"/>
      <c r="AE36" s="3"/>
      <c r="AF36" s="3"/>
      <c r="AG36" s="3"/>
      <c r="AH36" s="3"/>
      <c r="AI36" s="1"/>
      <c r="AJ36" s="1"/>
      <c r="AK36" s="1"/>
    </row>
    <row r="37" spans="1:37" ht="15.75" x14ac:dyDescent="0.2">
      <c r="A37" s="154"/>
      <c r="B37" s="154"/>
      <c r="C37" s="160"/>
      <c r="D37" s="3"/>
      <c r="E37" s="3"/>
      <c r="F37" s="3"/>
      <c r="G37" s="3"/>
      <c r="H37" s="158">
        <v>5</v>
      </c>
      <c r="I37" s="63">
        <v>2.5706000000000002</v>
      </c>
      <c r="J37" s="63">
        <v>5.79</v>
      </c>
      <c r="K37" s="63"/>
      <c r="L37" s="164"/>
      <c r="M37" s="63"/>
      <c r="N37" s="63"/>
      <c r="O37" s="159">
        <f t="shared" si="38"/>
        <v>-0.12930354201075001</v>
      </c>
      <c r="P37" s="211">
        <f t="shared" si="39"/>
        <v>7.9334266724350816E-2</v>
      </c>
      <c r="Q37" s="159">
        <f t="shared" si="40"/>
        <v>5.289875770434846</v>
      </c>
      <c r="R37" s="159">
        <f t="shared" si="41"/>
        <v>5.2105415037104956</v>
      </c>
      <c r="S37" s="159">
        <f t="shared" si="42"/>
        <v>5.3692100371591964</v>
      </c>
      <c r="T37" s="152">
        <f t="shared" si="43"/>
        <v>194928.6928142276</v>
      </c>
      <c r="U37" s="160">
        <f t="shared" si="48"/>
        <v>0.74250000000000005</v>
      </c>
      <c r="V37" s="152">
        <f t="shared" si="44"/>
        <v>162383.35260583114</v>
      </c>
      <c r="W37" s="160">
        <f t="shared" si="45"/>
        <v>0.74250000000000005</v>
      </c>
      <c r="X37" s="152">
        <f t="shared" si="46"/>
        <v>233996.86404121597</v>
      </c>
      <c r="Y37" s="160">
        <f t="shared" si="47"/>
        <v>0.74250000000000005</v>
      </c>
      <c r="Z37" s="3"/>
      <c r="AA37" s="63"/>
      <c r="AB37" s="63"/>
      <c r="AC37" s="63"/>
      <c r="AD37" s="63"/>
      <c r="AE37" s="63"/>
      <c r="AF37" s="63"/>
      <c r="AG37" s="63"/>
      <c r="AH37" s="63"/>
      <c r="AI37" s="1"/>
      <c r="AJ37" s="1"/>
      <c r="AK37" s="1"/>
    </row>
    <row r="38" spans="1:37" x14ac:dyDescent="0.2">
      <c r="A38" s="160"/>
      <c r="B38" s="63"/>
      <c r="C38" s="160"/>
      <c r="D38" s="3"/>
      <c r="E38" s="3"/>
      <c r="F38" s="3"/>
      <c r="G38" s="3"/>
      <c r="H38" s="158">
        <v>6</v>
      </c>
      <c r="I38" s="63">
        <v>2.4468999999999999</v>
      </c>
      <c r="J38" s="63">
        <v>5.14</v>
      </c>
      <c r="K38" s="63"/>
      <c r="L38" s="164"/>
      <c r="M38" s="3"/>
      <c r="N38" s="3"/>
      <c r="O38" s="159">
        <f t="shared" si="38"/>
        <v>-0.12609840213553863</v>
      </c>
      <c r="P38" s="211">
        <f t="shared" si="39"/>
        <v>7.8164453045122845E-2</v>
      </c>
      <c r="Q38" s="159">
        <f t="shared" si="40"/>
        <v>5.2729693110015106</v>
      </c>
      <c r="R38" s="159">
        <f t="shared" si="41"/>
        <v>5.1948048579563881</v>
      </c>
      <c r="S38" s="159">
        <f t="shared" si="42"/>
        <v>5.351133764046633</v>
      </c>
      <c r="T38" s="152">
        <f t="shared" si="43"/>
        <v>187486.20180796212</v>
      </c>
      <c r="U38" s="160">
        <f t="shared" si="48"/>
        <v>0.748</v>
      </c>
      <c r="V38" s="152">
        <f t="shared" si="44"/>
        <v>156604.72381700421</v>
      </c>
      <c r="W38" s="160">
        <f t="shared" si="45"/>
        <v>0.748</v>
      </c>
      <c r="X38" s="152">
        <f t="shared" si="46"/>
        <v>224457.31528156571</v>
      </c>
      <c r="Y38" s="160">
        <f t="shared" si="47"/>
        <v>0.748</v>
      </c>
      <c r="Z38" s="3"/>
      <c r="AA38" s="63"/>
      <c r="AB38" s="63"/>
      <c r="AC38" s="63"/>
      <c r="AD38" s="63"/>
      <c r="AE38" s="63"/>
      <c r="AF38" s="63"/>
      <c r="AG38" s="63"/>
      <c r="AH38" s="63"/>
      <c r="AI38" s="1"/>
      <c r="AJ38" s="1"/>
      <c r="AK38" s="1"/>
    </row>
    <row r="39" spans="1:37" x14ac:dyDescent="0.2">
      <c r="A39" s="160"/>
      <c r="B39" s="63"/>
      <c r="C39" s="160"/>
      <c r="D39" s="3"/>
      <c r="E39" s="3"/>
      <c r="F39" s="3"/>
      <c r="G39" s="3"/>
      <c r="H39" s="158">
        <v>7</v>
      </c>
      <c r="I39" s="63">
        <v>2.3645999999999998</v>
      </c>
      <c r="J39" s="63">
        <v>4.74</v>
      </c>
      <c r="K39" s="63"/>
      <c r="L39" s="164"/>
      <c r="M39" s="3"/>
      <c r="N39" s="3"/>
      <c r="O39" s="159">
        <f t="shared" si="38"/>
        <v>-0.12291674334934935</v>
      </c>
      <c r="P39" s="211">
        <f t="shared" si="39"/>
        <v>7.7064567368548234E-2</v>
      </c>
      <c r="Q39" s="159">
        <f t="shared" si="40"/>
        <v>5.2561867095258492</v>
      </c>
      <c r="R39" s="159">
        <f t="shared" si="41"/>
        <v>5.1791221421573006</v>
      </c>
      <c r="S39" s="159">
        <f t="shared" si="42"/>
        <v>5.3332512768943978</v>
      </c>
      <c r="T39" s="152">
        <f t="shared" si="43"/>
        <v>180379.30511046763</v>
      </c>
      <c r="U39" s="160">
        <f t="shared" si="48"/>
        <v>0.75350000000000006</v>
      </c>
      <c r="V39" s="152">
        <f t="shared" si="44"/>
        <v>151050.49129273233</v>
      </c>
      <c r="W39" s="160">
        <f t="shared" si="45"/>
        <v>0.75350000000000006</v>
      </c>
      <c r="X39" s="152">
        <f t="shared" si="46"/>
        <v>215402.76654300818</v>
      </c>
      <c r="Y39" s="160">
        <f t="shared" si="47"/>
        <v>0.75350000000000006</v>
      </c>
      <c r="Z39" s="3"/>
      <c r="AA39" s="63"/>
      <c r="AB39" s="63"/>
      <c r="AC39" s="63"/>
      <c r="AD39" s="63"/>
      <c r="AE39" s="63"/>
      <c r="AF39" s="63"/>
      <c r="AG39" s="63"/>
      <c r="AH39" s="63"/>
      <c r="AI39" s="1"/>
      <c r="AJ39" s="1"/>
      <c r="AK39" s="1"/>
    </row>
    <row r="40" spans="1:37" x14ac:dyDescent="0.2">
      <c r="A40" s="63"/>
      <c r="B40" s="63"/>
      <c r="C40" s="63"/>
      <c r="D40" s="3"/>
      <c r="E40" s="3"/>
      <c r="F40" s="3"/>
      <c r="G40" s="3"/>
      <c r="H40" s="158">
        <v>8</v>
      </c>
      <c r="I40" s="63">
        <v>2.306</v>
      </c>
      <c r="J40" s="63">
        <v>4.46</v>
      </c>
      <c r="K40" s="63"/>
      <c r="L40" s="164"/>
      <c r="M40" s="3"/>
      <c r="N40" s="3"/>
      <c r="O40" s="159">
        <f t="shared" si="38"/>
        <v>-0.11975822410451957</v>
      </c>
      <c r="P40" s="211">
        <f t="shared" si="39"/>
        <v>7.6035772630255682E-2</v>
      </c>
      <c r="Q40" s="159">
        <f t="shared" si="40"/>
        <v>5.2395261644135704</v>
      </c>
      <c r="R40" s="159">
        <f t="shared" si="41"/>
        <v>5.1634903917833146</v>
      </c>
      <c r="S40" s="159">
        <f t="shared" si="42"/>
        <v>5.3155619370438263</v>
      </c>
      <c r="T40" s="152">
        <f t="shared" si="43"/>
        <v>173590.58407376381</v>
      </c>
      <c r="U40" s="160">
        <f t="shared" si="48"/>
        <v>0.75900000000000012</v>
      </c>
      <c r="V40" s="152">
        <f t="shared" si="44"/>
        <v>145710.34678006329</v>
      </c>
      <c r="W40" s="160">
        <f t="shared" si="45"/>
        <v>0.75900000000000012</v>
      </c>
      <c r="X40" s="152">
        <f t="shared" si="46"/>
        <v>206805.4297101805</v>
      </c>
      <c r="Y40" s="160">
        <f t="shared" si="47"/>
        <v>0.75900000000000012</v>
      </c>
      <c r="Z40" s="3"/>
      <c r="AA40" s="3"/>
      <c r="AB40" s="63"/>
      <c r="AC40" s="63"/>
      <c r="AD40" s="63"/>
      <c r="AE40" s="63"/>
      <c r="AF40" s="63"/>
      <c r="AG40" s="63"/>
      <c r="AH40" s="63"/>
      <c r="AI40" s="1"/>
      <c r="AJ40" s="1"/>
      <c r="AK40" s="1"/>
    </row>
    <row r="41" spans="1:37" x14ac:dyDescent="0.2">
      <c r="A41" s="3"/>
      <c r="B41" s="3"/>
      <c r="C41" s="3"/>
      <c r="D41" s="3"/>
      <c r="E41" s="3"/>
      <c r="F41" s="3"/>
      <c r="G41" s="3"/>
      <c r="H41" s="158">
        <v>9</v>
      </c>
      <c r="I41" s="63">
        <v>2.2622</v>
      </c>
      <c r="J41" s="63">
        <v>4.26</v>
      </c>
      <c r="K41" s="63"/>
      <c r="L41" s="164"/>
      <c r="M41" s="3"/>
      <c r="N41" s="3"/>
      <c r="O41" s="159">
        <f t="shared" si="38"/>
        <v>-0.11662251025166104</v>
      </c>
      <c r="P41" s="211">
        <f t="shared" si="39"/>
        <v>7.5079145251080379E-2</v>
      </c>
      <c r="Q41" s="159">
        <f t="shared" si="40"/>
        <v>5.2229859130947718</v>
      </c>
      <c r="R41" s="159">
        <f t="shared" si="41"/>
        <v>5.1479067678436916</v>
      </c>
      <c r="S41" s="159">
        <f t="shared" si="42"/>
        <v>5.298065058345852</v>
      </c>
      <c r="T41" s="152">
        <f t="shared" si="43"/>
        <v>167103.64111966637</v>
      </c>
      <c r="U41" s="160">
        <f t="shared" si="48"/>
        <v>0.76450000000000007</v>
      </c>
      <c r="V41" s="152">
        <f t="shared" si="44"/>
        <v>140574.57133119827</v>
      </c>
      <c r="W41" s="160">
        <f t="shared" si="45"/>
        <v>0.76450000000000007</v>
      </c>
      <c r="X41" s="152">
        <f t="shared" si="46"/>
        <v>198639.24613834478</v>
      </c>
      <c r="Y41" s="160">
        <f t="shared" si="47"/>
        <v>0.76450000000000007</v>
      </c>
      <c r="Z41" s="3"/>
      <c r="AA41" s="53"/>
      <c r="AB41" s="63"/>
      <c r="AC41" s="63"/>
      <c r="AD41" s="63"/>
      <c r="AE41" s="63"/>
      <c r="AF41" s="63"/>
      <c r="AG41" s="63"/>
      <c r="AH41" s="63"/>
      <c r="AI41" s="1"/>
      <c r="AJ41" s="1"/>
      <c r="AK41" s="1"/>
    </row>
    <row r="42" spans="1:37" x14ac:dyDescent="0.2">
      <c r="A42" s="3"/>
      <c r="B42" s="3"/>
      <c r="C42" s="3"/>
      <c r="D42" s="3"/>
      <c r="E42" s="3"/>
      <c r="F42" s="3"/>
      <c r="G42" s="3"/>
      <c r="H42" s="158">
        <v>10</v>
      </c>
      <c r="I42" s="63">
        <v>2.2281</v>
      </c>
      <c r="J42" s="63">
        <v>4.0999999999999996</v>
      </c>
      <c r="K42" s="63"/>
      <c r="L42" s="164"/>
      <c r="M42" s="3"/>
      <c r="N42" s="3"/>
      <c r="O42" s="159">
        <f t="shared" si="38"/>
        <v>-0.11350927482751812</v>
      </c>
      <c r="P42" s="211">
        <f t="shared" si="39"/>
        <v>7.4195657133963033E-2</v>
      </c>
      <c r="Q42" s="159">
        <f t="shared" si="40"/>
        <v>5.2065642309049345</v>
      </c>
      <c r="R42" s="159">
        <f t="shared" si="41"/>
        <v>5.1323685737709717</v>
      </c>
      <c r="S42" s="159">
        <f t="shared" si="42"/>
        <v>5.2807598880388973</v>
      </c>
      <c r="T42" s="152">
        <f t="shared" si="43"/>
        <v>160903.03312508177</v>
      </c>
      <c r="U42" s="160">
        <f t="shared" si="48"/>
        <v>0.77</v>
      </c>
      <c r="V42" s="152">
        <f t="shared" si="44"/>
        <v>135634.00124701572</v>
      </c>
      <c r="W42" s="160">
        <f t="shared" si="45"/>
        <v>0.77</v>
      </c>
      <c r="X42" s="152">
        <f t="shared" si="46"/>
        <v>190879.76341345895</v>
      </c>
      <c r="Y42" s="160">
        <f t="shared" si="47"/>
        <v>0.77</v>
      </c>
      <c r="Z42" s="53"/>
      <c r="AA42" s="53"/>
      <c r="AB42" s="63"/>
      <c r="AC42" s="63"/>
      <c r="AD42" s="63"/>
      <c r="AE42" s="63"/>
      <c r="AF42" s="63"/>
      <c r="AG42" s="63"/>
      <c r="AH42" s="63"/>
      <c r="AI42" s="1"/>
      <c r="AJ42" s="1"/>
      <c r="AK42" s="1"/>
    </row>
    <row r="43" spans="1:37" x14ac:dyDescent="0.2">
      <c r="A43" s="3"/>
      <c r="B43" s="3"/>
      <c r="C43" s="3"/>
      <c r="D43" s="3"/>
      <c r="E43" s="3"/>
      <c r="F43" s="3"/>
      <c r="G43" s="3"/>
      <c r="H43" s="158">
        <v>11</v>
      </c>
      <c r="I43" s="63">
        <v>2.2010000000000001</v>
      </c>
      <c r="J43" s="63">
        <v>3.98</v>
      </c>
      <c r="K43" s="63"/>
      <c r="L43" s="164"/>
      <c r="M43" s="3"/>
      <c r="N43" s="3"/>
      <c r="O43" s="159">
        <f t="shared" si="38"/>
        <v>-0.11041819785037621</v>
      </c>
      <c r="P43" s="211">
        <f t="shared" si="39"/>
        <v>7.3386157662867768E-2</v>
      </c>
      <c r="Q43" s="159">
        <f t="shared" si="40"/>
        <v>5.1902594300057476</v>
      </c>
      <c r="R43" s="159">
        <f t="shared" si="41"/>
        <v>5.1168732723428798</v>
      </c>
      <c r="S43" s="159">
        <f t="shared" si="42"/>
        <v>5.2636455876686155</v>
      </c>
      <c r="T43" s="152">
        <f t="shared" si="43"/>
        <v>154974.20958811988</v>
      </c>
      <c r="U43" s="160">
        <f t="shared" si="48"/>
        <v>0.77550000000000019</v>
      </c>
      <c r="V43" s="152">
        <f t="shared" si="44"/>
        <v>130879.99578563828</v>
      </c>
      <c r="W43" s="160">
        <f t="shared" si="45"/>
        <v>0.77550000000000019</v>
      </c>
      <c r="X43" s="152">
        <f t="shared" si="46"/>
        <v>183504.02208752162</v>
      </c>
      <c r="Y43" s="160">
        <f t="shared" si="47"/>
        <v>0.77550000000000019</v>
      </c>
      <c r="Z43" s="53"/>
      <c r="AA43" s="53"/>
      <c r="AB43" s="63"/>
      <c r="AC43" s="63"/>
      <c r="AD43" s="63"/>
      <c r="AE43" s="63"/>
      <c r="AF43" s="63"/>
      <c r="AG43" s="63"/>
      <c r="AH43" s="63"/>
      <c r="AI43" s="1"/>
      <c r="AJ43" s="1"/>
      <c r="AK43" s="1"/>
    </row>
    <row r="44" spans="1:37" x14ac:dyDescent="0.2">
      <c r="A44" s="3"/>
      <c r="B44" s="3"/>
      <c r="C44" s="3"/>
      <c r="D44" s="3"/>
      <c r="E44" s="3"/>
      <c r="F44" s="3"/>
      <c r="G44" s="3"/>
      <c r="H44" s="158">
        <v>12</v>
      </c>
      <c r="I44" s="63">
        <v>2.1787999999999998</v>
      </c>
      <c r="J44" s="63">
        <v>2.89</v>
      </c>
      <c r="K44" s="63"/>
      <c r="L44" s="164"/>
      <c r="M44" s="3"/>
      <c r="N44" s="3"/>
      <c r="O44" s="159">
        <f t="shared" si="38"/>
        <v>-0.10734896612269966</v>
      </c>
      <c r="P44" s="211">
        <f t="shared" si="39"/>
        <v>7.2651356131393813E-2</v>
      </c>
      <c r="Q44" s="159">
        <f t="shared" si="40"/>
        <v>5.1740698583440592</v>
      </c>
      <c r="R44" s="159">
        <f t="shared" si="41"/>
        <v>5.101418502212665</v>
      </c>
      <c r="S44" s="159">
        <f t="shared" si="42"/>
        <v>5.2467212144754534</v>
      </c>
      <c r="T44" s="152">
        <f t="shared" si="43"/>
        <v>149303.45520113123</v>
      </c>
      <c r="U44" s="160">
        <f t="shared" si="48"/>
        <v>0.78100000000000003</v>
      </c>
      <c r="V44" s="152">
        <f t="shared" si="44"/>
        <v>126304.40642877869</v>
      </c>
      <c r="W44" s="160">
        <f t="shared" si="45"/>
        <v>0.78100000000000003</v>
      </c>
      <c r="X44" s="152">
        <f t="shared" si="46"/>
        <v>176490.45164205003</v>
      </c>
      <c r="Y44" s="160">
        <f t="shared" si="47"/>
        <v>0.78100000000000003</v>
      </c>
      <c r="Z44" s="53"/>
      <c r="AA44" s="53"/>
      <c r="AB44" s="63"/>
      <c r="AC44" s="63"/>
      <c r="AD44" s="63"/>
      <c r="AE44" s="63"/>
      <c r="AF44" s="63"/>
      <c r="AG44" s="63"/>
      <c r="AH44" s="63"/>
      <c r="AI44" s="1"/>
      <c r="AJ44" s="1"/>
      <c r="AK44" s="1"/>
    </row>
    <row r="45" spans="1:37" x14ac:dyDescent="0.2">
      <c r="A45" s="3"/>
      <c r="B45" s="3"/>
      <c r="C45" s="3"/>
      <c r="D45" s="3"/>
      <c r="E45" s="3"/>
      <c r="F45" s="3"/>
      <c r="G45" s="3"/>
      <c r="H45" s="158">
        <v>13</v>
      </c>
      <c r="I45" s="63">
        <v>2.1604000000000001</v>
      </c>
      <c r="J45" s="63">
        <v>3.81</v>
      </c>
      <c r="K45" s="63"/>
      <c r="L45" s="164"/>
      <c r="M45" s="3"/>
      <c r="N45" s="3"/>
      <c r="O45" s="159">
        <f t="shared" si="38"/>
        <v>-0.1043012730406943</v>
      </c>
      <c r="P45" s="211">
        <f t="shared" si="39"/>
        <v>7.1991805065522066E-2</v>
      </c>
      <c r="Q45" s="159">
        <f t="shared" si="40"/>
        <v>5.1579938986473604</v>
      </c>
      <c r="R45" s="159">
        <f t="shared" si="41"/>
        <v>5.086002093581838</v>
      </c>
      <c r="S45" s="159">
        <f t="shared" si="42"/>
        <v>5.2299857037128827</v>
      </c>
      <c r="T45" s="152">
        <f t="shared" si="43"/>
        <v>143877.83648840344</v>
      </c>
      <c r="U45" s="160">
        <f t="shared" si="48"/>
        <v>0.78650000000000009</v>
      </c>
      <c r="V45" s="152">
        <f t="shared" si="44"/>
        <v>121899.54752616456</v>
      </c>
      <c r="W45" s="160">
        <f t="shared" si="45"/>
        <v>0.78650000000000009</v>
      </c>
      <c r="X45" s="152">
        <f t="shared" si="46"/>
        <v>169818.77498881216</v>
      </c>
      <c r="Y45" s="160">
        <f t="shared" si="47"/>
        <v>0.78650000000000009</v>
      </c>
      <c r="Z45" s="53"/>
      <c r="AA45" s="53"/>
      <c r="AB45" s="63"/>
      <c r="AC45" s="63"/>
      <c r="AD45" s="63"/>
      <c r="AE45" s="63"/>
      <c r="AF45" s="63"/>
      <c r="AG45" s="63"/>
      <c r="AH45" s="63"/>
      <c r="AI45" s="1"/>
      <c r="AJ45" s="1"/>
      <c r="AK45" s="1"/>
    </row>
    <row r="46" spans="1:37" x14ac:dyDescent="0.2">
      <c r="A46" s="3"/>
      <c r="B46" s="3"/>
      <c r="C46" s="3"/>
      <c r="D46" s="3"/>
      <c r="E46" s="3"/>
      <c r="F46" s="3"/>
      <c r="G46" s="3"/>
      <c r="H46" s="158">
        <v>14</v>
      </c>
      <c r="I46" s="63">
        <v>2.1448</v>
      </c>
      <c r="J46" s="63">
        <v>3.74</v>
      </c>
      <c r="K46" s="63"/>
      <c r="L46" s="164"/>
      <c r="M46" s="3"/>
      <c r="N46" s="3"/>
      <c r="O46" s="159">
        <f t="shared" si="38"/>
        <v>-0.10127481841050648</v>
      </c>
      <c r="P46" s="211">
        <f t="shared" si="39"/>
        <v>7.1407884923917184E-2</v>
      </c>
      <c r="Q46" s="159">
        <f t="shared" si="40"/>
        <v>5.1420299674542722</v>
      </c>
      <c r="R46" s="159">
        <f t="shared" si="41"/>
        <v>5.0706220825303552</v>
      </c>
      <c r="S46" s="159">
        <f t="shared" si="42"/>
        <v>5.2134378523781892</v>
      </c>
      <c r="T46" s="152">
        <f t="shared" si="43"/>
        <v>138685.15219498414</v>
      </c>
      <c r="U46" s="160">
        <f t="shared" si="48"/>
        <v>0.79200000000000004</v>
      </c>
      <c r="V46" s="152">
        <f t="shared" si="44"/>
        <v>117658.16816835238</v>
      </c>
      <c r="W46" s="160">
        <f t="shared" si="45"/>
        <v>0.79200000000000004</v>
      </c>
      <c r="X46" s="152">
        <f t="shared" si="46"/>
        <v>163469.92086282838</v>
      </c>
      <c r="Y46" s="160">
        <f t="shared" si="47"/>
        <v>0.79200000000000004</v>
      </c>
      <c r="Z46" s="3"/>
      <c r="AA46" s="3"/>
      <c r="AB46" s="63"/>
      <c r="AC46" s="63"/>
      <c r="AD46" s="63"/>
      <c r="AE46" s="63"/>
      <c r="AF46" s="63"/>
      <c r="AG46" s="63"/>
      <c r="AH46" s="63"/>
      <c r="AI46" s="1"/>
      <c r="AJ46" s="1"/>
      <c r="AK46" s="1"/>
    </row>
    <row r="47" spans="1:37" x14ac:dyDescent="0.2">
      <c r="A47" s="3"/>
      <c r="B47" s="3"/>
      <c r="C47" s="3"/>
      <c r="D47" s="3"/>
      <c r="E47" s="3"/>
      <c r="F47" s="3"/>
      <c r="G47" s="3"/>
      <c r="H47" s="158">
        <v>15</v>
      </c>
      <c r="I47" s="63">
        <v>2.1315</v>
      </c>
      <c r="J47" s="63">
        <v>3.68</v>
      </c>
      <c r="K47" s="63"/>
      <c r="L47" s="164"/>
      <c r="M47" s="3"/>
      <c r="N47" s="3"/>
      <c r="O47" s="159">
        <f t="shared" si="38"/>
        <v>-9.8269308270781203E-2</v>
      </c>
      <c r="P47" s="211">
        <f t="shared" si="39"/>
        <v>7.0899790656642286E-2</v>
      </c>
      <c r="Q47" s="159">
        <f t="shared" si="40"/>
        <v>5.1261765141785727</v>
      </c>
      <c r="R47" s="159">
        <f t="shared" si="41"/>
        <v>5.0552767235219305</v>
      </c>
      <c r="S47" s="159">
        <f t="shared" si="42"/>
        <v>5.1970763048352149</v>
      </c>
      <c r="T47" s="152">
        <f t="shared" si="43"/>
        <v>133713.88713924953</v>
      </c>
      <c r="U47" s="160">
        <f t="shared" si="48"/>
        <v>0.7975000000000001</v>
      </c>
      <c r="V47" s="152">
        <f t="shared" si="44"/>
        <v>113573.42517017547</v>
      </c>
      <c r="W47" s="160">
        <f t="shared" si="45"/>
        <v>0.7975000000000001</v>
      </c>
      <c r="X47" s="152">
        <f t="shared" si="46"/>
        <v>157425.9434995284</v>
      </c>
      <c r="Y47" s="160">
        <f t="shared" si="47"/>
        <v>0.7975000000000001</v>
      </c>
      <c r="Z47" s="53"/>
      <c r="AA47" s="3"/>
      <c r="AB47" s="63"/>
      <c r="AC47" s="63"/>
      <c r="AD47" s="63"/>
      <c r="AE47" s="63"/>
      <c r="AF47" s="63"/>
      <c r="AG47" s="63"/>
      <c r="AH47" s="63"/>
      <c r="AI47" s="1"/>
      <c r="AJ47" s="1"/>
      <c r="AK47" s="1"/>
    </row>
    <row r="48" spans="1:37" x14ac:dyDescent="0.2">
      <c r="A48" s="3"/>
      <c r="B48" s="3"/>
      <c r="C48" s="3"/>
      <c r="D48" s="3"/>
      <c r="E48" s="3"/>
      <c r="F48" s="3"/>
      <c r="G48" s="3"/>
      <c r="H48" s="158">
        <v>16</v>
      </c>
      <c r="I48" s="63">
        <v>2.1198999999999999</v>
      </c>
      <c r="J48" s="63">
        <v>3.63</v>
      </c>
      <c r="K48" s="63"/>
      <c r="L48" s="164"/>
      <c r="M48" s="3"/>
      <c r="N48" s="3"/>
      <c r="O48" s="159">
        <f t="shared" si="38"/>
        <v>-9.5284454721319037E-2</v>
      </c>
      <c r="P48" s="211">
        <f t="shared" si="39"/>
        <v>7.0467520576496856E-2</v>
      </c>
      <c r="Q48" s="159">
        <f t="shared" si="40"/>
        <v>5.1104320202054039</v>
      </c>
      <c r="R48" s="159">
        <f t="shared" si="41"/>
        <v>5.0399644996289066</v>
      </c>
      <c r="S48" s="159">
        <f t="shared" si="42"/>
        <v>5.1808995407819012</v>
      </c>
      <c r="T48" s="152">
        <f t="shared" si="43"/>
        <v>128953.16926565136</v>
      </c>
      <c r="U48" s="160">
        <f t="shared" si="48"/>
        <v>0.80300000000000005</v>
      </c>
      <c r="V48" s="152">
        <f t="shared" si="44"/>
        <v>109638.85708000307</v>
      </c>
      <c r="W48" s="160">
        <f t="shared" si="45"/>
        <v>0.80300000000000005</v>
      </c>
      <c r="X48" s="152">
        <f t="shared" si="46"/>
        <v>151669.94901745161</v>
      </c>
      <c r="Y48" s="160">
        <f t="shared" si="47"/>
        <v>0.80300000000000005</v>
      </c>
      <c r="Z48" s="53"/>
      <c r="AA48" s="3"/>
      <c r="AB48" s="63"/>
      <c r="AC48" s="63"/>
      <c r="AD48" s="63"/>
      <c r="AE48" s="63"/>
      <c r="AF48" s="63"/>
      <c r="AG48" s="63"/>
      <c r="AH48" s="63"/>
      <c r="AI48" s="1"/>
      <c r="AJ48" s="1"/>
      <c r="AK48" s="1"/>
    </row>
    <row r="49" spans="1:37" x14ac:dyDescent="0.2">
      <c r="A49" s="3"/>
      <c r="B49" s="3"/>
      <c r="C49" s="3"/>
      <c r="D49" s="3"/>
      <c r="E49" s="3"/>
      <c r="F49" s="3"/>
      <c r="G49" s="3"/>
      <c r="H49" s="158">
        <v>17</v>
      </c>
      <c r="I49" s="63">
        <v>2.1097999999999999</v>
      </c>
      <c r="J49" s="63">
        <v>3.59</v>
      </c>
      <c r="K49" s="63"/>
      <c r="L49" s="164"/>
      <c r="M49" s="3"/>
      <c r="N49" s="3"/>
      <c r="O49" s="159">
        <f t="shared" si="38"/>
        <v>-9.2319975757580053E-2</v>
      </c>
      <c r="P49" s="211">
        <f t="shared" si="39"/>
        <v>7.0110867945570726E-2</v>
      </c>
      <c r="Q49" s="159">
        <f t="shared" si="40"/>
        <v>5.0947949980183074</v>
      </c>
      <c r="R49" s="159">
        <f t="shared" si="41"/>
        <v>5.0246841300727363</v>
      </c>
      <c r="S49" s="159">
        <f t="shared" si="42"/>
        <v>5.1649058659638785</v>
      </c>
      <c r="T49" s="152">
        <f t="shared" si="43"/>
        <v>124392.7296557494</v>
      </c>
      <c r="U49" s="160">
        <f t="shared" si="48"/>
        <v>0.8085</v>
      </c>
      <c r="V49" s="152">
        <f t="shared" si="44"/>
        <v>105848.35916266598</v>
      </c>
      <c r="W49" s="160">
        <f t="shared" si="45"/>
        <v>0.8085</v>
      </c>
      <c r="X49" s="152">
        <f t="shared" si="46"/>
        <v>146186.0279518255</v>
      </c>
      <c r="Y49" s="160">
        <f t="shared" si="47"/>
        <v>0.8085</v>
      </c>
      <c r="Z49" s="53"/>
      <c r="AA49" s="3"/>
      <c r="AB49" s="63"/>
      <c r="AC49" s="63"/>
      <c r="AD49" s="63"/>
      <c r="AE49" s="63"/>
      <c r="AF49" s="63"/>
      <c r="AG49" s="63"/>
      <c r="AH49" s="63"/>
      <c r="AI49" s="1"/>
      <c r="AJ49" s="1"/>
      <c r="AK49" s="1"/>
    </row>
    <row r="50" spans="1:37" x14ac:dyDescent="0.2">
      <c r="A50" s="3"/>
      <c r="B50" s="3"/>
      <c r="C50" s="3"/>
      <c r="D50" s="3"/>
      <c r="E50" s="3"/>
      <c r="F50" s="3"/>
      <c r="G50" s="3"/>
      <c r="H50" s="158">
        <v>18</v>
      </c>
      <c r="I50" s="63">
        <v>2.1009000000000002</v>
      </c>
      <c r="J50" s="63">
        <v>3.55</v>
      </c>
      <c r="K50" s="63"/>
      <c r="L50" s="164"/>
      <c r="M50" s="3"/>
      <c r="N50" s="3"/>
      <c r="O50" s="159">
        <f t="shared" si="38"/>
        <v>-8.9375595110798733E-2</v>
      </c>
      <c r="P50" s="211">
        <f t="shared" si="39"/>
        <v>6.982941560410795E-2</v>
      </c>
      <c r="Q50" s="159">
        <f t="shared" si="40"/>
        <v>5.0792639903558658</v>
      </c>
      <c r="R50" s="159">
        <f t="shared" si="41"/>
        <v>5.0094345747517579</v>
      </c>
      <c r="S50" s="159">
        <f t="shared" si="42"/>
        <v>5.1490934059599738</v>
      </c>
      <c r="T50" s="152">
        <f t="shared" si="43"/>
        <v>120022.86527542594</v>
      </c>
      <c r="U50" s="160">
        <f t="shared" si="48"/>
        <v>0.81400000000000006</v>
      </c>
      <c r="V50" s="152">
        <f t="shared" si="44"/>
        <v>102196.15933491157</v>
      </c>
      <c r="W50" s="160">
        <f t="shared" si="45"/>
        <v>0.81400000000000006</v>
      </c>
      <c r="X50" s="152">
        <f t="shared" si="46"/>
        <v>140959.19340485369</v>
      </c>
      <c r="Y50" s="160">
        <f t="shared" si="47"/>
        <v>0.81400000000000006</v>
      </c>
      <c r="Z50" s="53"/>
      <c r="AA50" s="3"/>
      <c r="AB50" s="63"/>
      <c r="AC50" s="63"/>
      <c r="AD50" s="63"/>
      <c r="AE50" s="63"/>
      <c r="AF50" s="63"/>
      <c r="AG50" s="63"/>
      <c r="AH50" s="63"/>
      <c r="AI50" s="1"/>
      <c r="AJ50" s="1"/>
      <c r="AK50" s="1"/>
    </row>
    <row r="51" spans="1:37" x14ac:dyDescent="0.2">
      <c r="A51" s="3"/>
      <c r="B51" s="3"/>
      <c r="C51" s="3"/>
      <c r="D51" s="3"/>
      <c r="E51" s="3"/>
      <c r="F51" s="3"/>
      <c r="G51" s="3"/>
      <c r="H51" s="158">
        <v>19</v>
      </c>
      <c r="I51" s="63">
        <v>2.093</v>
      </c>
      <c r="J51" s="63">
        <v>3.52</v>
      </c>
      <c r="K51" s="63"/>
      <c r="L51" s="164"/>
      <c r="M51" s="3"/>
      <c r="N51" s="3"/>
      <c r="O51" s="159">
        <f t="shared" si="38"/>
        <v>-8.6451042093482047E-2</v>
      </c>
      <c r="P51" s="211">
        <f t="shared" si="39"/>
        <v>6.9622533872559747E-2</v>
      </c>
      <c r="Q51" s="159">
        <f t="shared" si="40"/>
        <v>5.0638375693967355</v>
      </c>
      <c r="R51" s="159">
        <f t="shared" si="41"/>
        <v>4.9942150355241761</v>
      </c>
      <c r="S51" s="159">
        <f t="shared" si="42"/>
        <v>5.1334601032692948</v>
      </c>
      <c r="T51" s="152">
        <f t="shared" si="43"/>
        <v>115834.40425419869</v>
      </c>
      <c r="U51" s="160">
        <f t="shared" si="48"/>
        <v>0.81950000000000012</v>
      </c>
      <c r="V51" s="152">
        <f t="shared" si="44"/>
        <v>98676.795059989759</v>
      </c>
      <c r="W51" s="160">
        <f t="shared" si="45"/>
        <v>0.81950000000000012</v>
      </c>
      <c r="X51" s="152">
        <f t="shared" si="46"/>
        <v>135975.32429755159</v>
      </c>
      <c r="Y51" s="160">
        <f t="shared" si="47"/>
        <v>0.81950000000000012</v>
      </c>
      <c r="Z51" s="53"/>
      <c r="AA51" s="3"/>
      <c r="AB51" s="63"/>
      <c r="AC51" s="63"/>
      <c r="AD51" s="63"/>
      <c r="AE51" s="63"/>
      <c r="AF51" s="63"/>
      <c r="AG51" s="63"/>
      <c r="AH51" s="63"/>
      <c r="AI51" s="1"/>
      <c r="AJ51" s="1"/>
      <c r="AK51" s="1"/>
    </row>
    <row r="52" spans="1:37" x14ac:dyDescent="0.2">
      <c r="A52" s="3"/>
      <c r="B52" s="3"/>
      <c r="C52" s="3"/>
      <c r="D52" s="3"/>
      <c r="E52" s="3"/>
      <c r="F52" s="3"/>
      <c r="G52" s="3"/>
      <c r="H52" s="158">
        <v>20</v>
      </c>
      <c r="I52" s="63">
        <v>2.0859999999999999</v>
      </c>
      <c r="J52" s="63">
        <v>3.49</v>
      </c>
      <c r="K52" s="63"/>
      <c r="L52" s="164"/>
      <c r="M52" s="3"/>
      <c r="N52" s="3"/>
      <c r="O52" s="159">
        <f t="shared" si="38"/>
        <v>-8.3546051450074876E-2</v>
      </c>
      <c r="P52" s="211">
        <f t="shared" si="39"/>
        <v>6.948938184589161E-2</v>
      </c>
      <c r="Q52" s="159">
        <f t="shared" si="40"/>
        <v>5.0485143359719409</v>
      </c>
      <c r="R52" s="159">
        <f t="shared" si="41"/>
        <v>4.9790249541260492</v>
      </c>
      <c r="S52" s="159">
        <f t="shared" si="42"/>
        <v>5.1180037178178326</v>
      </c>
      <c r="T52" s="152">
        <f t="shared" si="43"/>
        <v>111818.67350902277</v>
      </c>
      <c r="U52" s="160">
        <f t="shared" si="48"/>
        <v>0.82500000000000018</v>
      </c>
      <c r="V52" s="152">
        <f t="shared" si="44"/>
        <v>95285.09123100304</v>
      </c>
      <c r="W52" s="160">
        <f t="shared" si="45"/>
        <v>0.82500000000000018</v>
      </c>
      <c r="X52" s="152">
        <f t="shared" si="46"/>
        <v>131221.11322751379</v>
      </c>
      <c r="Y52" s="160">
        <f t="shared" si="47"/>
        <v>0.82500000000000018</v>
      </c>
      <c r="Z52" s="53"/>
      <c r="AA52" s="3"/>
      <c r="AB52" s="63"/>
      <c r="AC52" s="63"/>
      <c r="AD52" s="63"/>
      <c r="AE52" s="63"/>
      <c r="AF52" s="63"/>
      <c r="AG52" s="63"/>
      <c r="AH52" s="63"/>
      <c r="AI52" s="1"/>
      <c r="AJ52" s="1"/>
      <c r="AK52" s="1"/>
    </row>
    <row r="53" spans="1:37" x14ac:dyDescent="0.2">
      <c r="A53" s="3"/>
      <c r="B53" s="3"/>
      <c r="C53" s="3"/>
      <c r="D53" s="3"/>
      <c r="E53" s="3"/>
      <c r="F53" s="3"/>
      <c r="G53" s="3"/>
      <c r="H53" s="158">
        <v>21</v>
      </c>
      <c r="I53" s="63">
        <v>2.0796000000000001</v>
      </c>
      <c r="J53" s="63">
        <v>3.47</v>
      </c>
      <c r="K53" s="63"/>
      <c r="L53" s="164"/>
      <c r="M53" s="3"/>
      <c r="N53" s="3"/>
      <c r="O53" s="159">
        <f t="shared" si="38"/>
        <v>-8.0660363212586711E-2</v>
      </c>
      <c r="P53" s="211">
        <f t="shared" si="39"/>
        <v>6.9428912078465951E-2</v>
      </c>
      <c r="Q53" s="159">
        <f t="shared" si="40"/>
        <v>5.0332929188033289</v>
      </c>
      <c r="R53" s="159">
        <f t="shared" si="41"/>
        <v>4.9638640067248625</v>
      </c>
      <c r="S53" s="159">
        <f t="shared" si="42"/>
        <v>5.1027218308817952</v>
      </c>
      <c r="T53" s="152">
        <f t="shared" si="43"/>
        <v>107967.46853999153</v>
      </c>
      <c r="U53" s="160">
        <f t="shared" si="48"/>
        <v>0.83050000000000002</v>
      </c>
      <c r="V53" s="152">
        <f t="shared" si="44"/>
        <v>92016.139089726712</v>
      </c>
      <c r="W53" s="160">
        <f t="shared" si="45"/>
        <v>0.83050000000000002</v>
      </c>
      <c r="X53" s="152">
        <f t="shared" si="46"/>
        <v>126684.01845862169</v>
      </c>
      <c r="Y53" s="160">
        <f t="shared" si="47"/>
        <v>0.83050000000000002</v>
      </c>
      <c r="Z53" s="53"/>
      <c r="AA53" s="3"/>
      <c r="AB53" s="63"/>
      <c r="AC53" s="63"/>
      <c r="AD53" s="63"/>
      <c r="AE53" s="63"/>
      <c r="AF53" s="63"/>
      <c r="AG53" s="63"/>
      <c r="AH53" s="63"/>
      <c r="AI53" s="1"/>
      <c r="AJ53" s="1"/>
      <c r="AK53" s="1"/>
    </row>
    <row r="54" spans="1:37" x14ac:dyDescent="0.2">
      <c r="A54" s="3"/>
      <c r="B54" s="3"/>
      <c r="C54" s="3"/>
      <c r="D54" s="3"/>
      <c r="E54" s="3"/>
      <c r="F54" s="3"/>
      <c r="G54" s="3"/>
      <c r="H54" s="158">
        <v>22</v>
      </c>
      <c r="I54" s="63">
        <v>2.0739000000000001</v>
      </c>
      <c r="J54" s="63">
        <v>3.44</v>
      </c>
      <c r="K54" s="63"/>
      <c r="L54" s="164"/>
      <c r="M54" s="3"/>
      <c r="N54" s="3"/>
      <c r="O54" s="159">
        <f t="shared" si="38"/>
        <v>-7.7793722560983561E-2</v>
      </c>
      <c r="P54" s="211">
        <f t="shared" si="39"/>
        <v>6.9439878535772909E-2</v>
      </c>
      <c r="Q54" s="159">
        <f t="shared" si="40"/>
        <v>5.0181719737671679</v>
      </c>
      <c r="R54" s="159">
        <f t="shared" si="41"/>
        <v>4.9487320952313949</v>
      </c>
      <c r="S54" s="159">
        <f t="shared" si="42"/>
        <v>5.087611852302941</v>
      </c>
      <c r="T54" s="152">
        <f t="shared" si="43"/>
        <v>104273.02523910839</v>
      </c>
      <c r="U54" s="160">
        <f t="shared" si="48"/>
        <v>0.83600000000000019</v>
      </c>
      <c r="V54" s="152">
        <f t="shared" si="44"/>
        <v>88865.276237895887</v>
      </c>
      <c r="W54" s="160">
        <f t="shared" si="45"/>
        <v>0.83600000000000019</v>
      </c>
      <c r="X54" s="152">
        <f t="shared" si="46"/>
        <v>122352.21959372125</v>
      </c>
      <c r="Y54" s="160">
        <f t="shared" si="47"/>
        <v>0.83600000000000019</v>
      </c>
      <c r="Z54" s="53"/>
      <c r="AA54" s="193"/>
      <c r="AB54" s="63"/>
      <c r="AC54" s="63"/>
      <c r="AD54" s="63"/>
      <c r="AE54" s="63"/>
      <c r="AF54" s="63"/>
      <c r="AG54" s="63"/>
      <c r="AH54" s="63"/>
      <c r="AI54" s="1"/>
      <c r="AJ54" s="1"/>
      <c r="AK54" s="1"/>
    </row>
    <row r="55" spans="1:37" x14ac:dyDescent="0.2">
      <c r="A55" s="3"/>
      <c r="B55" s="3"/>
      <c r="C55" s="3"/>
      <c r="D55" s="3"/>
      <c r="E55" s="3"/>
      <c r="F55" s="3"/>
      <c r="G55" s="3"/>
      <c r="H55" s="158">
        <v>23</v>
      </c>
      <c r="I55" s="63">
        <v>2.069</v>
      </c>
      <c r="J55" s="63">
        <v>3.42</v>
      </c>
      <c r="K55" s="63"/>
      <c r="L55" s="164"/>
      <c r="M55" s="3"/>
      <c r="N55" s="3"/>
      <c r="O55" s="159">
        <f t="shared" si="38"/>
        <v>-7.4945879688157274E-2</v>
      </c>
      <c r="P55" s="211">
        <f t="shared" si="39"/>
        <v>6.9520847573760688E-2</v>
      </c>
      <c r="Q55" s="159">
        <f t="shared" si="40"/>
        <v>5.0031501831818899</v>
      </c>
      <c r="R55" s="159">
        <f t="shared" si="41"/>
        <v>4.9336293356081296</v>
      </c>
      <c r="S55" s="159">
        <f t="shared" si="42"/>
        <v>5.0726710307556502</v>
      </c>
      <c r="T55" s="152">
        <f t="shared" si="43"/>
        <v>100727.99356584945</v>
      </c>
      <c r="U55" s="160">
        <f t="shared" si="48"/>
        <v>0.84150000000000014</v>
      </c>
      <c r="V55" s="152">
        <f t="shared" si="44"/>
        <v>85828.067801093624</v>
      </c>
      <c r="W55" s="160">
        <f t="shared" si="45"/>
        <v>0.84150000000000014</v>
      </c>
      <c r="X55" s="152">
        <f t="shared" si="46"/>
        <v>118214.57651027913</v>
      </c>
      <c r="Y55" s="160">
        <f t="shared" si="47"/>
        <v>0.84150000000000014</v>
      </c>
      <c r="Z55" s="3"/>
      <c r="AA55" s="3"/>
      <c r="AB55" s="63"/>
      <c r="AC55" s="63"/>
      <c r="AD55" s="63"/>
      <c r="AE55" s="63"/>
      <c r="AF55" s="63"/>
      <c r="AG55" s="63"/>
      <c r="AH55" s="63"/>
      <c r="AI55" s="1"/>
      <c r="AJ55" s="1"/>
      <c r="AK55" s="1"/>
    </row>
    <row r="56" spans="1:37" x14ac:dyDescent="0.2">
      <c r="A56" s="3"/>
      <c r="B56" s="3"/>
      <c r="C56" s="3"/>
      <c r="D56" s="3"/>
      <c r="E56" s="3"/>
      <c r="F56" s="3"/>
      <c r="G56" s="3"/>
      <c r="H56" s="158">
        <v>24</v>
      </c>
      <c r="I56" s="63">
        <v>2.0640000000000001</v>
      </c>
      <c r="J56" s="63">
        <v>3.4</v>
      </c>
      <c r="K56" s="63"/>
      <c r="L56" s="164"/>
      <c r="M56" s="3"/>
      <c r="N56" s="3"/>
      <c r="O56" s="159">
        <f t="shared" si="38"/>
        <v>-7.2116589669293046E-2</v>
      </c>
      <c r="P56" s="211">
        <f t="shared" si="39"/>
        <v>6.9670211604781346E-2</v>
      </c>
      <c r="Q56" s="159">
        <f t="shared" si="40"/>
        <v>4.9882262551190264</v>
      </c>
      <c r="R56" s="159">
        <f t="shared" si="41"/>
        <v>4.9185560435142452</v>
      </c>
      <c r="S56" s="159">
        <f t="shared" si="42"/>
        <v>5.0578964667238075</v>
      </c>
      <c r="T56" s="152">
        <f t="shared" si="43"/>
        <v>97325.41295473717</v>
      </c>
      <c r="U56" s="160">
        <f t="shared" si="48"/>
        <v>0.84699999999999998</v>
      </c>
      <c r="V56" s="152">
        <f t="shared" si="44"/>
        <v>82900.288801578179</v>
      </c>
      <c r="W56" s="160">
        <f t="shared" si="45"/>
        <v>0.84699999999999998</v>
      </c>
      <c r="X56" s="152">
        <f t="shared" si="46"/>
        <v>114260.59117214779</v>
      </c>
      <c r="Y56" s="160">
        <f t="shared" si="47"/>
        <v>0.84699999999999998</v>
      </c>
      <c r="Z56" s="3"/>
      <c r="AA56" s="3"/>
      <c r="AB56" s="63"/>
      <c r="AC56" s="63"/>
      <c r="AD56" s="63"/>
      <c r="AE56" s="63"/>
      <c r="AF56" s="63"/>
      <c r="AG56" s="63"/>
      <c r="AH56" s="63"/>
      <c r="AI56" s="1"/>
      <c r="AJ56" s="1"/>
      <c r="AK56" s="1"/>
    </row>
    <row r="57" spans="1:37" x14ac:dyDescent="0.2">
      <c r="A57" s="3"/>
      <c r="B57" s="3"/>
      <c r="C57" s="3"/>
      <c r="D57" s="3"/>
      <c r="E57" s="3"/>
      <c r="F57" s="3"/>
      <c r="G57" s="3"/>
      <c r="H57" s="158">
        <v>25</v>
      </c>
      <c r="I57" s="63">
        <v>2.06</v>
      </c>
      <c r="J57" s="63">
        <v>3.39</v>
      </c>
      <c r="K57" s="63"/>
      <c r="L57" s="164"/>
      <c r="M57" s="3"/>
      <c r="N57" s="3"/>
      <c r="O57" s="159">
        <f t="shared" si="38"/>
        <v>-6.9305612335464659E-2</v>
      </c>
      <c r="P57" s="211">
        <f t="shared" si="39"/>
        <v>6.9886205027201456E-2</v>
      </c>
      <c r="Q57" s="159">
        <f t="shared" si="40"/>
        <v>4.9733989227364548</v>
      </c>
      <c r="R57" s="159">
        <f t="shared" si="41"/>
        <v>4.903512717709253</v>
      </c>
      <c r="S57" s="159">
        <f t="shared" si="42"/>
        <v>5.0432851277636566</v>
      </c>
      <c r="T57" s="152">
        <f t="shared" si="43"/>
        <v>94058.689330679597</v>
      </c>
      <c r="U57" s="160">
        <f t="shared" si="48"/>
        <v>0.85249999999999992</v>
      </c>
      <c r="V57" s="152">
        <f t="shared" si="44"/>
        <v>80077.907786376483</v>
      </c>
      <c r="W57" s="160">
        <f t="shared" si="45"/>
        <v>0.85249999999999992</v>
      </c>
      <c r="X57" s="152">
        <f t="shared" si="46"/>
        <v>110480.3719673411</v>
      </c>
      <c r="Y57" s="160">
        <f t="shared" si="47"/>
        <v>0.85249999999999992</v>
      </c>
      <c r="Z57" s="3"/>
      <c r="AA57" s="3"/>
      <c r="AB57" s="63"/>
      <c r="AC57" s="63"/>
      <c r="AD57" s="63"/>
      <c r="AE57" s="63"/>
      <c r="AF57" s="63"/>
      <c r="AG57" s="63"/>
      <c r="AH57" s="63"/>
      <c r="AI57" s="1"/>
      <c r="AJ57" s="1"/>
      <c r="AK57" s="1"/>
    </row>
    <row r="58" spans="1:37" x14ac:dyDescent="0.2">
      <c r="A58" s="3"/>
      <c r="B58" s="3"/>
      <c r="C58" s="3"/>
      <c r="D58" s="3"/>
      <c r="E58" s="3"/>
      <c r="F58" s="3"/>
      <c r="G58" s="3"/>
      <c r="H58" s="158">
        <v>26</v>
      </c>
      <c r="I58" s="63">
        <v>2.056</v>
      </c>
      <c r="J58" s="63">
        <v>3.37</v>
      </c>
      <c r="K58" s="63"/>
      <c r="L58" s="164"/>
      <c r="M58" s="3"/>
      <c r="N58" s="3"/>
      <c r="O58" s="159">
        <f t="shared" si="38"/>
        <v>-6.6512712151294506E-2</v>
      </c>
      <c r="P58" s="211">
        <f t="shared" si="39"/>
        <v>7.0166921937692264E-2</v>
      </c>
      <c r="Q58" s="159">
        <f t="shared" si="40"/>
        <v>4.958666943633073</v>
      </c>
      <c r="R58" s="159">
        <f t="shared" si="41"/>
        <v>4.8885000216953811</v>
      </c>
      <c r="S58" s="159">
        <f t="shared" si="42"/>
        <v>5.0288338655707649</v>
      </c>
      <c r="T58" s="152">
        <f t="shared" si="43"/>
        <v>90921.573617462214</v>
      </c>
      <c r="U58" s="160">
        <f t="shared" si="48"/>
        <v>0.8580000000000001</v>
      </c>
      <c r="V58" s="152">
        <f t="shared" si="44"/>
        <v>77357.071741902066</v>
      </c>
      <c r="W58" s="160">
        <f t="shared" si="45"/>
        <v>0.8580000000000001</v>
      </c>
      <c r="X58" s="152">
        <f t="shared" si="46"/>
        <v>106864.60026120328</v>
      </c>
      <c r="Y58" s="160">
        <f t="shared" si="47"/>
        <v>0.8580000000000001</v>
      </c>
      <c r="Z58" s="3"/>
      <c r="AA58" s="194"/>
      <c r="AB58" s="63"/>
      <c r="AC58" s="63"/>
      <c r="AD58" s="63"/>
      <c r="AE58" s="63"/>
      <c r="AF58" s="63"/>
      <c r="AG58" s="63"/>
      <c r="AH58" s="63"/>
      <c r="AI58" s="1"/>
      <c r="AJ58" s="1"/>
      <c r="AK58" s="1"/>
    </row>
    <row r="59" spans="1:37" x14ac:dyDescent="0.2">
      <c r="A59" s="3"/>
      <c r="B59" s="3"/>
      <c r="C59" s="3"/>
      <c r="D59" s="3"/>
      <c r="E59" s="3"/>
      <c r="F59" s="3"/>
      <c r="G59" s="3"/>
      <c r="H59" s="158">
        <v>27</v>
      </c>
      <c r="I59" s="63">
        <v>2.052</v>
      </c>
      <c r="J59" s="63">
        <v>3.35</v>
      </c>
      <c r="K59" s="63"/>
      <c r="L59" s="164"/>
      <c r="M59" s="3"/>
      <c r="N59" s="3"/>
      <c r="O59" s="159">
        <f t="shared" si="38"/>
        <v>-6.373765809652239E-2</v>
      </c>
      <c r="P59" s="211">
        <f t="shared" si="39"/>
        <v>7.0510335113171466E-2</v>
      </c>
      <c r="Q59" s="159">
        <f t="shared" si="40"/>
        <v>4.9440290992241076</v>
      </c>
      <c r="R59" s="159">
        <f t="shared" si="41"/>
        <v>4.8735187641109361</v>
      </c>
      <c r="S59" s="159">
        <f t="shared" si="42"/>
        <v>5.0145394343372791</v>
      </c>
      <c r="T59" s="152">
        <f t="shared" si="43"/>
        <v>87908.141633625288</v>
      </c>
      <c r="U59" s="160">
        <f t="shared" si="48"/>
        <v>0.86350000000000005</v>
      </c>
      <c r="V59" s="152">
        <f t="shared" si="44"/>
        <v>74734.092307735249</v>
      </c>
      <c r="W59" s="160">
        <f t="shared" si="45"/>
        <v>0.86350000000000005</v>
      </c>
      <c r="X59" s="152">
        <f t="shared" si="46"/>
        <v>103404.49889531445</v>
      </c>
      <c r="Y59" s="160">
        <f t="shared" si="47"/>
        <v>0.86350000000000005</v>
      </c>
      <c r="Z59" s="3"/>
      <c r="AA59" s="194"/>
      <c r="AB59" s="63"/>
      <c r="AC59" s="63"/>
      <c r="AD59" s="63"/>
      <c r="AE59" s="63"/>
      <c r="AF59" s="63"/>
      <c r="AG59" s="63"/>
      <c r="AH59" s="63"/>
      <c r="AI59" s="1"/>
      <c r="AJ59" s="1"/>
      <c r="AK59" s="1"/>
    </row>
    <row r="60" spans="1:37" x14ac:dyDescent="0.2">
      <c r="A60" s="3"/>
      <c r="B60" s="3"/>
      <c r="C60" s="3"/>
      <c r="D60" s="3"/>
      <c r="E60" s="3"/>
      <c r="F60" s="3"/>
      <c r="G60" s="3"/>
      <c r="H60" s="158">
        <v>28</v>
      </c>
      <c r="I60" s="63">
        <v>2.048</v>
      </c>
      <c r="J60" s="63">
        <v>3.34</v>
      </c>
      <c r="K60" s="63"/>
      <c r="L60" s="164"/>
      <c r="M60" s="3"/>
      <c r="N60" s="3"/>
      <c r="O60" s="159">
        <f t="shared" si="38"/>
        <v>-6.0980223551333534E-2</v>
      </c>
      <c r="P60" s="211">
        <f t="shared" si="39"/>
        <v>7.0914315743229275E-2</v>
      </c>
      <c r="Q60" s="159">
        <f t="shared" si="40"/>
        <v>4.929484194136232</v>
      </c>
      <c r="R60" s="159">
        <f t="shared" si="41"/>
        <v>4.8585698783930029</v>
      </c>
      <c r="S60" s="159">
        <f t="shared" si="42"/>
        <v>5.000398509879461</v>
      </c>
      <c r="T60" s="152">
        <f t="shared" si="43"/>
        <v>85012.775278058383</v>
      </c>
      <c r="U60" s="160">
        <f t="shared" si="48"/>
        <v>0.86899999999999999</v>
      </c>
      <c r="V60" s="152">
        <f t="shared" si="44"/>
        <v>72205.433281623787</v>
      </c>
      <c r="W60" s="160">
        <f t="shared" si="45"/>
        <v>0.86899999999999999</v>
      </c>
      <c r="X60" s="152">
        <f t="shared" si="46"/>
        <v>100091.80240342056</v>
      </c>
      <c r="Y60" s="160">
        <f t="shared" si="47"/>
        <v>0.86899999999999999</v>
      </c>
      <c r="Z60" s="3"/>
      <c r="AA60" s="3"/>
      <c r="AB60" s="63"/>
      <c r="AC60" s="63"/>
      <c r="AD60" s="63"/>
      <c r="AE60" s="63"/>
      <c r="AF60" s="63"/>
      <c r="AG60" s="63"/>
      <c r="AH60" s="63"/>
      <c r="AI60" s="1"/>
      <c r="AJ60" s="1"/>
      <c r="AK60" s="1"/>
    </row>
    <row r="61" spans="1:37" x14ac:dyDescent="0.2">
      <c r="A61" s="3"/>
      <c r="B61" s="3"/>
      <c r="C61" s="3"/>
      <c r="D61" s="3"/>
      <c r="E61" s="3"/>
      <c r="F61" s="3"/>
      <c r="G61" s="3"/>
      <c r="H61" s="158">
        <v>29</v>
      </c>
      <c r="I61" s="63">
        <v>2.0449999999999999</v>
      </c>
      <c r="J61" s="63">
        <v>3.33</v>
      </c>
      <c r="K61" s="63"/>
      <c r="L61" s="164"/>
      <c r="M61" s="3"/>
      <c r="N61" s="3"/>
      <c r="O61" s="159">
        <f t="shared" si="38"/>
        <v>-5.8240186185304646E-2</v>
      </c>
      <c r="P61" s="211">
        <f t="shared" si="39"/>
        <v>7.1376653411619223E-2</v>
      </c>
      <c r="Q61" s="159">
        <f t="shared" si="40"/>
        <v>4.9150310556217907</v>
      </c>
      <c r="R61" s="159">
        <f t="shared" si="41"/>
        <v>4.8436544022101717</v>
      </c>
      <c r="S61" s="159">
        <f t="shared" si="42"/>
        <v>4.9864077090334096</v>
      </c>
      <c r="T61" s="152">
        <f t="shared" si="43"/>
        <v>82230.144915091441</v>
      </c>
      <c r="U61" s="160">
        <f t="shared" si="48"/>
        <v>0.87450000000000006</v>
      </c>
      <c r="V61" s="152">
        <f t="shared" si="44"/>
        <v>69767.699386892069</v>
      </c>
      <c r="W61" s="160">
        <f t="shared" si="45"/>
        <v>0.87450000000000006</v>
      </c>
      <c r="X61" s="152">
        <f t="shared" si="46"/>
        <v>96918.728755263262</v>
      </c>
      <c r="Y61" s="160">
        <f t="shared" si="47"/>
        <v>0.87450000000000006</v>
      </c>
      <c r="Z61" s="3"/>
      <c r="AA61" s="3"/>
      <c r="AB61" s="63"/>
      <c r="AC61" s="63"/>
      <c r="AD61" s="63"/>
      <c r="AE61" s="63"/>
      <c r="AF61" s="63"/>
      <c r="AG61" s="63"/>
      <c r="AH61" s="63"/>
      <c r="AI61" s="1"/>
      <c r="AJ61" s="1"/>
      <c r="AK61" s="1"/>
    </row>
    <row r="62" spans="1:37" x14ac:dyDescent="0.2">
      <c r="A62" s="3"/>
      <c r="B62" s="3"/>
      <c r="C62" s="3"/>
      <c r="D62" s="3"/>
      <c r="E62" s="3"/>
      <c r="F62" s="3"/>
      <c r="G62" s="3"/>
      <c r="H62" s="158">
        <v>30</v>
      </c>
      <c r="I62" s="63">
        <v>2.0419999999999998</v>
      </c>
      <c r="J62" s="63">
        <v>3.32</v>
      </c>
      <c r="K62" s="63"/>
      <c r="L62" s="164"/>
      <c r="M62" s="3"/>
      <c r="N62" s="3"/>
      <c r="O62" s="159">
        <f t="shared" si="38"/>
        <v>-5.5517327849831315E-2</v>
      </c>
      <c r="P62" s="211">
        <f t="shared" si="39"/>
        <v>7.189507586347571E-2</v>
      </c>
      <c r="Q62" s="159">
        <f t="shared" si="40"/>
        <v>4.9006685329913662</v>
      </c>
      <c r="R62" s="159">
        <f t="shared" si="41"/>
        <v>4.8287734571278902</v>
      </c>
      <c r="S62" s="159">
        <f t="shared" si="42"/>
        <v>4.9725636088548422</v>
      </c>
      <c r="T62" s="152">
        <f t="shared" si="43"/>
        <v>79555.192875679917</v>
      </c>
      <c r="U62" s="160">
        <f t="shared" si="48"/>
        <v>0.88000000000000012</v>
      </c>
      <c r="V62" s="152">
        <f t="shared" si="44"/>
        <v>67417.626253702416</v>
      </c>
      <c r="W62" s="160">
        <f t="shared" si="45"/>
        <v>0.88000000000000012</v>
      </c>
      <c r="X62" s="152">
        <f t="shared" si="46"/>
        <v>93877.95247595309</v>
      </c>
      <c r="Y62" s="160">
        <f t="shared" si="47"/>
        <v>0.88000000000000012</v>
      </c>
      <c r="Z62" s="3"/>
      <c r="AA62" s="151"/>
      <c r="AB62" s="63"/>
      <c r="AC62" s="63"/>
      <c r="AD62" s="63"/>
      <c r="AE62" s="63"/>
      <c r="AF62" s="63"/>
      <c r="AG62" s="63"/>
      <c r="AH62" s="63"/>
      <c r="AI62" s="1"/>
      <c r="AJ62" s="1"/>
      <c r="AK62" s="1"/>
    </row>
    <row r="63" spans="1:37" x14ac:dyDescent="0.2">
      <c r="A63" s="3"/>
      <c r="B63" s="3"/>
      <c r="C63" s="3"/>
      <c r="D63" s="3"/>
      <c r="E63" s="3"/>
      <c r="F63" s="3"/>
      <c r="G63" s="3"/>
      <c r="H63" s="158">
        <v>31</v>
      </c>
      <c r="I63" s="63">
        <v>2.0209999999999999</v>
      </c>
      <c r="J63" s="63">
        <v>3.23</v>
      </c>
      <c r="K63" s="63"/>
      <c r="L63" s="164"/>
      <c r="M63" s="3"/>
      <c r="N63" s="3"/>
      <c r="O63" s="159">
        <f t="shared" si="38"/>
        <v>-5.2811434473906411E-2</v>
      </c>
      <c r="P63" s="211">
        <f t="shared" si="39"/>
        <v>7.2467268148767167E-2</v>
      </c>
      <c r="Q63" s="159">
        <f t="shared" si="40"/>
        <v>4.8863954970640382</v>
      </c>
      <c r="R63" s="159">
        <f t="shared" si="41"/>
        <v>4.8139282289152714</v>
      </c>
      <c r="S63" s="159">
        <f t="shared" si="42"/>
        <v>4.958862765212805</v>
      </c>
      <c r="T63" s="152">
        <f t="shared" si="43"/>
        <v>76983.117997566922</v>
      </c>
      <c r="U63" s="160">
        <f t="shared" si="48"/>
        <v>0.88550000000000006</v>
      </c>
      <c r="V63" s="152">
        <f t="shared" si="44"/>
        <v>65152.071548232161</v>
      </c>
      <c r="W63" s="160">
        <f t="shared" si="45"/>
        <v>0.88550000000000006</v>
      </c>
      <c r="X63" s="152">
        <f t="shared" si="46"/>
        <v>90962.579021604703</v>
      </c>
      <c r="Y63" s="160">
        <f t="shared" si="47"/>
        <v>0.88550000000000006</v>
      </c>
      <c r="Z63" s="3"/>
      <c r="AA63" s="3"/>
      <c r="AB63" s="63"/>
      <c r="AC63" s="63"/>
      <c r="AD63" s="63"/>
      <c r="AE63" s="63"/>
      <c r="AF63" s="63"/>
      <c r="AG63" s="63"/>
      <c r="AH63" s="63"/>
      <c r="AI63" s="1"/>
      <c r="AJ63" s="1"/>
      <c r="AK63" s="1"/>
    </row>
    <row r="64" spans="1:37" x14ac:dyDescent="0.2">
      <c r="A64" s="3"/>
      <c r="B64" s="3"/>
      <c r="C64" s="3"/>
      <c r="D64" s="3"/>
      <c r="E64" s="3"/>
      <c r="F64" s="3"/>
      <c r="G64" s="3"/>
      <c r="H64" s="158">
        <v>40</v>
      </c>
      <c r="I64" s="63">
        <v>2.0209999999999999</v>
      </c>
      <c r="J64" s="63">
        <v>3.23</v>
      </c>
      <c r="K64" s="63"/>
      <c r="L64" s="164"/>
      <c r="M64" s="3"/>
      <c r="N64" s="3"/>
      <c r="O64" s="159">
        <f t="shared" si="38"/>
        <v>-5.0122295963125202E-2</v>
      </c>
      <c r="P64" s="211">
        <f t="shared" si="39"/>
        <v>7.3090890797057342E-2</v>
      </c>
      <c r="Q64" s="159">
        <f t="shared" si="40"/>
        <v>4.8722108396346506</v>
      </c>
      <c r="R64" s="159">
        <f t="shared" si="41"/>
        <v>4.7991199488375935</v>
      </c>
      <c r="S64" s="159">
        <f t="shared" si="42"/>
        <v>4.9453017304317077</v>
      </c>
      <c r="T64" s="152">
        <f t="shared" si="43"/>
        <v>74509.361133059865</v>
      </c>
      <c r="U64" s="160">
        <f t="shared" si="48"/>
        <v>0.89100000000000001</v>
      </c>
      <c r="V64" s="152">
        <f t="shared" si="44"/>
        <v>62968.00716963163</v>
      </c>
      <c r="W64" s="160">
        <f t="shared" si="45"/>
        <v>0.89100000000000001</v>
      </c>
      <c r="X64" s="152">
        <f t="shared" si="46"/>
        <v>88166.120320450646</v>
      </c>
      <c r="Y64" s="160">
        <f t="shared" si="47"/>
        <v>0.89100000000000001</v>
      </c>
      <c r="Z64" s="3"/>
      <c r="AA64" s="3"/>
      <c r="AB64" s="63"/>
      <c r="AC64" s="63"/>
      <c r="AD64" s="63"/>
      <c r="AE64" s="63"/>
      <c r="AF64" s="63"/>
      <c r="AG64" s="63"/>
      <c r="AH64" s="63"/>
      <c r="AI64" s="1"/>
      <c r="AJ64" s="1"/>
      <c r="AK64" s="1"/>
    </row>
    <row r="65" spans="1:37" x14ac:dyDescent="0.2">
      <c r="A65" s="3"/>
      <c r="B65" s="3"/>
      <c r="C65" s="3"/>
      <c r="D65" s="3"/>
      <c r="E65" s="3"/>
      <c r="F65" s="3"/>
      <c r="G65" s="3"/>
      <c r="H65" s="158">
        <v>41</v>
      </c>
      <c r="I65" s="63">
        <v>2</v>
      </c>
      <c r="J65" s="63">
        <v>3.15</v>
      </c>
      <c r="K65" s="63"/>
      <c r="L65" s="164"/>
      <c r="M65" s="3"/>
      <c r="N65" s="3"/>
      <c r="O65" s="159">
        <f t="shared" si="38"/>
        <v>-4.7449706101798314E-2</v>
      </c>
      <c r="P65" s="211">
        <f t="shared" si="39"/>
        <v>7.3763596748910837E-2</v>
      </c>
      <c r="Q65" s="159">
        <f t="shared" si="40"/>
        <v>4.8581134729574833</v>
      </c>
      <c r="R65" s="159">
        <f t="shared" si="41"/>
        <v>4.7843498762085721</v>
      </c>
      <c r="S65" s="159">
        <f t="shared" si="42"/>
        <v>4.9318770697063945</v>
      </c>
      <c r="T65" s="152">
        <f t="shared" si="43"/>
        <v>72129.591558374887</v>
      </c>
      <c r="U65" s="160">
        <f t="shared" si="48"/>
        <v>0.89649999999999996</v>
      </c>
      <c r="V65" s="152">
        <f t="shared" si="44"/>
        <v>60862.512424156135</v>
      </c>
      <c r="W65" s="160">
        <f t="shared" si="45"/>
        <v>0.89649999999999996</v>
      </c>
      <c r="X65" s="152">
        <f t="shared" si="46"/>
        <v>85482.471412288738</v>
      </c>
      <c r="Y65" s="160">
        <f t="shared" si="47"/>
        <v>0.89649999999999996</v>
      </c>
      <c r="Z65" s="3"/>
      <c r="AA65" s="3"/>
      <c r="AB65" s="63"/>
      <c r="AC65" s="63"/>
      <c r="AD65" s="63"/>
      <c r="AE65" s="63"/>
      <c r="AF65" s="63"/>
      <c r="AG65" s="63"/>
      <c r="AH65" s="63"/>
      <c r="AI65" s="1"/>
      <c r="AJ65" s="1"/>
      <c r="AK65" s="1"/>
    </row>
    <row r="66" spans="1:37" x14ac:dyDescent="0.2">
      <c r="A66" s="3"/>
      <c r="B66" s="3"/>
      <c r="C66" s="3"/>
      <c r="D66" s="3"/>
      <c r="E66" s="3"/>
      <c r="F66" s="3"/>
      <c r="G66" s="3"/>
      <c r="H66" s="158">
        <v>60</v>
      </c>
      <c r="I66" s="63">
        <v>2</v>
      </c>
      <c r="J66" s="63">
        <v>3.15</v>
      </c>
      <c r="K66" s="63"/>
      <c r="L66" s="164"/>
      <c r="M66" s="3"/>
      <c r="N66" s="3"/>
      <c r="O66" s="159">
        <f t="shared" ref="O66:O102" si="49">LOG($I$19+($I$20-$I$19)*(ROW()-2)/100)</f>
        <v>-4.4793462458058202E-2</v>
      </c>
      <c r="P66" s="211">
        <f t="shared" ref="P66:P97" si="50">SQRT(2*$I$16*$K$24)*SQRT((1/$I$1)+((O66-$I$10)^2/$I$7))</f>
        <v>7.448304684066423E-2</v>
      </c>
      <c r="Q66" s="159">
        <f t="shared" ref="Q66:Q102" si="51">+$I$13+$I$12*O66</f>
        <v>4.8441023292457022</v>
      </c>
      <c r="R66" s="159">
        <f t="shared" ref="R66:R102" si="52">+$I$13+$I$12*O66-P66</f>
        <v>4.7696192824050376</v>
      </c>
      <c r="S66" s="159">
        <f t="shared" ref="S66:S102" si="53">+$I$13+$I$12*O66+P66</f>
        <v>4.9185853760863667</v>
      </c>
      <c r="T66" s="152">
        <f t="shared" ref="T66:T102" si="54">10^Q66</f>
        <v>69839.694223368526</v>
      </c>
      <c r="U66" s="160">
        <f t="shared" si="48"/>
        <v>0.90200000000000014</v>
      </c>
      <c r="V66" s="152">
        <f t="shared" ref="V66:V102" si="55">10^R66</f>
        <v>58832.768079232606</v>
      </c>
      <c r="W66" s="160">
        <f t="shared" ref="W66:W102" si="56">10^$O66</f>
        <v>0.90200000000000014</v>
      </c>
      <c r="X66" s="152">
        <f t="shared" ref="X66:X102" si="57">10^S66</f>
        <v>82905.888137793634</v>
      </c>
      <c r="Y66" s="160">
        <f t="shared" ref="Y66:Y102" si="58">10^$O66</f>
        <v>0.90200000000000014</v>
      </c>
      <c r="Z66" s="3"/>
      <c r="AA66" s="63"/>
      <c r="AB66" s="63"/>
      <c r="AC66" s="63"/>
      <c r="AD66" s="63"/>
      <c r="AE66" s="63"/>
      <c r="AF66" s="63"/>
      <c r="AG66" s="63"/>
      <c r="AH66" s="63"/>
      <c r="AI66" s="1"/>
      <c r="AJ66" s="1"/>
      <c r="AK66" s="1"/>
    </row>
    <row r="67" spans="1:37" x14ac:dyDescent="0.2">
      <c r="A67" s="3"/>
      <c r="B67" s="3"/>
      <c r="C67" s="3"/>
      <c r="D67" s="3"/>
      <c r="E67" s="3"/>
      <c r="F67" s="3"/>
      <c r="G67" s="3"/>
      <c r="H67" s="158">
        <v>61</v>
      </c>
      <c r="I67" s="63">
        <v>1.98</v>
      </c>
      <c r="J67" s="63">
        <v>3.07</v>
      </c>
      <c r="K67" s="63"/>
      <c r="L67" s="164"/>
      <c r="M67" s="3"/>
      <c r="N67" s="3"/>
      <c r="O67" s="159">
        <f t="shared" si="49"/>
        <v>-4.2153366291849882E-2</v>
      </c>
      <c r="P67" s="211">
        <f t="shared" si="50"/>
        <v>7.5246923707939589E-2</v>
      </c>
      <c r="Q67" s="159">
        <f t="shared" si="51"/>
        <v>4.8301763601860328</v>
      </c>
      <c r="R67" s="159">
        <f t="shared" si="52"/>
        <v>4.7549294364780934</v>
      </c>
      <c r="S67" s="159">
        <f t="shared" si="53"/>
        <v>4.9054232838939722</v>
      </c>
      <c r="T67" s="152">
        <f t="shared" si="54"/>
        <v>67635.757784979549</v>
      </c>
      <c r="U67" s="160">
        <f t="shared" ref="U67:U102" si="59">10^O67</f>
        <v>0.90749999999999997</v>
      </c>
      <c r="V67" s="152">
        <f t="shared" si="55"/>
        <v>56876.051197339584</v>
      </c>
      <c r="W67" s="160">
        <f t="shared" si="56"/>
        <v>0.90749999999999997</v>
      </c>
      <c r="X67" s="152">
        <f t="shared" si="57"/>
        <v>80430.965843184167</v>
      </c>
      <c r="Y67" s="160">
        <f t="shared" si="58"/>
        <v>0.90749999999999997</v>
      </c>
      <c r="Z67" s="3"/>
      <c r="AA67" s="63"/>
      <c r="AB67" s="63"/>
      <c r="AC67" s="63"/>
      <c r="AD67" s="63"/>
      <c r="AE67" s="63"/>
      <c r="AF67" s="63"/>
      <c r="AG67" s="63"/>
      <c r="AH67" s="63"/>
      <c r="AI67" s="1"/>
      <c r="AJ67" s="1"/>
      <c r="AK67" s="1"/>
    </row>
    <row r="68" spans="1:37" x14ac:dyDescent="0.2">
      <c r="A68" s="3"/>
      <c r="B68" s="3"/>
      <c r="C68" s="3"/>
      <c r="D68" s="3"/>
      <c r="E68" s="3"/>
      <c r="F68" s="3"/>
      <c r="G68" s="3"/>
      <c r="H68" s="158">
        <v>120</v>
      </c>
      <c r="I68" s="63">
        <v>1.98</v>
      </c>
      <c r="J68" s="63">
        <v>3.07</v>
      </c>
      <c r="K68" s="63"/>
      <c r="L68" s="164"/>
      <c r="M68" s="3"/>
      <c r="N68" s="3"/>
      <c r="O68" s="159">
        <f t="shared" si="49"/>
        <v>-3.9529222465701036E-2</v>
      </c>
      <c r="P68" s="211">
        <f t="shared" si="50"/>
        <v>7.6052944036240133E-2</v>
      </c>
      <c r="Q68" s="159">
        <f t="shared" si="51"/>
        <v>4.8163345364680907</v>
      </c>
      <c r="R68" s="159">
        <f t="shared" si="52"/>
        <v>4.7402815924318507</v>
      </c>
      <c r="S68" s="159">
        <f t="shared" si="53"/>
        <v>4.8923874805043308</v>
      </c>
      <c r="T68" s="152">
        <f t="shared" si="54"/>
        <v>65514.063371833676</v>
      </c>
      <c r="U68" s="160">
        <f t="shared" si="59"/>
        <v>0.91299999999999992</v>
      </c>
      <c r="V68" s="152">
        <f t="shared" si="55"/>
        <v>54989.730650060199</v>
      </c>
      <c r="W68" s="160">
        <f t="shared" si="56"/>
        <v>0.91299999999999992</v>
      </c>
      <c r="X68" s="152">
        <f t="shared" si="57"/>
        <v>78052.619075411814</v>
      </c>
      <c r="Y68" s="160">
        <f t="shared" si="58"/>
        <v>0.91299999999999992</v>
      </c>
      <c r="Z68" s="3"/>
      <c r="AA68" s="63"/>
      <c r="AB68" s="63"/>
      <c r="AC68" s="63"/>
      <c r="AD68" s="63"/>
      <c r="AE68" s="63"/>
      <c r="AF68" s="63"/>
      <c r="AG68" s="63"/>
      <c r="AH68" s="63"/>
      <c r="AI68" s="1"/>
      <c r="AJ68" s="1"/>
      <c r="AK68" s="1"/>
    </row>
    <row r="69" spans="1:37" x14ac:dyDescent="0.2">
      <c r="A69" s="3"/>
      <c r="B69" s="3"/>
      <c r="C69" s="3"/>
      <c r="D69" s="3"/>
      <c r="E69" s="3"/>
      <c r="F69" s="3"/>
      <c r="G69" s="3"/>
      <c r="H69" s="158">
        <v>121</v>
      </c>
      <c r="I69" s="63">
        <v>1.96</v>
      </c>
      <c r="J69" s="63">
        <v>3</v>
      </c>
      <c r="K69" s="63"/>
      <c r="L69" s="164"/>
      <c r="M69" s="3"/>
      <c r="N69" s="3"/>
      <c r="O69" s="159">
        <f t="shared" si="49"/>
        <v>-3.6920839358172829E-2</v>
      </c>
      <c r="P69" s="211">
        <f t="shared" si="50"/>
        <v>7.6898869142203008E-2</v>
      </c>
      <c r="Q69" s="159">
        <f t="shared" si="51"/>
        <v>4.8025758473278506</v>
      </c>
      <c r="R69" s="159">
        <f t="shared" si="52"/>
        <v>4.725676978185648</v>
      </c>
      <c r="S69" s="159">
        <f t="shared" si="53"/>
        <v>4.8794747164700532</v>
      </c>
      <c r="T69" s="152">
        <f t="shared" si="54"/>
        <v>63471.074031280274</v>
      </c>
      <c r="U69" s="160">
        <f t="shared" si="59"/>
        <v>0.91850000000000009</v>
      </c>
      <c r="V69" s="152">
        <f t="shared" si="55"/>
        <v>53171.263216010666</v>
      </c>
      <c r="W69" s="160">
        <f t="shared" si="56"/>
        <v>0.91850000000000009</v>
      </c>
      <c r="X69" s="152">
        <f t="shared" si="57"/>
        <v>75766.062249038237</v>
      </c>
      <c r="Y69" s="160">
        <f t="shared" si="58"/>
        <v>0.91850000000000009</v>
      </c>
      <c r="Z69" s="3"/>
      <c r="AA69" s="63"/>
      <c r="AB69" s="63"/>
      <c r="AC69" s="63"/>
      <c r="AD69" s="63"/>
      <c r="AE69" s="63"/>
      <c r="AF69" s="63"/>
      <c r="AG69" s="63"/>
      <c r="AH69" s="63"/>
      <c r="AI69" s="1"/>
      <c r="AJ69" s="1"/>
      <c r="AK69" s="1"/>
    </row>
    <row r="70" spans="1:37" ht="13.5" thickBot="1" x14ac:dyDescent="0.25">
      <c r="A70" s="3"/>
      <c r="B70" s="3"/>
      <c r="C70" s="3"/>
      <c r="D70" s="3"/>
      <c r="E70" s="3"/>
      <c r="F70" s="3"/>
      <c r="G70" s="3"/>
      <c r="H70" s="173"/>
      <c r="I70" s="188"/>
      <c r="J70" s="188"/>
      <c r="K70" s="188"/>
      <c r="L70" s="168"/>
      <c r="M70" s="3"/>
      <c r="N70" s="3"/>
      <c r="O70" s="159">
        <f t="shared" si="49"/>
        <v>-3.432802877989323E-2</v>
      </c>
      <c r="P70" s="211">
        <f t="shared" si="50"/>
        <v>7.778251391543925E-2</v>
      </c>
      <c r="Q70" s="159">
        <f t="shared" si="51"/>
        <v>4.7888993001047391</v>
      </c>
      <c r="R70" s="159">
        <f t="shared" si="52"/>
        <v>4.7111167861893</v>
      </c>
      <c r="S70" s="159">
        <f t="shared" si="53"/>
        <v>4.8666818140201782</v>
      </c>
      <c r="T70" s="152">
        <f t="shared" si="54"/>
        <v>61503.424813642232</v>
      </c>
      <c r="U70" s="160">
        <f t="shared" si="59"/>
        <v>0.92400000000000015</v>
      </c>
      <c r="V70" s="152">
        <f t="shared" si="55"/>
        <v>51418.19017195933</v>
      </c>
      <c r="W70" s="160">
        <f t="shared" si="56"/>
        <v>0.92400000000000015</v>
      </c>
      <c r="X70" s="152">
        <f t="shared" si="57"/>
        <v>73566.791268943038</v>
      </c>
      <c r="Y70" s="160">
        <f t="shared" si="58"/>
        <v>0.92400000000000015</v>
      </c>
      <c r="Z70" s="3"/>
      <c r="AA70" s="63"/>
      <c r="AB70" s="63"/>
      <c r="AC70" s="63"/>
      <c r="AD70" s="63"/>
      <c r="AE70" s="63"/>
      <c r="AF70" s="63"/>
      <c r="AG70" s="63"/>
      <c r="AH70" s="63"/>
      <c r="AI70" s="1"/>
      <c r="AJ70" s="1"/>
      <c r="AK70" s="1"/>
    </row>
    <row r="71" spans="1:37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159">
        <f t="shared" si="49"/>
        <v>-3.1750605892082617E-2</v>
      </c>
      <c r="P71" s="211">
        <f t="shared" si="50"/>
        <v>7.8701754187968473E-2</v>
      </c>
      <c r="Q71" s="159">
        <f t="shared" si="51"/>
        <v>4.7753039198118756</v>
      </c>
      <c r="R71" s="159">
        <f t="shared" si="52"/>
        <v>4.696602165623907</v>
      </c>
      <c r="S71" s="159">
        <f t="shared" si="53"/>
        <v>4.8540056739998443</v>
      </c>
      <c r="T71" s="152">
        <f t="shared" si="54"/>
        <v>59607.91345170846</v>
      </c>
      <c r="U71" s="160">
        <f t="shared" si="59"/>
        <v>0.92949999999999988</v>
      </c>
      <c r="V71" s="152">
        <f t="shared" si="55"/>
        <v>49728.134293720577</v>
      </c>
      <c r="W71" s="160">
        <f t="shared" si="56"/>
        <v>0.92949999999999988</v>
      </c>
      <c r="X71" s="152">
        <f t="shared" si="57"/>
        <v>71450.566093629401</v>
      </c>
      <c r="Y71" s="160">
        <f t="shared" si="58"/>
        <v>0.92949999999999988</v>
      </c>
      <c r="Z71" s="3"/>
      <c r="AA71" s="63"/>
      <c r="AB71" s="63"/>
      <c r="AC71" s="63"/>
      <c r="AD71" s="63"/>
      <c r="AE71" s="63"/>
      <c r="AF71" s="63"/>
      <c r="AG71" s="63"/>
      <c r="AH71" s="63"/>
      <c r="AI71" s="1"/>
      <c r="AJ71" s="1"/>
      <c r="AK71" s="1"/>
    </row>
    <row r="72" spans="1:37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159">
        <f t="shared" si="49"/>
        <v>-2.91883891274822E-2</v>
      </c>
      <c r="P72" s="211">
        <f t="shared" si="50"/>
        <v>7.9654532626279917E-2</v>
      </c>
      <c r="Q72" s="159">
        <f t="shared" si="51"/>
        <v>4.7617887487189847</v>
      </c>
      <c r="R72" s="159">
        <f t="shared" si="52"/>
        <v>4.6821342160927051</v>
      </c>
      <c r="S72" s="159">
        <f t="shared" si="53"/>
        <v>4.8414432813452644</v>
      </c>
      <c r="T72" s="152">
        <f t="shared" si="54"/>
        <v>57781.491596482781</v>
      </c>
      <c r="U72" s="160">
        <f t="shared" si="59"/>
        <v>0.93499999999999994</v>
      </c>
      <c r="V72" s="152">
        <f t="shared" si="55"/>
        <v>48098.797191738588</v>
      </c>
      <c r="W72" s="160">
        <f t="shared" si="56"/>
        <v>0.93499999999999994</v>
      </c>
      <c r="X72" s="152">
        <f t="shared" si="57"/>
        <v>69413.394222836461</v>
      </c>
      <c r="Y72" s="160">
        <f t="shared" si="58"/>
        <v>0.93499999999999994</v>
      </c>
      <c r="Z72" s="3"/>
      <c r="AA72" s="63"/>
      <c r="AB72" s="63"/>
      <c r="AC72" s="63"/>
      <c r="AD72" s="63"/>
      <c r="AE72" s="63"/>
      <c r="AF72" s="63"/>
      <c r="AG72" s="63"/>
      <c r="AH72" s="63"/>
      <c r="AI72" s="1"/>
      <c r="AJ72" s="1"/>
      <c r="AK72" s="1"/>
    </row>
    <row r="73" spans="1:37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159">
        <f t="shared" si="49"/>
        <v>-2.6641200113602267E-2</v>
      </c>
      <c r="P73" s="211">
        <f t="shared" si="50"/>
        <v>8.0638863260682772E-2</v>
      </c>
      <c r="Q73" s="159">
        <f t="shared" si="51"/>
        <v>4.7483528459475464</v>
      </c>
      <c r="R73" s="159">
        <f t="shared" si="52"/>
        <v>4.6677139826868634</v>
      </c>
      <c r="S73" s="159">
        <f t="shared" si="53"/>
        <v>4.8289917092082293</v>
      </c>
      <c r="T73" s="152">
        <f t="shared" si="54"/>
        <v>56021.256572975712</v>
      </c>
      <c r="U73" s="160">
        <f t="shared" si="59"/>
        <v>0.94050000000000022</v>
      </c>
      <c r="V73" s="152">
        <f t="shared" si="55"/>
        <v>46527.956915159317</v>
      </c>
      <c r="W73" s="160">
        <f t="shared" si="56"/>
        <v>0.94050000000000022</v>
      </c>
      <c r="X73" s="152">
        <f t="shared" si="57"/>
        <v>67451.515090976522</v>
      </c>
      <c r="Y73" s="160">
        <f t="shared" si="58"/>
        <v>0.94050000000000022</v>
      </c>
      <c r="Z73" s="3"/>
      <c r="AA73" s="63"/>
      <c r="AB73" s="63"/>
      <c r="AC73" s="63"/>
      <c r="AD73" s="63"/>
      <c r="AE73" s="63"/>
      <c r="AF73" s="63"/>
      <c r="AG73" s="63"/>
      <c r="AH73" s="63"/>
      <c r="AI73" s="1"/>
      <c r="AJ73" s="1"/>
      <c r="AK73" s="1"/>
    </row>
    <row r="74" spans="1:37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159">
        <f t="shared" si="49"/>
        <v>-2.4108863598207207E-2</v>
      </c>
      <c r="P74" s="211">
        <f t="shared" si="50"/>
        <v>8.1652834778812536E-2</v>
      </c>
      <c r="Q74" s="159">
        <f t="shared" si="51"/>
        <v>4.7349952870777461</v>
      </c>
      <c r="R74" s="159">
        <f t="shared" si="52"/>
        <v>4.6533424522989337</v>
      </c>
      <c r="S74" s="159">
        <f t="shared" si="53"/>
        <v>4.8166481218565584</v>
      </c>
      <c r="T74" s="152">
        <f t="shared" si="54"/>
        <v>54324.443622368963</v>
      </c>
      <c r="U74" s="160">
        <f t="shared" si="59"/>
        <v>0.94600000000000006</v>
      </c>
      <c r="V74" s="152">
        <f t="shared" si="55"/>
        <v>45013.465767175461</v>
      </c>
      <c r="W74" s="160">
        <f t="shared" si="56"/>
        <v>0.94600000000000006</v>
      </c>
      <c r="X74" s="152">
        <f t="shared" si="57"/>
        <v>65561.385345093149</v>
      </c>
      <c r="Y74" s="160">
        <f t="shared" si="58"/>
        <v>0.94600000000000006</v>
      </c>
      <c r="Z74" s="3"/>
      <c r="AA74" s="63"/>
      <c r="AB74" s="63"/>
      <c r="AC74" s="63"/>
      <c r="AD74" s="63"/>
      <c r="AE74" s="63"/>
      <c r="AF74" s="63"/>
      <c r="AG74" s="63"/>
      <c r="AH74" s="63"/>
      <c r="AI74" s="1"/>
      <c r="AJ74" s="1"/>
      <c r="AK74" s="1"/>
    </row>
    <row r="75" spans="1:37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159">
        <f t="shared" si="49"/>
        <v>-2.1591207376960683E-2</v>
      </c>
      <c r="P75" s="211">
        <f t="shared" si="50"/>
        <v>8.2694612716046709E-2</v>
      </c>
      <c r="Q75" s="159">
        <f t="shared" si="51"/>
        <v>4.7217151637668158</v>
      </c>
      <c r="R75" s="159">
        <f t="shared" si="52"/>
        <v>4.6390205510507689</v>
      </c>
      <c r="S75" s="159">
        <f t="shared" si="53"/>
        <v>4.8044097764828626</v>
      </c>
      <c r="T75" s="152">
        <f t="shared" si="54"/>
        <v>52688.418599248624</v>
      </c>
      <c r="U75" s="160">
        <f t="shared" si="59"/>
        <v>0.95150000000000012</v>
      </c>
      <c r="V75" s="152">
        <f t="shared" si="55"/>
        <v>43553.248283159264</v>
      </c>
      <c r="W75" s="160">
        <f t="shared" si="56"/>
        <v>0.95150000000000012</v>
      </c>
      <c r="X75" s="152">
        <f t="shared" si="57"/>
        <v>63739.664982992232</v>
      </c>
      <c r="Y75" s="160">
        <f t="shared" si="58"/>
        <v>0.95150000000000012</v>
      </c>
      <c r="Z75" s="3"/>
      <c r="AA75" s="63"/>
      <c r="AB75" s="63"/>
      <c r="AC75" s="63"/>
      <c r="AD75" s="63"/>
      <c r="AE75" s="63"/>
      <c r="AF75" s="63"/>
      <c r="AG75" s="63"/>
      <c r="AH75" s="63"/>
      <c r="AI75" s="1"/>
      <c r="AJ75" s="1"/>
      <c r="AK75" s="1"/>
    </row>
    <row r="76" spans="1:37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159">
        <f t="shared" si="49"/>
        <v>-1.9088062223156402E-2</v>
      </c>
      <c r="P76" s="211">
        <f t="shared" si="50"/>
        <v>8.37624406763188E-2</v>
      </c>
      <c r="Q76" s="159">
        <f t="shared" si="51"/>
        <v>4.7085115833783773</v>
      </c>
      <c r="R76" s="159">
        <f t="shared" si="52"/>
        <v>4.6247491427020586</v>
      </c>
      <c r="S76" s="159">
        <f t="shared" si="53"/>
        <v>4.7922740240546959</v>
      </c>
      <c r="T76" s="152">
        <f t="shared" si="54"/>
        <v>51110.671094780817</v>
      </c>
      <c r="U76" s="160">
        <f t="shared" si="59"/>
        <v>0.95700000000000007</v>
      </c>
      <c r="V76" s="152">
        <f t="shared" si="55"/>
        <v>42145.299331338887</v>
      </c>
      <c r="W76" s="160">
        <f t="shared" si="56"/>
        <v>0.95700000000000007</v>
      </c>
      <c r="X76" s="152">
        <f t="shared" si="57"/>
        <v>61983.204324198101</v>
      </c>
      <c r="Y76" s="160">
        <f t="shared" si="58"/>
        <v>0.95700000000000007</v>
      </c>
      <c r="Z76" s="3"/>
      <c r="AA76" s="63"/>
      <c r="AB76" s="63"/>
      <c r="AC76" s="63"/>
      <c r="AD76" s="63"/>
      <c r="AE76" s="63"/>
      <c r="AF76" s="63"/>
      <c r="AG76" s="63"/>
      <c r="AH76" s="63"/>
      <c r="AI76" s="1"/>
      <c r="AJ76" s="1"/>
      <c r="AK76" s="1"/>
    </row>
    <row r="77" spans="1:37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159">
        <f t="shared" si="49"/>
        <v>-1.6599261819461704E-2</v>
      </c>
      <c r="P77" s="211">
        <f t="shared" si="50"/>
        <v>8.4854640713531299E-2</v>
      </c>
      <c r="Q77" s="159">
        <f t="shared" si="51"/>
        <v>4.6953836686224086</v>
      </c>
      <c r="R77" s="159">
        <f t="shared" si="52"/>
        <v>4.6105290279088775</v>
      </c>
      <c r="S77" s="159">
        <f t="shared" si="53"/>
        <v>4.7802383093359397</v>
      </c>
      <c r="T77" s="152">
        <f t="shared" si="54"/>
        <v>49588.807958723446</v>
      </c>
      <c r="U77" s="160">
        <f t="shared" si="59"/>
        <v>0.96250000000000013</v>
      </c>
      <c r="V77" s="152">
        <f t="shared" si="55"/>
        <v>40787.682303309266</v>
      </c>
      <c r="W77" s="160">
        <f t="shared" si="56"/>
        <v>0.96250000000000013</v>
      </c>
      <c r="X77" s="152">
        <f t="shared" si="57"/>
        <v>60289.031783687438</v>
      </c>
      <c r="Y77" s="160">
        <f t="shared" si="58"/>
        <v>0.96250000000000013</v>
      </c>
      <c r="Z77" s="3"/>
      <c r="AA77" s="63"/>
      <c r="AB77" s="63"/>
      <c r="AC77" s="63"/>
      <c r="AD77" s="63"/>
      <c r="AE77" s="63"/>
      <c r="AF77" s="63"/>
      <c r="AG77" s="63"/>
      <c r="AH77" s="63"/>
      <c r="AI77" s="1"/>
      <c r="AJ77" s="1"/>
      <c r="AK77" s="1"/>
    </row>
    <row r="78" spans="1:37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159">
        <f t="shared" si="49"/>
        <v>-1.4124642691606296E-2</v>
      </c>
      <c r="P78" s="211">
        <f t="shared" si="50"/>
        <v>8.5969612997488953E-2</v>
      </c>
      <c r="Q78" s="159">
        <f t="shared" si="51"/>
        <v>4.6823305572054581</v>
      </c>
      <c r="R78" s="159">
        <f t="shared" si="52"/>
        <v>4.5963609442079694</v>
      </c>
      <c r="S78" s="159">
        <f t="shared" si="53"/>
        <v>4.7683001702029468</v>
      </c>
      <c r="T78" s="152">
        <f t="shared" si="54"/>
        <v>48120.547195032115</v>
      </c>
      <c r="U78" s="160">
        <f t="shared" si="59"/>
        <v>0.96800000000000008</v>
      </c>
      <c r="V78" s="152">
        <f t="shared" si="55"/>
        <v>39478.527368426287</v>
      </c>
      <c r="W78" s="160">
        <f t="shared" si="56"/>
        <v>0.96800000000000008</v>
      </c>
      <c r="X78" s="152">
        <f t="shared" si="57"/>
        <v>58654.342416055879</v>
      </c>
      <c r="Y78" s="160">
        <f t="shared" si="58"/>
        <v>0.96800000000000008</v>
      </c>
      <c r="Z78" s="3"/>
      <c r="AA78" s="63"/>
      <c r="AB78" s="63"/>
      <c r="AC78" s="63"/>
      <c r="AD78" s="63"/>
      <c r="AE78" s="63"/>
      <c r="AF78" s="63"/>
      <c r="AG78" s="63"/>
      <c r="AH78" s="63"/>
      <c r="AI78" s="1"/>
      <c r="AJ78" s="1"/>
      <c r="AK78" s="1"/>
    </row>
    <row r="79" spans="1:37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159">
        <f t="shared" si="49"/>
        <v>-1.1664044143949512E-2</v>
      </c>
      <c r="P79" s="211">
        <f t="shared" si="50"/>
        <v>8.7105834879919311E-2</v>
      </c>
      <c r="Q79" s="159">
        <f t="shared" si="51"/>
        <v>4.6693514014907835</v>
      </c>
      <c r="R79" s="159">
        <f t="shared" si="52"/>
        <v>4.5822455666108644</v>
      </c>
      <c r="S79" s="159">
        <f t="shared" si="53"/>
        <v>4.7564572363707027</v>
      </c>
      <c r="T79" s="152">
        <f t="shared" si="54"/>
        <v>46703.712207552519</v>
      </c>
      <c r="U79" s="160">
        <f t="shared" si="59"/>
        <v>0.97350000000000014</v>
      </c>
      <c r="V79" s="152">
        <f t="shared" si="55"/>
        <v>38216.029772050104</v>
      </c>
      <c r="W79" s="160">
        <f t="shared" si="56"/>
        <v>0.97350000000000014</v>
      </c>
      <c r="X79" s="152">
        <f t="shared" si="57"/>
        <v>57076.487195987378</v>
      </c>
      <c r="Y79" s="160">
        <f t="shared" si="58"/>
        <v>0.97350000000000014</v>
      </c>
      <c r="Z79" s="3"/>
      <c r="AA79" s="63"/>
      <c r="AB79" s="63"/>
      <c r="AC79" s="63"/>
      <c r="AD79" s="63"/>
      <c r="AE79" s="63"/>
      <c r="AF79" s="63"/>
      <c r="AG79" s="63"/>
      <c r="AH79" s="63"/>
      <c r="AI79" s="1"/>
      <c r="AJ79" s="1"/>
      <c r="AK79" s="1"/>
    </row>
    <row r="80" spans="1:37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159">
        <f t="shared" si="49"/>
        <v>-9.2173081968621329E-3</v>
      </c>
      <c r="P80" s="211">
        <f t="shared" si="50"/>
        <v>8.8261859466484641E-2</v>
      </c>
      <c r="Q80" s="159">
        <f t="shared" si="51"/>
        <v>4.6564453681680451</v>
      </c>
      <c r="R80" s="159">
        <f t="shared" si="52"/>
        <v>4.5681835087015603</v>
      </c>
      <c r="S80" s="159">
        <f t="shared" si="53"/>
        <v>4.7447072276345299</v>
      </c>
      <c r="T80" s="152">
        <f t="shared" si="54"/>
        <v>45336.226373887861</v>
      </c>
      <c r="U80" s="160">
        <f t="shared" si="59"/>
        <v>0.97900000000000009</v>
      </c>
      <c r="V80" s="152">
        <f t="shared" si="55"/>
        <v>36998.448162674395</v>
      </c>
      <c r="W80" s="160">
        <f t="shared" si="56"/>
        <v>0.97900000000000009</v>
      </c>
      <c r="X80" s="152">
        <f t="shared" si="57"/>
        <v>55552.9629996199</v>
      </c>
      <c r="Y80" s="160">
        <f t="shared" si="58"/>
        <v>0.97900000000000009</v>
      </c>
      <c r="Z80" s="3"/>
      <c r="AA80" s="63"/>
      <c r="AB80" s="63"/>
      <c r="AC80" s="63"/>
      <c r="AD80" s="63"/>
      <c r="AE80" s="63"/>
      <c r="AF80" s="63"/>
      <c r="AG80" s="63"/>
      <c r="AH80" s="63"/>
      <c r="AI80" s="1"/>
      <c r="AJ80" s="1"/>
      <c r="AK80" s="1"/>
    </row>
    <row r="81" spans="1:37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159">
        <f t="shared" si="49"/>
        <v>-6.7842795258629173E-3</v>
      </c>
      <c r="P81" s="211">
        <f t="shared" si="50"/>
        <v>8.9436313790348831E-2</v>
      </c>
      <c r="Q81" s="159">
        <f t="shared" si="51"/>
        <v>4.6436116379322696</v>
      </c>
      <c r="R81" s="159">
        <f t="shared" si="52"/>
        <v>4.5541753241419212</v>
      </c>
      <c r="S81" s="159">
        <f t="shared" si="53"/>
        <v>4.7330479517226181</v>
      </c>
      <c r="T81" s="152">
        <f t="shared" si="54"/>
        <v>44016.107927018958</v>
      </c>
      <c r="U81" s="160">
        <f t="shared" si="59"/>
        <v>0.98450000000000004</v>
      </c>
      <c r="V81" s="152">
        <f t="shared" si="55"/>
        <v>35824.102937258584</v>
      </c>
      <c r="W81" s="160">
        <f t="shared" si="56"/>
        <v>0.98450000000000004</v>
      </c>
      <c r="X81" s="152">
        <f t="shared" si="57"/>
        <v>54081.403250658404</v>
      </c>
      <c r="Y81" s="160">
        <f t="shared" si="58"/>
        <v>0.98450000000000004</v>
      </c>
      <c r="Z81" s="3"/>
      <c r="AA81" s="63"/>
      <c r="AB81" s="63"/>
      <c r="AC81" s="63"/>
      <c r="AD81" s="63"/>
      <c r="AE81" s="63"/>
      <c r="AF81" s="63"/>
      <c r="AG81" s="63"/>
      <c r="AH81" s="63"/>
      <c r="AI81" s="1"/>
      <c r="AJ81" s="1"/>
      <c r="AK81" s="1"/>
    </row>
    <row r="82" spans="1:37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159">
        <f t="shared" si="49"/>
        <v>-4.3648054024500883E-3</v>
      </c>
      <c r="P82" s="211">
        <f t="shared" si="50"/>
        <v>9.0627896672341182E-2</v>
      </c>
      <c r="Q82" s="159">
        <f t="shared" si="51"/>
        <v>4.6308494051717455</v>
      </c>
      <c r="R82" s="159">
        <f t="shared" si="52"/>
        <v>4.5402215084994042</v>
      </c>
      <c r="S82" s="159">
        <f t="shared" si="53"/>
        <v>4.7214773018440868</v>
      </c>
      <c r="T82" s="152">
        <f t="shared" si="54"/>
        <v>42741.465125627634</v>
      </c>
      <c r="U82" s="160">
        <f t="shared" si="59"/>
        <v>0.99</v>
      </c>
      <c r="V82" s="152">
        <f t="shared" si="55"/>
        <v>34691.374597595801</v>
      </c>
      <c r="W82" s="160">
        <f t="shared" si="56"/>
        <v>0.99</v>
      </c>
      <c r="X82" s="152">
        <f t="shared" si="57"/>
        <v>52659.569194812117</v>
      </c>
      <c r="Y82" s="160">
        <f t="shared" si="58"/>
        <v>0.99</v>
      </c>
      <c r="Z82" s="3"/>
      <c r="AA82" s="63"/>
      <c r="AB82" s="63"/>
      <c r="AC82" s="63"/>
      <c r="AD82" s="63"/>
      <c r="AE82" s="63"/>
      <c r="AF82" s="63"/>
      <c r="AG82" s="63"/>
      <c r="AH82" s="63"/>
      <c r="AI82" s="1"/>
      <c r="AJ82" s="1"/>
      <c r="AK82" s="1"/>
    </row>
    <row r="83" spans="1:37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159">
        <f t="shared" si="49"/>
        <v>-1.9587356365716219E-3</v>
      </c>
      <c r="P83" s="211">
        <f t="shared" si="50"/>
        <v>9.1835376342427014E-2</v>
      </c>
      <c r="Q83" s="159">
        <f t="shared" si="51"/>
        <v>4.6181578776645678</v>
      </c>
      <c r="R83" s="159">
        <f t="shared" si="52"/>
        <v>4.5263225013221406</v>
      </c>
      <c r="S83" s="159">
        <f t="shared" si="53"/>
        <v>4.7099932540069949</v>
      </c>
      <c r="T83" s="152">
        <f t="shared" si="54"/>
        <v>41510.491695353026</v>
      </c>
      <c r="U83" s="160">
        <f t="shared" si="59"/>
        <v>0.99549999999999994</v>
      </c>
      <c r="V83" s="152">
        <f t="shared" si="55"/>
        <v>33598.702113401094</v>
      </c>
      <c r="W83" s="160">
        <f t="shared" si="56"/>
        <v>0.99549999999999994</v>
      </c>
      <c r="X83" s="152">
        <f t="shared" si="57"/>
        <v>51285.341766302627</v>
      </c>
      <c r="Y83" s="160">
        <f t="shared" si="58"/>
        <v>0.99549999999999994</v>
      </c>
      <c r="Z83" s="3"/>
      <c r="AA83" s="63"/>
      <c r="AB83" s="63"/>
      <c r="AC83" s="63"/>
      <c r="AD83" s="63"/>
      <c r="AE83" s="63"/>
      <c r="AF83" s="63"/>
      <c r="AG83" s="63"/>
      <c r="AH83" s="63"/>
      <c r="AI83" s="1"/>
      <c r="AJ83" s="1"/>
      <c r="AK83" s="1"/>
    </row>
    <row r="84" spans="1:37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159">
        <f t="shared" si="49"/>
        <v>4.3407747931868923E-4</v>
      </c>
      <c r="P84" s="211">
        <f t="shared" si="50"/>
        <v>9.3057587887322504E-2</v>
      </c>
      <c r="Q84" s="159">
        <f t="shared" si="51"/>
        <v>4.6055362762835408</v>
      </c>
      <c r="R84" s="159">
        <f t="shared" si="52"/>
        <v>4.512478688396218</v>
      </c>
      <c r="S84" s="159">
        <f t="shared" si="53"/>
        <v>4.6985938641708636</v>
      </c>
      <c r="T84" s="152">
        <f t="shared" si="54"/>
        <v>40321.462524391856</v>
      </c>
      <c r="U84" s="160">
        <f t="shared" si="59"/>
        <v>1.0010000000000001</v>
      </c>
      <c r="V84" s="152">
        <f t="shared" si="55"/>
        <v>32544.5812900481</v>
      </c>
      <c r="W84" s="160">
        <f t="shared" si="56"/>
        <v>1.0010000000000001</v>
      </c>
      <c r="X84" s="152">
        <f t="shared" si="57"/>
        <v>49956.714010731441</v>
      </c>
      <c r="Y84" s="160">
        <f t="shared" si="58"/>
        <v>1.0010000000000001</v>
      </c>
      <c r="Z84" s="3"/>
      <c r="AA84" s="63"/>
      <c r="AB84" s="63"/>
      <c r="AC84" s="63"/>
      <c r="AD84" s="63"/>
      <c r="AE84" s="63"/>
      <c r="AF84" s="63"/>
      <c r="AG84" s="63"/>
      <c r="AH84" s="63"/>
      <c r="AI84" s="1"/>
      <c r="AJ84" s="1"/>
      <c r="AK84" s="1"/>
    </row>
    <row r="85" spans="1:37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159">
        <f t="shared" si="49"/>
        <v>2.8137792246733912E-3</v>
      </c>
      <c r="P85" s="211">
        <f t="shared" si="50"/>
        <v>9.4293430579864071E-2</v>
      </c>
      <c r="Q85" s="159">
        <f t="shared" si="51"/>
        <v>4.5929838347091696</v>
      </c>
      <c r="R85" s="159">
        <f t="shared" si="52"/>
        <v>4.4986904041293059</v>
      </c>
      <c r="S85" s="159">
        <f t="shared" si="53"/>
        <v>4.6872772652890333</v>
      </c>
      <c r="T85" s="152">
        <f t="shared" si="54"/>
        <v>39172.729597957899</v>
      </c>
      <c r="U85" s="160">
        <f t="shared" si="59"/>
        <v>1.0065000000000002</v>
      </c>
      <c r="V85" s="152">
        <f t="shared" si="55"/>
        <v>31527.563140612143</v>
      </c>
      <c r="W85" s="160">
        <f t="shared" si="56"/>
        <v>1.0065000000000002</v>
      </c>
      <c r="X85" s="152">
        <f t="shared" si="57"/>
        <v>48671.784029450129</v>
      </c>
      <c r="Y85" s="160">
        <f t="shared" si="58"/>
        <v>1.0065000000000002</v>
      </c>
      <c r="Z85" s="3"/>
      <c r="AA85" s="63"/>
      <c r="AB85" s="63"/>
      <c r="AC85" s="63"/>
      <c r="AD85" s="63"/>
      <c r="AE85" s="63"/>
      <c r="AF85" s="63"/>
      <c r="AG85" s="63"/>
      <c r="AH85" s="63"/>
      <c r="AI85" s="1"/>
      <c r="AJ85" s="1"/>
      <c r="AK85" s="1"/>
    </row>
    <row r="86" spans="1:37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159">
        <f t="shared" si="49"/>
        <v>5.1805125037803143E-3</v>
      </c>
      <c r="P86" s="211">
        <f t="shared" si="50"/>
        <v>9.5541865137264037E-2</v>
      </c>
      <c r="Q86" s="159">
        <f t="shared" si="51"/>
        <v>4.5804997991504699</v>
      </c>
      <c r="R86" s="159">
        <f t="shared" si="52"/>
        <v>4.484957934013206</v>
      </c>
      <c r="S86" s="159">
        <f t="shared" si="53"/>
        <v>4.6760416642877338</v>
      </c>
      <c r="T86" s="152">
        <f t="shared" si="54"/>
        <v>38062.718157132003</v>
      </c>
      <c r="U86" s="160">
        <f t="shared" si="59"/>
        <v>1.012</v>
      </c>
      <c r="V86" s="152">
        <f t="shared" si="55"/>
        <v>30546.252263160233</v>
      </c>
      <c r="W86" s="160">
        <f t="shared" si="56"/>
        <v>1.012</v>
      </c>
      <c r="X86" s="152">
        <f t="shared" si="57"/>
        <v>47428.748411684217</v>
      </c>
      <c r="Y86" s="160">
        <f t="shared" si="58"/>
        <v>1.012</v>
      </c>
      <c r="Z86" s="3"/>
      <c r="AA86" s="63"/>
      <c r="AB86" s="63"/>
      <c r="AC86" s="63"/>
      <c r="AD86" s="63"/>
      <c r="AE86" s="63"/>
      <c r="AF86" s="63"/>
      <c r="AG86" s="63"/>
      <c r="AH86" s="63"/>
      <c r="AI86" s="1"/>
      <c r="AJ86" s="1"/>
      <c r="AK86" s="1"/>
    </row>
    <row r="87" spans="1:37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159">
        <f t="shared" si="49"/>
        <v>7.5344178972576777E-3</v>
      </c>
      <c r="P87" s="211">
        <f t="shared" si="50"/>
        <v>9.6801910947716924E-2</v>
      </c>
      <c r="Q87" s="159">
        <f t="shared" si="51"/>
        <v>4.5680834280733391</v>
      </c>
      <c r="R87" s="159">
        <f t="shared" si="52"/>
        <v>4.4712815171256226</v>
      </c>
      <c r="S87" s="159">
        <f t="shared" si="53"/>
        <v>4.6648853390210556</v>
      </c>
      <c r="T87" s="152">
        <f t="shared" si="54"/>
        <v>36989.923068585405</v>
      </c>
      <c r="U87" s="160">
        <f t="shared" si="59"/>
        <v>1.0175000000000001</v>
      </c>
      <c r="V87" s="152">
        <f t="shared" si="55"/>
        <v>29599.305225146847</v>
      </c>
      <c r="W87" s="160">
        <f t="shared" si="56"/>
        <v>1.0175000000000001</v>
      </c>
      <c r="X87" s="152">
        <f t="shared" si="57"/>
        <v>46225.89612196129</v>
      </c>
      <c r="Y87" s="160">
        <f t="shared" si="58"/>
        <v>1.0175000000000001</v>
      </c>
      <c r="Z87" s="3"/>
      <c r="AA87" s="63"/>
      <c r="AB87" s="63"/>
      <c r="AC87" s="63"/>
      <c r="AD87" s="63"/>
      <c r="AE87" s="63"/>
      <c r="AF87" s="63"/>
      <c r="AG87" s="63"/>
      <c r="AH87" s="63"/>
      <c r="AI87" s="1"/>
      <c r="AJ87" s="1"/>
      <c r="AK87" s="1"/>
    </row>
    <row r="88" spans="1:37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159">
        <f t="shared" si="49"/>
        <v>9.8756337121602127E-3</v>
      </c>
      <c r="P88" s="211">
        <f t="shared" si="50"/>
        <v>9.8072643297974257E-2</v>
      </c>
      <c r="Q88" s="159">
        <f t="shared" si="51"/>
        <v>4.5557339919362585</v>
      </c>
      <c r="R88" s="159">
        <f t="shared" si="52"/>
        <v>4.4576613486382843</v>
      </c>
      <c r="S88" s="159">
        <f t="shared" si="53"/>
        <v>4.6538066352342327</v>
      </c>
      <c r="T88" s="152">
        <f t="shared" si="54"/>
        <v>35952.905392542365</v>
      </c>
      <c r="U88" s="160">
        <f t="shared" si="59"/>
        <v>1.0230000000000001</v>
      </c>
      <c r="V88" s="152">
        <f t="shared" si="55"/>
        <v>28685.428957385742</v>
      </c>
      <c r="W88" s="160">
        <f t="shared" si="56"/>
        <v>1.0230000000000001</v>
      </c>
      <c r="X88" s="152">
        <f t="shared" si="57"/>
        <v>45061.602811844605</v>
      </c>
      <c r="Y88" s="160">
        <f t="shared" si="58"/>
        <v>1.0230000000000001</v>
      </c>
      <c r="Z88" s="3"/>
      <c r="AA88" s="63"/>
      <c r="AB88" s="63"/>
      <c r="AC88" s="63"/>
      <c r="AD88" s="63"/>
      <c r="AE88" s="63"/>
      <c r="AF88" s="63"/>
      <c r="AG88" s="63"/>
      <c r="AH88" s="63"/>
      <c r="AI88" s="1"/>
      <c r="AJ88" s="1"/>
      <c r="AK88" s="1"/>
    </row>
    <row r="89" spans="1:37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159">
        <f t="shared" si="49"/>
        <v>1.2204296030742896E-2</v>
      </c>
      <c r="P89" s="211">
        <f t="shared" si="50"/>
        <v>9.9353190628464844E-2</v>
      </c>
      <c r="Q89" s="159">
        <f t="shared" si="51"/>
        <v>4.5434507729330758</v>
      </c>
      <c r="R89" s="159">
        <f t="shared" si="52"/>
        <v>4.4440975823046109</v>
      </c>
      <c r="S89" s="159">
        <f t="shared" si="53"/>
        <v>4.6428039635615406</v>
      </c>
      <c r="T89" s="152">
        <f t="shared" si="54"/>
        <v>34950.289137164364</v>
      </c>
      <c r="U89" s="160">
        <f t="shared" si="59"/>
        <v>1.0285000000000002</v>
      </c>
      <c r="V89" s="152">
        <f t="shared" si="55"/>
        <v>27803.379160435747</v>
      </c>
      <c r="W89" s="160">
        <f t="shared" si="56"/>
        <v>1.0285000000000002</v>
      </c>
      <c r="X89" s="152">
        <f t="shared" si="57"/>
        <v>43934.325526503628</v>
      </c>
      <c r="Y89" s="160">
        <f t="shared" si="58"/>
        <v>1.0285000000000002</v>
      </c>
      <c r="Z89" s="3"/>
      <c r="AA89" s="63"/>
      <c r="AB89" s="63"/>
      <c r="AC89" s="63"/>
      <c r="AD89" s="63"/>
      <c r="AE89" s="63"/>
      <c r="AF89" s="63"/>
      <c r="AG89" s="63"/>
      <c r="AH89" s="63"/>
      <c r="AI89" s="1"/>
      <c r="AJ89" s="1"/>
      <c r="AK89" s="1"/>
    </row>
    <row r="90" spans="1:37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159">
        <f t="shared" si="49"/>
        <v>1.4520538757923713E-2</v>
      </c>
      <c r="P90" s="211">
        <f t="shared" si="50"/>
        <v>0.10064273183726125</v>
      </c>
      <c r="Q90" s="159">
        <f t="shared" si="51"/>
        <v>4.5312330647426471</v>
      </c>
      <c r="R90" s="159">
        <f t="shared" si="52"/>
        <v>4.4305903329053855</v>
      </c>
      <c r="S90" s="159">
        <f t="shared" si="53"/>
        <v>4.6318757965799087</v>
      </c>
      <c r="T90" s="152">
        <f t="shared" si="54"/>
        <v>33980.758188303349</v>
      </c>
      <c r="U90" s="160">
        <f t="shared" si="59"/>
        <v>1.034</v>
      </c>
      <c r="V90" s="152">
        <f t="shared" si="55"/>
        <v>26951.958726414712</v>
      </c>
      <c r="W90" s="160">
        <f t="shared" si="56"/>
        <v>1.034</v>
      </c>
      <c r="X90" s="152">
        <f t="shared" si="57"/>
        <v>42842.597778256109</v>
      </c>
      <c r="Y90" s="160">
        <f t="shared" si="58"/>
        <v>1.034</v>
      </c>
      <c r="Z90" s="3"/>
      <c r="AA90" s="63"/>
      <c r="AB90" s="63"/>
      <c r="AC90" s="63"/>
      <c r="AD90" s="63"/>
      <c r="AE90" s="63"/>
      <c r="AF90" s="63"/>
      <c r="AG90" s="63"/>
      <c r="AH90" s="63"/>
      <c r="AI90" s="1"/>
      <c r="AJ90" s="1"/>
      <c r="AK90" s="1"/>
    </row>
    <row r="91" spans="1:37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159">
        <f t="shared" si="49"/>
        <v>1.6824493667488026E-2</v>
      </c>
      <c r="P91" s="211">
        <f t="shared" si="50"/>
        <v>0.10194049364963326</v>
      </c>
      <c r="Q91" s="159">
        <f t="shared" si="51"/>
        <v>4.5190801722851175</v>
      </c>
      <c r="R91" s="159">
        <f t="shared" si="52"/>
        <v>4.4171396786354844</v>
      </c>
      <c r="S91" s="159">
        <f t="shared" si="53"/>
        <v>4.6210206659347506</v>
      </c>
      <c r="T91" s="152">
        <f t="shared" si="54"/>
        <v>33043.053404280741</v>
      </c>
      <c r="U91" s="160">
        <f t="shared" si="59"/>
        <v>1.0395000000000001</v>
      </c>
      <c r="V91" s="152">
        <f t="shared" si="55"/>
        <v>26130.016179280814</v>
      </c>
      <c r="W91" s="160">
        <f t="shared" si="56"/>
        <v>1.0395000000000001</v>
      </c>
      <c r="X91" s="152">
        <f t="shared" si="57"/>
        <v>41785.024960830408</v>
      </c>
      <c r="Y91" s="160">
        <f t="shared" si="58"/>
        <v>1.0395000000000001</v>
      </c>
      <c r="Z91" s="3"/>
      <c r="AA91" s="63"/>
      <c r="AB91" s="63"/>
      <c r="AC91" s="63"/>
      <c r="AD91" s="63"/>
      <c r="AE91" s="63"/>
      <c r="AF91" s="63"/>
      <c r="AG91" s="63"/>
      <c r="AH91" s="63"/>
      <c r="AI91" s="1"/>
      <c r="AJ91" s="1"/>
      <c r="AK91" s="1"/>
    </row>
    <row r="92" spans="1:37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159">
        <f t="shared" si="49"/>
        <v>1.9116290447072869E-2</v>
      </c>
      <c r="P92" s="211">
        <f t="shared" si="50"/>
        <v>0.10324574806602121</v>
      </c>
      <c r="Q92" s="159">
        <f t="shared" si="51"/>
        <v>4.5069914114846412</v>
      </c>
      <c r="R92" s="159">
        <f t="shared" si="52"/>
        <v>4.4037456634186203</v>
      </c>
      <c r="S92" s="159">
        <f t="shared" si="53"/>
        <v>4.6102371595506622</v>
      </c>
      <c r="T92" s="152">
        <f t="shared" si="54"/>
        <v>32135.969866010146</v>
      </c>
      <c r="U92" s="160">
        <f t="shared" si="59"/>
        <v>1.0450000000000002</v>
      </c>
      <c r="V92" s="152">
        <f t="shared" si="55"/>
        <v>25336.444136534512</v>
      </c>
      <c r="W92" s="160">
        <f t="shared" si="56"/>
        <v>1.0450000000000002</v>
      </c>
      <c r="X92" s="152">
        <f t="shared" si="57"/>
        <v>40760.280079711549</v>
      </c>
      <c r="Y92" s="160">
        <f t="shared" si="58"/>
        <v>1.0450000000000002</v>
      </c>
      <c r="Z92" s="3"/>
      <c r="AA92" s="63"/>
      <c r="AB92" s="63"/>
      <c r="AC92" s="63"/>
      <c r="AD92" s="63"/>
      <c r="AE92" s="63"/>
      <c r="AF92" s="63"/>
      <c r="AG92" s="63"/>
      <c r="AH92" s="63"/>
      <c r="AI92" s="1"/>
      <c r="AJ92" s="1"/>
      <c r="AK92" s="1"/>
    </row>
    <row r="93" spans="1:37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159">
        <f t="shared" si="49"/>
        <v>2.139605674197138E-2</v>
      </c>
      <c r="P93" s="211">
        <f t="shared" si="50"/>
        <v>0.10455780989794816</v>
      </c>
      <c r="Q93" s="159">
        <f t="shared" si="51"/>
        <v>4.4949661090383186</v>
      </c>
      <c r="R93" s="159">
        <f t="shared" si="52"/>
        <v>4.3904082991403701</v>
      </c>
      <c r="S93" s="159">
        <f t="shared" si="53"/>
        <v>4.5995239189362671</v>
      </c>
      <c r="T93" s="152">
        <f t="shared" si="54"/>
        <v>31258.354273394871</v>
      </c>
      <c r="U93" s="160">
        <f t="shared" si="59"/>
        <v>1.0505</v>
      </c>
      <c r="V93" s="152">
        <f t="shared" si="55"/>
        <v>24570.177795127278</v>
      </c>
      <c r="W93" s="160">
        <f t="shared" si="56"/>
        <v>1.0505</v>
      </c>
      <c r="X93" s="152">
        <f t="shared" si="57"/>
        <v>39767.099775518742</v>
      </c>
      <c r="Y93" s="160">
        <f t="shared" si="58"/>
        <v>1.0505</v>
      </c>
      <c r="Z93" s="3"/>
      <c r="AA93" s="63"/>
      <c r="AB93" s="63"/>
      <c r="AC93" s="63"/>
      <c r="AD93" s="63"/>
      <c r="AE93" s="63"/>
      <c r="AF93" s="63"/>
      <c r="AG93" s="63"/>
      <c r="AH93" s="63"/>
      <c r="AI93" s="1"/>
      <c r="AJ93" s="1"/>
      <c r="AK93" s="1"/>
    </row>
    <row r="94" spans="1:37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159">
        <f t="shared" si="49"/>
        <v>2.3663918197793475E-2</v>
      </c>
      <c r="P94" s="211">
        <f t="shared" si="50"/>
        <v>0.10587603439859861</v>
      </c>
      <c r="Q94" s="159">
        <f t="shared" si="51"/>
        <v>4.4830036021911708</v>
      </c>
      <c r="R94" s="159">
        <f t="shared" si="52"/>
        <v>4.3771275677925718</v>
      </c>
      <c r="S94" s="159">
        <f t="shared" si="53"/>
        <v>4.5888796365897697</v>
      </c>
      <c r="T94" s="152">
        <f t="shared" si="54"/>
        <v>30409.102479507404</v>
      </c>
      <c r="U94" s="160">
        <f t="shared" si="59"/>
        <v>1.056</v>
      </c>
      <c r="V94" s="152">
        <f t="shared" si="55"/>
        <v>23830.193444138586</v>
      </c>
      <c r="W94" s="160">
        <f t="shared" si="56"/>
        <v>1.056</v>
      </c>
      <c r="X94" s="152">
        <f t="shared" si="57"/>
        <v>38804.280618906727</v>
      </c>
      <c r="Y94" s="160">
        <f t="shared" si="58"/>
        <v>1.056</v>
      </c>
      <c r="Z94" s="3"/>
      <c r="AA94" s="63"/>
      <c r="AB94" s="63"/>
      <c r="AC94" s="63"/>
      <c r="AD94" s="63"/>
      <c r="AE94" s="63"/>
      <c r="AF94" s="63"/>
      <c r="AG94" s="63"/>
      <c r="AH94" s="63"/>
      <c r="AI94" s="1"/>
      <c r="AJ94" s="1"/>
      <c r="AK94" s="1"/>
    </row>
    <row r="95" spans="1:37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159">
        <f t="shared" si="49"/>
        <v>2.5919998502017653E-2</v>
      </c>
      <c r="P95" s="211">
        <f t="shared" si="50"/>
        <v>0.10719981499246785</v>
      </c>
      <c r="Q95" s="159">
        <f t="shared" si="51"/>
        <v>4.4711032385169656</v>
      </c>
      <c r="R95" s="159">
        <f t="shared" si="52"/>
        <v>4.3639034235244978</v>
      </c>
      <c r="S95" s="159">
        <f t="shared" si="53"/>
        <v>4.5783030535094333</v>
      </c>
      <c r="T95" s="152">
        <f t="shared" si="54"/>
        <v>29587.157154591176</v>
      </c>
      <c r="U95" s="160">
        <f t="shared" si="59"/>
        <v>1.0615000000000001</v>
      </c>
      <c r="V95" s="152">
        <f t="shared" si="55"/>
        <v>23115.507006523017</v>
      </c>
      <c r="W95" s="160">
        <f t="shared" si="56"/>
        <v>1.0615000000000001</v>
      </c>
      <c r="X95" s="152">
        <f t="shared" si="57"/>
        <v>37870.67565697102</v>
      </c>
      <c r="Y95" s="160">
        <f t="shared" si="58"/>
        <v>1.0615000000000001</v>
      </c>
      <c r="Z95" s="3"/>
      <c r="AA95" s="63"/>
      <c r="AB95" s="63"/>
      <c r="AC95" s="63"/>
      <c r="AD95" s="63"/>
      <c r="AE95" s="63"/>
      <c r="AF95" s="63"/>
      <c r="AG95" s="63"/>
      <c r="AH95" s="63"/>
      <c r="AI95" s="1"/>
      <c r="AJ95" s="1"/>
      <c r="AK95" s="1"/>
    </row>
    <row r="96" spans="1:37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159">
        <f t="shared" si="49"/>
        <v>2.8164419424469962E-2</v>
      </c>
      <c r="P96" s="211">
        <f t="shared" si="50"/>
        <v>0.10852858110656943</v>
      </c>
      <c r="Q96" s="159">
        <f t="shared" si="51"/>
        <v>4.4592643757046941</v>
      </c>
      <c r="R96" s="159">
        <f t="shared" si="52"/>
        <v>4.3507357945981244</v>
      </c>
      <c r="S96" s="159">
        <f t="shared" si="53"/>
        <v>4.5677929568112638</v>
      </c>
      <c r="T96" s="152">
        <f t="shared" si="54"/>
        <v>28791.505572420712</v>
      </c>
      <c r="U96" s="160">
        <f t="shared" si="59"/>
        <v>1.0670000000000002</v>
      </c>
      <c r="V96" s="152">
        <f t="shared" si="55"/>
        <v>22425.172611949671</v>
      </c>
      <c r="W96" s="160">
        <f t="shared" si="56"/>
        <v>1.0670000000000002</v>
      </c>
      <c r="X96" s="152">
        <f t="shared" si="57"/>
        <v>36965.191192553451</v>
      </c>
      <c r="Y96" s="160">
        <f t="shared" si="58"/>
        <v>1.0670000000000002</v>
      </c>
      <c r="Z96" s="3"/>
      <c r="AA96" s="63"/>
      <c r="AB96" s="63"/>
      <c r="AC96" s="63"/>
      <c r="AD96" s="63"/>
      <c r="AE96" s="63"/>
      <c r="AF96" s="63"/>
      <c r="AG96" s="63"/>
      <c r="AH96" s="63"/>
      <c r="AI96" s="1"/>
      <c r="AJ96" s="1"/>
      <c r="AK96" s="1"/>
    </row>
    <row r="97" spans="1:37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159">
        <f t="shared" si="49"/>
        <v>3.0397300856761952E-2</v>
      </c>
      <c r="P97" s="211">
        <f t="shared" si="50"/>
        <v>0.10986179610412032</v>
      </c>
      <c r="Q97" s="159">
        <f t="shared" si="51"/>
        <v>4.4474863813505463</v>
      </c>
      <c r="R97" s="159">
        <f t="shared" si="52"/>
        <v>4.3376245852464264</v>
      </c>
      <c r="S97" s="159">
        <f t="shared" si="53"/>
        <v>4.5573481774546662</v>
      </c>
      <c r="T97" s="152">
        <f t="shared" si="54"/>
        <v>28021.177512025668</v>
      </c>
      <c r="U97" s="160">
        <f t="shared" si="59"/>
        <v>1.0725000000000002</v>
      </c>
      <c r="V97" s="152">
        <f t="shared" si="55"/>
        <v>21758.281202467497</v>
      </c>
      <c r="W97" s="160">
        <f t="shared" si="56"/>
        <v>1.0725000000000002</v>
      </c>
      <c r="X97" s="152">
        <f t="shared" si="57"/>
        <v>36086.78377919893</v>
      </c>
      <c r="Y97" s="160">
        <f t="shared" si="58"/>
        <v>1.0725000000000002</v>
      </c>
      <c r="Z97" s="3"/>
      <c r="AA97" s="63"/>
      <c r="AB97" s="63"/>
      <c r="AC97" s="63"/>
      <c r="AD97" s="63"/>
      <c r="AE97" s="63"/>
      <c r="AF97" s="63"/>
      <c r="AG97" s="63"/>
      <c r="AH97" s="63"/>
      <c r="AI97" s="1"/>
      <c r="AJ97" s="1"/>
      <c r="AK97" s="1"/>
    </row>
    <row r="98" spans="1:37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159">
        <f t="shared" si="49"/>
        <v>3.2618760850719929E-2</v>
      </c>
      <c r="P98" s="211">
        <f t="shared" ref="P98:P102" si="60">SQRT(2*$I$16*$K$24)*SQRT((1/$I$1)+((O98-$I$10)^2/$I$7))</f>
        <v>0.11119895532036203</v>
      </c>
      <c r="Q98" s="159">
        <f t="shared" si="51"/>
        <v>4.4357686327552059</v>
      </c>
      <c r="R98" s="159">
        <f t="shared" si="52"/>
        <v>4.3245696774348437</v>
      </c>
      <c r="S98" s="159">
        <f t="shared" si="53"/>
        <v>4.5469675880755682</v>
      </c>
      <c r="T98" s="152">
        <f t="shared" si="54"/>
        <v>27275.243268213046</v>
      </c>
      <c r="U98" s="160">
        <f t="shared" si="59"/>
        <v>1.0780000000000001</v>
      </c>
      <c r="V98" s="152">
        <f t="shared" si="55"/>
        <v>21113.959172444531</v>
      </c>
      <c r="W98" s="160">
        <f t="shared" si="56"/>
        <v>1.0780000000000001</v>
      </c>
      <c r="X98" s="152">
        <f t="shared" si="57"/>
        <v>35234.457415788842</v>
      </c>
      <c r="Y98" s="160">
        <f t="shared" si="58"/>
        <v>1.0780000000000001</v>
      </c>
      <c r="Z98" s="3"/>
      <c r="AA98" s="63"/>
      <c r="AB98" s="63"/>
      <c r="AC98" s="63"/>
      <c r="AD98" s="63"/>
      <c r="AE98" s="63"/>
      <c r="AF98" s="63"/>
      <c r="AG98" s="63"/>
      <c r="AH98" s="63"/>
      <c r="AI98" s="1"/>
      <c r="AJ98" s="1"/>
      <c r="AK98" s="1"/>
    </row>
    <row r="99" spans="1:37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159">
        <f t="shared" si="49"/>
        <v>3.4828915655836734E-2</v>
      </c>
      <c r="P99" s="211">
        <f t="shared" si="60"/>
        <v>0.11253958419917144</v>
      </c>
      <c r="Q99" s="159">
        <f t="shared" si="51"/>
        <v>4.4241105167262971</v>
      </c>
      <c r="R99" s="159">
        <f t="shared" si="52"/>
        <v>4.3115709325271254</v>
      </c>
      <c r="S99" s="159">
        <f t="shared" si="53"/>
        <v>4.5366501009254687</v>
      </c>
      <c r="T99" s="152">
        <f t="shared" si="54"/>
        <v>26552.811764728802</v>
      </c>
      <c r="U99" s="160">
        <f t="shared" si="59"/>
        <v>1.0834999999999999</v>
      </c>
      <c r="V99" s="152">
        <f t="shared" si="55"/>
        <v>20491.367043951268</v>
      </c>
      <c r="W99" s="160">
        <f t="shared" si="56"/>
        <v>1.0834999999999999</v>
      </c>
      <c r="X99" s="152">
        <f t="shared" si="57"/>
        <v>34407.260926070841</v>
      </c>
      <c r="Y99" s="160">
        <f t="shared" si="58"/>
        <v>1.0834999999999999</v>
      </c>
      <c r="Z99" s="3"/>
      <c r="AA99" s="63"/>
      <c r="AB99" s="63"/>
      <c r="AC99" s="63"/>
      <c r="AD99" s="63"/>
      <c r="AE99" s="63"/>
      <c r="AF99" s="63"/>
      <c r="AG99" s="63"/>
      <c r="AH99" s="63"/>
      <c r="AI99" s="1"/>
      <c r="AJ99" s="1"/>
      <c r="AK99" s="1"/>
    </row>
    <row r="100" spans="1:37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159">
        <f t="shared" si="49"/>
        <v>3.7027879755774942E-2</v>
      </c>
      <c r="P100" s="211">
        <f t="shared" si="60"/>
        <v>0.11388323652832875</v>
      </c>
      <c r="Q100" s="159">
        <f t="shared" si="51"/>
        <v>4.4125114293858374</v>
      </c>
      <c r="R100" s="159">
        <f t="shared" si="52"/>
        <v>4.2986281928575085</v>
      </c>
      <c r="S100" s="159">
        <f t="shared" si="53"/>
        <v>4.5263946659141663</v>
      </c>
      <c r="T100" s="152">
        <f t="shared" si="54"/>
        <v>25853.028764277333</v>
      </c>
      <c r="U100" s="160">
        <f t="shared" si="59"/>
        <v>1.089</v>
      </c>
      <c r="V100" s="152">
        <f t="shared" si="55"/>
        <v>19889.698178493891</v>
      </c>
      <c r="W100" s="160">
        <f t="shared" si="56"/>
        <v>1.089</v>
      </c>
      <c r="X100" s="152">
        <f t="shared" si="57"/>
        <v>33604.285509432644</v>
      </c>
      <c r="Y100" s="160">
        <f t="shared" si="58"/>
        <v>1.089</v>
      </c>
      <c r="Z100" s="3"/>
      <c r="AA100" s="63"/>
      <c r="AB100" s="63"/>
      <c r="AC100" s="63"/>
      <c r="AD100" s="63"/>
      <c r="AE100" s="63"/>
      <c r="AF100" s="63"/>
      <c r="AG100" s="63"/>
      <c r="AH100" s="63"/>
      <c r="AI100" s="1"/>
      <c r="AJ100" s="1"/>
      <c r="AK100" s="1"/>
    </row>
    <row r="101" spans="1:37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159">
        <f t="shared" si="49"/>
        <v>3.9215765903950504E-2</v>
      </c>
      <c r="P101" s="211">
        <f t="shared" si="60"/>
        <v>0.11522949277071055</v>
      </c>
      <c r="Q101" s="159">
        <f t="shared" si="51"/>
        <v>4.4009707759825449</v>
      </c>
      <c r="R101" s="159">
        <f t="shared" si="52"/>
        <v>4.2857412832118342</v>
      </c>
      <c r="S101" s="159">
        <f t="shared" si="53"/>
        <v>4.5162002687532556</v>
      </c>
      <c r="T101" s="152">
        <f t="shared" si="54"/>
        <v>25175.075169970605</v>
      </c>
      <c r="U101" s="160">
        <f t="shared" si="59"/>
        <v>1.0945</v>
      </c>
      <c r="V101" s="152">
        <f t="shared" si="55"/>
        <v>19308.177525757648</v>
      </c>
      <c r="W101" s="160">
        <f t="shared" si="56"/>
        <v>1.0945</v>
      </c>
      <c r="X101" s="152">
        <f t="shared" si="57"/>
        <v>32824.662450310723</v>
      </c>
      <c r="Y101" s="160">
        <f t="shared" si="58"/>
        <v>1.0945</v>
      </c>
      <c r="Z101" s="3"/>
      <c r="AA101" s="63"/>
      <c r="AB101" s="63"/>
      <c r="AC101" s="63"/>
      <c r="AD101" s="63"/>
      <c r="AE101" s="63"/>
      <c r="AF101" s="63"/>
      <c r="AG101" s="63"/>
      <c r="AH101" s="63"/>
      <c r="AI101" s="1"/>
      <c r="AJ101" s="1"/>
      <c r="AK101" s="1"/>
    </row>
    <row r="102" spans="1:37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159">
        <f t="shared" si="49"/>
        <v>4.1392685158225077E-2</v>
      </c>
      <c r="P102" s="211">
        <f t="shared" si="60"/>
        <v>0.11657795848822876</v>
      </c>
      <c r="Q102" s="159">
        <f t="shared" si="51"/>
        <v>4.3894879707088403</v>
      </c>
      <c r="R102" s="159">
        <f t="shared" si="52"/>
        <v>4.2729100122206116</v>
      </c>
      <c r="S102" s="159">
        <f t="shared" si="53"/>
        <v>4.5060659291970691</v>
      </c>
      <c r="T102" s="152">
        <f t="shared" si="54"/>
        <v>24518.165413106413</v>
      </c>
      <c r="U102" s="160">
        <f t="shared" si="59"/>
        <v>1.1000000000000001</v>
      </c>
      <c r="V102" s="152">
        <f t="shared" si="55"/>
        <v>18746.06040979012</v>
      </c>
      <c r="W102" s="160">
        <f t="shared" si="56"/>
        <v>1.1000000000000001</v>
      </c>
      <c r="X102" s="152">
        <f t="shared" si="57"/>
        <v>32067.560974598338</v>
      </c>
      <c r="Y102" s="160">
        <f t="shared" si="58"/>
        <v>1.1000000000000001</v>
      </c>
      <c r="Z102" s="3"/>
      <c r="AA102" s="63"/>
      <c r="AB102" s="63"/>
      <c r="AC102" s="63"/>
      <c r="AD102" s="63"/>
      <c r="AE102" s="63"/>
      <c r="AF102" s="63"/>
      <c r="AG102" s="63"/>
      <c r="AH102" s="63"/>
      <c r="AI102" s="1"/>
      <c r="AJ102" s="1"/>
      <c r="AK102" s="1"/>
    </row>
    <row r="103" spans="1:37" x14ac:dyDescent="0.2"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 x14ac:dyDescent="0.2"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 x14ac:dyDescent="0.2"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1:37" x14ac:dyDescent="0.2"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1:37" x14ac:dyDescent="0.2"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1:37" x14ac:dyDescent="0.2"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1:37" x14ac:dyDescent="0.2"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1:37" x14ac:dyDescent="0.2"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1:37" x14ac:dyDescent="0.2"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1:37" x14ac:dyDescent="0.2"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21:37" x14ac:dyDescent="0.2"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21:37" x14ac:dyDescent="0.2"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21:37" x14ac:dyDescent="0.2"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21:37" x14ac:dyDescent="0.2"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21:37" x14ac:dyDescent="0.2"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21:37" x14ac:dyDescent="0.2"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21:37" x14ac:dyDescent="0.2"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21:37" x14ac:dyDescent="0.2"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21:37" x14ac:dyDescent="0.2"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21:37" x14ac:dyDescent="0.2"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21:37" x14ac:dyDescent="0.2"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</sheetData>
  <mergeCells count="3">
    <mergeCell ref="T1:U1"/>
    <mergeCell ref="V1:W1"/>
    <mergeCell ref="X1:Y1"/>
  </mergeCells>
  <phoneticPr fontId="3" type="noConversion"/>
  <pageMargins left="0.75" right="0.75" top="1" bottom="1" header="0.5" footer="0.5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3"/>
  <sheetViews>
    <sheetView zoomScale="75" workbookViewId="0">
      <selection activeCell="J14" sqref="J14"/>
    </sheetView>
  </sheetViews>
  <sheetFormatPr defaultRowHeight="12.75" x14ac:dyDescent="0.2"/>
  <cols>
    <col min="1" max="1" width="12.140625" customWidth="1"/>
    <col min="2" max="2" width="13.7109375" bestFit="1" customWidth="1"/>
    <col min="3" max="7" width="9" bestFit="1" customWidth="1"/>
    <col min="8" max="8" width="15.28515625" customWidth="1"/>
    <col min="9" max="10" width="12.7109375" customWidth="1"/>
    <col min="11" max="11" width="15.42578125" customWidth="1"/>
    <col min="12" max="12" width="12.7109375" customWidth="1"/>
    <col min="13" max="13" width="10.5703125" bestFit="1" customWidth="1"/>
    <col min="14" max="19" width="13.140625" customWidth="1"/>
    <col min="20" max="25" width="9" customWidth="1"/>
    <col min="26" max="26" width="26.85546875" customWidth="1"/>
    <col min="27" max="27" width="14.85546875" customWidth="1"/>
    <col min="28" max="28" width="12.42578125" customWidth="1"/>
    <col min="29" max="29" width="16.7109375" customWidth="1"/>
    <col min="31" max="31" width="16.42578125" customWidth="1"/>
    <col min="32" max="32" width="11.28515625" customWidth="1"/>
    <col min="33" max="33" width="13" customWidth="1"/>
    <col min="34" max="34" width="13.42578125" customWidth="1"/>
  </cols>
  <sheetData>
    <row r="1" spans="1:37" ht="13.5" thickBot="1" x14ac:dyDescent="0.25">
      <c r="A1" s="155" t="s">
        <v>27</v>
      </c>
      <c r="B1" s="155"/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156" t="s">
        <v>33</v>
      </c>
      <c r="I1" s="157">
        <f>COUNT(C:C)</f>
        <v>2</v>
      </c>
      <c r="J1" s="3"/>
      <c r="K1" s="3"/>
      <c r="L1" s="3"/>
      <c r="M1" s="63" t="s">
        <v>28</v>
      </c>
      <c r="N1" s="63" t="s">
        <v>34</v>
      </c>
      <c r="O1" s="63" t="s">
        <v>28</v>
      </c>
      <c r="P1" s="63" t="s">
        <v>35</v>
      </c>
      <c r="Q1" s="63" t="s">
        <v>36</v>
      </c>
      <c r="R1" s="63" t="s">
        <v>37</v>
      </c>
      <c r="S1" s="63" t="s">
        <v>38</v>
      </c>
      <c r="T1" s="232" t="s">
        <v>39</v>
      </c>
      <c r="U1" s="232"/>
      <c r="V1" s="232" t="s">
        <v>40</v>
      </c>
      <c r="W1" s="232"/>
      <c r="X1" s="232" t="s">
        <v>41</v>
      </c>
      <c r="Y1" s="232"/>
      <c r="Z1" s="3" t="s">
        <v>42</v>
      </c>
      <c r="AA1" s="3"/>
      <c r="AB1" s="3"/>
      <c r="AC1" s="3"/>
      <c r="AD1" s="3"/>
      <c r="AE1" s="3"/>
      <c r="AF1" s="3"/>
      <c r="AG1" s="3"/>
      <c r="AH1" s="3"/>
      <c r="AI1" s="1"/>
      <c r="AJ1" s="1"/>
      <c r="AK1" s="1"/>
    </row>
    <row r="2" spans="1:37" ht="13.5" thickBot="1" x14ac:dyDescent="0.25">
      <c r="A2" s="53" t="str">
        <f>+Results!D23</f>
        <v/>
      </c>
      <c r="B2" s="52">
        <f>+Results!C23</f>
        <v>1</v>
      </c>
      <c r="C2" s="53" t="e">
        <f t="shared" ref="C2:D5" si="0">LOG(A2)</f>
        <v>#VALUE!</v>
      </c>
      <c r="D2" s="53">
        <f t="shared" si="0"/>
        <v>0</v>
      </c>
      <c r="E2" s="53" t="e">
        <f t="shared" ref="E2:F5" si="1">+C2^2</f>
        <v>#VALUE!</v>
      </c>
      <c r="F2" s="53">
        <f t="shared" si="1"/>
        <v>0</v>
      </c>
      <c r="G2" s="3" t="e">
        <f>+C2*D2</f>
        <v>#VALUE!</v>
      </c>
      <c r="H2" s="158" t="s">
        <v>43</v>
      </c>
      <c r="I2" s="59" t="e">
        <f>SUM(C:C)</f>
        <v>#VALUE!</v>
      </c>
      <c r="J2" s="53"/>
      <c r="K2" s="53"/>
      <c r="L2" s="53"/>
      <c r="M2" s="153" t="e">
        <f t="shared" ref="M2:M19" si="2">+C2</f>
        <v>#VALUE!</v>
      </c>
      <c r="N2" s="159" t="e">
        <f t="shared" ref="N2:N19" si="3">+$I$13+$I$12*M2</f>
        <v>#VALUE!</v>
      </c>
      <c r="O2" s="159">
        <f t="shared" ref="O2:O65" si="4">LOG($I$19+($I$20-$I$19)*(ROW()-2)/100)</f>
        <v>-9.1514981121350217E-2</v>
      </c>
      <c r="P2" s="211" t="e">
        <f t="shared" ref="P2:P33" si="5">SQRT(2*$I$16*$K$24)*SQRT((1/$I$1)+((O2-$I$10)^2/$I$7))</f>
        <v>#N/A</v>
      </c>
      <c r="Q2" s="159" t="e">
        <f t="shared" ref="Q2:Q65" si="6">+$I$13+$I$12*O2</f>
        <v>#VALUE!</v>
      </c>
      <c r="R2" s="159" t="e">
        <f t="shared" ref="R2:R65" si="7">+$I$13+$I$12*O2-P2</f>
        <v>#VALUE!</v>
      </c>
      <c r="S2" s="159" t="e">
        <f t="shared" ref="S2:S65" si="8">+$I$13+$I$12*O2+P2</f>
        <v>#VALUE!</v>
      </c>
      <c r="T2" s="152" t="e">
        <f t="shared" ref="T2:T65" si="9">10^Q2</f>
        <v>#VALUE!</v>
      </c>
      <c r="U2" s="160">
        <f>10^$O2</f>
        <v>0.81</v>
      </c>
      <c r="V2" s="152" t="e">
        <f t="shared" ref="V2:V65" si="10">10^R2</f>
        <v>#VALUE!</v>
      </c>
      <c r="W2" s="160">
        <f t="shared" ref="W2:W65" si="11">10^$O2</f>
        <v>0.81</v>
      </c>
      <c r="X2" s="152" t="e">
        <f t="shared" ref="X2:X65" si="12">10^S2</f>
        <v>#VALUE!</v>
      </c>
      <c r="Y2" s="160">
        <f t="shared" ref="Y2:Y65" si="13">10^$O2</f>
        <v>0.81</v>
      </c>
      <c r="Z2" s="3"/>
      <c r="AA2" s="3"/>
      <c r="AB2" s="3"/>
      <c r="AC2" s="3"/>
      <c r="AD2" s="3"/>
      <c r="AE2" s="3"/>
      <c r="AF2" s="3"/>
      <c r="AG2" s="3"/>
      <c r="AH2" s="3"/>
      <c r="AI2" s="1"/>
      <c r="AJ2" s="1"/>
      <c r="AK2" s="1"/>
    </row>
    <row r="3" spans="1:37" x14ac:dyDescent="0.2">
      <c r="A3" s="53" t="str">
        <f>+Results!D24</f>
        <v/>
      </c>
      <c r="B3" s="52">
        <f>+Results!C24</f>
        <v>1</v>
      </c>
      <c r="C3" s="53" t="e">
        <f t="shared" si="0"/>
        <v>#VALUE!</v>
      </c>
      <c r="D3" s="53">
        <f t="shared" si="0"/>
        <v>0</v>
      </c>
      <c r="E3" s="53" t="e">
        <f t="shared" si="1"/>
        <v>#VALUE!</v>
      </c>
      <c r="F3" s="53">
        <f t="shared" si="1"/>
        <v>0</v>
      </c>
      <c r="G3" s="3" t="e">
        <f t="shared" ref="G3:G5" si="14">+C3*D3</f>
        <v>#VALUE!</v>
      </c>
      <c r="H3" s="161" t="s">
        <v>44</v>
      </c>
      <c r="I3" s="59">
        <f>SUM(D:D)</f>
        <v>9.4817921988938352</v>
      </c>
      <c r="J3" s="53"/>
      <c r="K3" s="53"/>
      <c r="L3" s="53"/>
      <c r="M3" s="153" t="e">
        <f t="shared" si="2"/>
        <v>#VALUE!</v>
      </c>
      <c r="N3" s="159" t="e">
        <f t="shared" si="3"/>
        <v>#VALUE!</v>
      </c>
      <c r="O3" s="159">
        <f t="shared" si="4"/>
        <v>-9.1032699581612114E-2</v>
      </c>
      <c r="P3" s="211" t="e">
        <f t="shared" si="5"/>
        <v>#N/A</v>
      </c>
      <c r="Q3" s="159" t="e">
        <f t="shared" si="6"/>
        <v>#VALUE!</v>
      </c>
      <c r="R3" s="159" t="e">
        <f t="shared" si="7"/>
        <v>#VALUE!</v>
      </c>
      <c r="S3" s="159" t="e">
        <f t="shared" si="8"/>
        <v>#VALUE!</v>
      </c>
      <c r="T3" s="152" t="e">
        <f t="shared" si="9"/>
        <v>#VALUE!</v>
      </c>
      <c r="U3" s="160">
        <f t="shared" ref="U3:U66" si="15">10^O3</f>
        <v>0.81090000000000007</v>
      </c>
      <c r="V3" s="152" t="e">
        <f t="shared" si="10"/>
        <v>#VALUE!</v>
      </c>
      <c r="W3" s="160">
        <f t="shared" si="11"/>
        <v>0.81090000000000007</v>
      </c>
      <c r="X3" s="152" t="e">
        <f t="shared" si="12"/>
        <v>#VALUE!</v>
      </c>
      <c r="Y3" s="160">
        <f t="shared" si="13"/>
        <v>0.81090000000000007</v>
      </c>
      <c r="Z3" s="162" t="s">
        <v>45</v>
      </c>
      <c r="AA3" s="162"/>
      <c r="AB3" s="3"/>
      <c r="AC3" s="3"/>
      <c r="AD3" s="3"/>
      <c r="AE3" s="3"/>
      <c r="AF3" s="3"/>
      <c r="AG3" s="3"/>
      <c r="AH3" s="3"/>
      <c r="AI3" s="1"/>
      <c r="AJ3" s="1"/>
      <c r="AK3" s="1"/>
    </row>
    <row r="4" spans="1:37" x14ac:dyDescent="0.2">
      <c r="A4" s="53">
        <f>+Results!D25</f>
        <v>0.9</v>
      </c>
      <c r="B4" s="52">
        <f>+Results!C25</f>
        <v>36156</v>
      </c>
      <c r="C4" s="53">
        <f t="shared" si="0"/>
        <v>-4.5757490560675115E-2</v>
      </c>
      <c r="D4" s="53">
        <f t="shared" si="0"/>
        <v>4.5581803777209817</v>
      </c>
      <c r="E4" s="53">
        <f t="shared" si="1"/>
        <v>2.0937479424102722E-3</v>
      </c>
      <c r="F4" s="53">
        <f t="shared" si="1"/>
        <v>20.777008355840593</v>
      </c>
      <c r="G4" s="3">
        <f t="shared" si="14"/>
        <v>-0.20857089560742234</v>
      </c>
      <c r="H4" s="161" t="s">
        <v>46</v>
      </c>
      <c r="I4" s="59" t="e">
        <f>SUM(E:E)</f>
        <v>#VALUE!</v>
      </c>
      <c r="J4" s="53"/>
      <c r="K4" s="53"/>
      <c r="L4" s="53"/>
      <c r="M4" s="153">
        <f t="shared" si="2"/>
        <v>-4.5757490560675115E-2</v>
      </c>
      <c r="N4" s="159" t="e">
        <f t="shared" si="3"/>
        <v>#VALUE!</v>
      </c>
      <c r="O4" s="159">
        <f t="shared" si="4"/>
        <v>-9.0550953018733352E-2</v>
      </c>
      <c r="P4" s="211" t="e">
        <f t="shared" si="5"/>
        <v>#N/A</v>
      </c>
      <c r="Q4" s="159" t="e">
        <f t="shared" si="6"/>
        <v>#VALUE!</v>
      </c>
      <c r="R4" s="159" t="e">
        <f t="shared" si="7"/>
        <v>#VALUE!</v>
      </c>
      <c r="S4" s="159" t="e">
        <f t="shared" si="8"/>
        <v>#VALUE!</v>
      </c>
      <c r="T4" s="152" t="e">
        <f t="shared" si="9"/>
        <v>#VALUE!</v>
      </c>
      <c r="U4" s="160">
        <f t="shared" si="15"/>
        <v>0.81180000000000019</v>
      </c>
      <c r="V4" s="152" t="e">
        <f t="shared" si="10"/>
        <v>#VALUE!</v>
      </c>
      <c r="W4" s="160">
        <f t="shared" si="11"/>
        <v>0.81180000000000019</v>
      </c>
      <c r="X4" s="152" t="e">
        <f t="shared" si="12"/>
        <v>#VALUE!</v>
      </c>
      <c r="Y4" s="160">
        <f t="shared" si="13"/>
        <v>0.81180000000000019</v>
      </c>
      <c r="Z4" s="163" t="s">
        <v>47</v>
      </c>
      <c r="AA4" s="163">
        <v>0.88244046806828758</v>
      </c>
      <c r="AB4" s="3"/>
      <c r="AC4" s="3"/>
      <c r="AD4" s="3"/>
      <c r="AE4" s="3"/>
      <c r="AF4" s="3"/>
      <c r="AG4" s="3"/>
      <c r="AH4" s="3"/>
      <c r="AI4" s="1"/>
      <c r="AJ4" s="1"/>
      <c r="AK4" s="1"/>
    </row>
    <row r="5" spans="1:37" x14ac:dyDescent="0.2">
      <c r="A5" s="53">
        <f>+Results!D26</f>
        <v>0.81</v>
      </c>
      <c r="B5" s="52">
        <f>+Results!C26</f>
        <v>83871</v>
      </c>
      <c r="C5" s="53">
        <f t="shared" si="0"/>
        <v>-9.1514981121350217E-2</v>
      </c>
      <c r="D5" s="53">
        <f t="shared" si="0"/>
        <v>4.9236118211728526</v>
      </c>
      <c r="E5" s="53">
        <f t="shared" si="1"/>
        <v>8.374991769641087E-3</v>
      </c>
      <c r="F5" s="53">
        <f t="shared" si="1"/>
        <v>24.241953365593055</v>
      </c>
      <c r="G5" s="3">
        <f t="shared" si="14"/>
        <v>-0.45058424286349036</v>
      </c>
      <c r="H5" s="161" t="s">
        <v>48</v>
      </c>
      <c r="I5" s="59">
        <f>SUM(F:F)</f>
        <v>45.018961721433648</v>
      </c>
      <c r="J5" s="53"/>
      <c r="K5" s="53"/>
      <c r="L5" s="53"/>
      <c r="M5" s="153">
        <f t="shared" si="2"/>
        <v>-9.1514981121350217E-2</v>
      </c>
      <c r="N5" s="159" t="e">
        <f t="shared" si="3"/>
        <v>#VALUE!</v>
      </c>
      <c r="O5" s="159">
        <f t="shared" si="4"/>
        <v>-9.006974024716928E-2</v>
      </c>
      <c r="P5" s="211" t="e">
        <f t="shared" si="5"/>
        <v>#N/A</v>
      </c>
      <c r="Q5" s="159" t="e">
        <f t="shared" si="6"/>
        <v>#VALUE!</v>
      </c>
      <c r="R5" s="159" t="e">
        <f t="shared" si="7"/>
        <v>#VALUE!</v>
      </c>
      <c r="S5" s="159" t="e">
        <f t="shared" si="8"/>
        <v>#VALUE!</v>
      </c>
      <c r="T5" s="152" t="e">
        <f t="shared" si="9"/>
        <v>#VALUE!</v>
      </c>
      <c r="U5" s="160">
        <f t="shared" si="15"/>
        <v>0.81270000000000009</v>
      </c>
      <c r="V5" s="152" t="e">
        <f t="shared" si="10"/>
        <v>#VALUE!</v>
      </c>
      <c r="W5" s="160">
        <f t="shared" si="11"/>
        <v>0.81270000000000009</v>
      </c>
      <c r="X5" s="152" t="e">
        <f t="shared" si="12"/>
        <v>#VALUE!</v>
      </c>
      <c r="Y5" s="160">
        <f t="shared" si="13"/>
        <v>0.81270000000000009</v>
      </c>
      <c r="Z5" s="163" t="s">
        <v>49</v>
      </c>
      <c r="AA5" s="163">
        <v>0.77870117968457842</v>
      </c>
      <c r="AB5" s="3"/>
      <c r="AC5" s="3"/>
      <c r="AD5" s="3"/>
      <c r="AE5" s="3"/>
      <c r="AF5" s="3"/>
      <c r="AG5" s="3"/>
      <c r="AH5" s="3"/>
      <c r="AI5" s="1"/>
      <c r="AJ5" s="1"/>
      <c r="AK5" s="1"/>
    </row>
    <row r="6" spans="1:37" x14ac:dyDescent="0.2">
      <c r="A6" s="53"/>
      <c r="B6" s="52"/>
      <c r="C6" s="53"/>
      <c r="D6" s="53"/>
      <c r="E6" s="53"/>
      <c r="F6" s="53"/>
      <c r="G6" s="3"/>
      <c r="H6" s="161" t="s">
        <v>50</v>
      </c>
      <c r="I6" s="59" t="e">
        <f>SUM(G:G)</f>
        <v>#VALUE!</v>
      </c>
      <c r="J6" s="53"/>
      <c r="K6" s="53"/>
      <c r="L6" s="53"/>
      <c r="M6" s="153">
        <f t="shared" si="2"/>
        <v>0</v>
      </c>
      <c r="N6" s="159" t="e">
        <f t="shared" si="3"/>
        <v>#VALUE!</v>
      </c>
      <c r="O6" s="159">
        <f t="shared" si="4"/>
        <v>-8.958906008531177E-2</v>
      </c>
      <c r="P6" s="211" t="e">
        <f t="shared" si="5"/>
        <v>#N/A</v>
      </c>
      <c r="Q6" s="159" t="e">
        <f t="shared" si="6"/>
        <v>#VALUE!</v>
      </c>
      <c r="R6" s="159" t="e">
        <f t="shared" si="7"/>
        <v>#VALUE!</v>
      </c>
      <c r="S6" s="159" t="e">
        <f t="shared" si="8"/>
        <v>#VALUE!</v>
      </c>
      <c r="T6" s="152" t="e">
        <f t="shared" si="9"/>
        <v>#VALUE!</v>
      </c>
      <c r="U6" s="160">
        <f t="shared" si="15"/>
        <v>0.81359999999999999</v>
      </c>
      <c r="V6" s="152" t="e">
        <f t="shared" si="10"/>
        <v>#VALUE!</v>
      </c>
      <c r="W6" s="160">
        <f t="shared" si="11"/>
        <v>0.81359999999999999</v>
      </c>
      <c r="X6" s="152" t="e">
        <f t="shared" si="12"/>
        <v>#VALUE!</v>
      </c>
      <c r="Y6" s="160">
        <f t="shared" si="13"/>
        <v>0.81359999999999999</v>
      </c>
      <c r="Z6" s="163" t="s">
        <v>51</v>
      </c>
      <c r="AA6" s="163">
        <v>0.75103882714515069</v>
      </c>
      <c r="AB6" s="3"/>
      <c r="AC6" s="3"/>
      <c r="AD6" s="3"/>
      <c r="AE6" s="3"/>
      <c r="AF6" s="3"/>
      <c r="AG6" s="3"/>
      <c r="AH6" s="3"/>
      <c r="AI6" s="1"/>
      <c r="AJ6" s="1"/>
      <c r="AK6" s="1"/>
    </row>
    <row r="7" spans="1:37" x14ac:dyDescent="0.2">
      <c r="A7" s="53"/>
      <c r="B7" s="52"/>
      <c r="C7" s="53"/>
      <c r="D7" s="53"/>
      <c r="E7" s="53"/>
      <c r="F7" s="53"/>
      <c r="G7" s="3"/>
      <c r="H7" s="158" t="s">
        <v>52</v>
      </c>
      <c r="I7" s="164" t="e">
        <f>+I4-I2^2/$I$1</f>
        <v>#VALUE!</v>
      </c>
      <c r="J7" s="3"/>
      <c r="K7" s="3"/>
      <c r="L7" s="3"/>
      <c r="M7" s="153">
        <f t="shared" si="2"/>
        <v>0</v>
      </c>
      <c r="N7" s="159" t="e">
        <f t="shared" si="3"/>
        <v>#VALUE!</v>
      </c>
      <c r="O7" s="159">
        <f t="shared" si="4"/>
        <v>-8.9108911355471804E-2</v>
      </c>
      <c r="P7" s="211" t="e">
        <f t="shared" si="5"/>
        <v>#N/A</v>
      </c>
      <c r="Q7" s="159" t="e">
        <f t="shared" si="6"/>
        <v>#VALUE!</v>
      </c>
      <c r="R7" s="159" t="e">
        <f t="shared" si="7"/>
        <v>#VALUE!</v>
      </c>
      <c r="S7" s="159" t="e">
        <f t="shared" si="8"/>
        <v>#VALUE!</v>
      </c>
      <c r="T7" s="152" t="e">
        <f t="shared" si="9"/>
        <v>#VALUE!</v>
      </c>
      <c r="U7" s="160">
        <f t="shared" si="15"/>
        <v>0.8145</v>
      </c>
      <c r="V7" s="152" t="e">
        <f t="shared" si="10"/>
        <v>#VALUE!</v>
      </c>
      <c r="W7" s="160">
        <f t="shared" si="11"/>
        <v>0.8145</v>
      </c>
      <c r="X7" s="152" t="e">
        <f t="shared" si="12"/>
        <v>#VALUE!</v>
      </c>
      <c r="Y7" s="160">
        <f t="shared" si="13"/>
        <v>0.8145</v>
      </c>
      <c r="Z7" s="163" t="s">
        <v>53</v>
      </c>
      <c r="AA7" s="163">
        <v>4.8757093884921039</v>
      </c>
      <c r="AB7" s="3"/>
      <c r="AC7" s="3"/>
      <c r="AD7" s="3"/>
      <c r="AE7" s="3"/>
      <c r="AF7" s="3"/>
      <c r="AG7" s="3"/>
      <c r="AH7" s="3"/>
      <c r="AI7" s="1"/>
      <c r="AJ7" s="1"/>
      <c r="AK7" s="1"/>
    </row>
    <row r="8" spans="1:37" ht="15" thickBot="1" x14ac:dyDescent="0.3">
      <c r="A8" s="53"/>
      <c r="B8" s="52"/>
      <c r="C8" s="53"/>
      <c r="D8" s="53"/>
      <c r="E8" s="53"/>
      <c r="F8" s="53"/>
      <c r="G8" s="3"/>
      <c r="H8" s="161" t="s">
        <v>118</v>
      </c>
      <c r="I8" s="165">
        <f>+I5-I3^2/$I$1</f>
        <v>6.67700699316498E-2</v>
      </c>
      <c r="J8" s="151"/>
      <c r="K8" s="151"/>
      <c r="L8" s="151"/>
      <c r="M8" s="153">
        <f t="shared" si="2"/>
        <v>0</v>
      </c>
      <c r="N8" s="159" t="e">
        <f t="shared" si="3"/>
        <v>#VALUE!</v>
      </c>
      <c r="O8" s="159">
        <f t="shared" si="4"/>
        <v>-8.8629292883862051E-2</v>
      </c>
      <c r="P8" s="211" t="e">
        <f t="shared" si="5"/>
        <v>#N/A</v>
      </c>
      <c r="Q8" s="159" t="e">
        <f t="shared" si="6"/>
        <v>#VALUE!</v>
      </c>
      <c r="R8" s="159" t="e">
        <f t="shared" si="7"/>
        <v>#VALUE!</v>
      </c>
      <c r="S8" s="159" t="e">
        <f t="shared" si="8"/>
        <v>#VALUE!</v>
      </c>
      <c r="T8" s="152" t="e">
        <f t="shared" si="9"/>
        <v>#VALUE!</v>
      </c>
      <c r="U8" s="160">
        <f t="shared" si="15"/>
        <v>0.81540000000000001</v>
      </c>
      <c r="V8" s="152" t="e">
        <f t="shared" si="10"/>
        <v>#VALUE!</v>
      </c>
      <c r="W8" s="160">
        <f t="shared" si="11"/>
        <v>0.81540000000000001</v>
      </c>
      <c r="X8" s="152" t="e">
        <f t="shared" si="12"/>
        <v>#VALUE!</v>
      </c>
      <c r="Y8" s="160">
        <f t="shared" si="13"/>
        <v>0.81540000000000001</v>
      </c>
      <c r="Z8" s="166" t="s">
        <v>54</v>
      </c>
      <c r="AA8" s="166">
        <v>10</v>
      </c>
      <c r="AB8" s="3"/>
      <c r="AC8" s="3"/>
      <c r="AD8" s="3"/>
      <c r="AE8" s="3"/>
      <c r="AF8" s="3"/>
      <c r="AG8" s="3"/>
      <c r="AH8" s="3"/>
      <c r="AI8" s="1"/>
      <c r="AJ8" s="1"/>
      <c r="AK8" s="1"/>
    </row>
    <row r="9" spans="1:37" ht="13.5" thickBot="1" x14ac:dyDescent="0.25">
      <c r="A9" s="53"/>
      <c r="B9" s="52"/>
      <c r="C9" s="53"/>
      <c r="D9" s="53"/>
      <c r="E9" s="53"/>
      <c r="F9" s="53"/>
      <c r="G9" s="3"/>
      <c r="H9" s="167" t="s">
        <v>55</v>
      </c>
      <c r="I9" s="168" t="e">
        <f>+I6-I2*I3/$I$1</f>
        <v>#VALUE!</v>
      </c>
      <c r="J9" s="3"/>
      <c r="K9" s="3"/>
      <c r="L9" s="3"/>
      <c r="M9" s="153">
        <f t="shared" si="2"/>
        <v>0</v>
      </c>
      <c r="N9" s="159" t="e">
        <f t="shared" si="3"/>
        <v>#VALUE!</v>
      </c>
      <c r="O9" s="159">
        <f t="shared" si="4"/>
        <v>-8.8150203500579852E-2</v>
      </c>
      <c r="P9" s="211" t="e">
        <f t="shared" si="5"/>
        <v>#N/A</v>
      </c>
      <c r="Q9" s="159" t="e">
        <f t="shared" si="6"/>
        <v>#VALUE!</v>
      </c>
      <c r="R9" s="159" t="e">
        <f t="shared" si="7"/>
        <v>#VALUE!</v>
      </c>
      <c r="S9" s="159" t="e">
        <f t="shared" si="8"/>
        <v>#VALUE!</v>
      </c>
      <c r="T9" s="152" t="e">
        <f t="shared" si="9"/>
        <v>#VALUE!</v>
      </c>
      <c r="U9" s="160">
        <f t="shared" si="15"/>
        <v>0.81630000000000003</v>
      </c>
      <c r="V9" s="152" t="e">
        <f t="shared" si="10"/>
        <v>#VALUE!</v>
      </c>
      <c r="W9" s="160">
        <f t="shared" si="11"/>
        <v>0.81630000000000003</v>
      </c>
      <c r="X9" s="152" t="e">
        <f t="shared" si="12"/>
        <v>#VALUE!</v>
      </c>
      <c r="Y9" s="160">
        <f t="shared" si="13"/>
        <v>0.81630000000000003</v>
      </c>
      <c r="Z9" s="3"/>
      <c r="AA9" s="3"/>
      <c r="AB9" s="3"/>
      <c r="AC9" s="3"/>
      <c r="AD9" s="3"/>
      <c r="AE9" s="3"/>
      <c r="AF9" s="3"/>
      <c r="AG9" s="3"/>
      <c r="AH9" s="3"/>
      <c r="AI9" s="1"/>
      <c r="AJ9" s="1"/>
      <c r="AK9" s="1"/>
    </row>
    <row r="10" spans="1:37" ht="13.5" thickBot="1" x14ac:dyDescent="0.25">
      <c r="A10" s="53"/>
      <c r="B10" s="52"/>
      <c r="C10" s="53"/>
      <c r="D10" s="53"/>
      <c r="E10" s="53"/>
      <c r="F10" s="53"/>
      <c r="G10" s="3"/>
      <c r="H10" s="169" t="s">
        <v>56</v>
      </c>
      <c r="I10" s="157" t="e">
        <f>+I2/$I$1</f>
        <v>#VALUE!</v>
      </c>
      <c r="J10" s="3"/>
      <c r="K10" s="3"/>
      <c r="L10" s="3"/>
      <c r="M10" s="153">
        <f t="shared" si="2"/>
        <v>0</v>
      </c>
      <c r="N10" s="159" t="e">
        <f t="shared" si="3"/>
        <v>#VALUE!</v>
      </c>
      <c r="O10" s="159">
        <f t="shared" si="4"/>
        <v>-8.7671642039589992E-2</v>
      </c>
      <c r="P10" s="211" t="e">
        <f t="shared" si="5"/>
        <v>#N/A</v>
      </c>
      <c r="Q10" s="159" t="e">
        <f t="shared" si="6"/>
        <v>#VALUE!</v>
      </c>
      <c r="R10" s="159" t="e">
        <f t="shared" si="7"/>
        <v>#VALUE!</v>
      </c>
      <c r="S10" s="159" t="e">
        <f t="shared" si="8"/>
        <v>#VALUE!</v>
      </c>
      <c r="T10" s="152" t="e">
        <f t="shared" si="9"/>
        <v>#VALUE!</v>
      </c>
      <c r="U10" s="160">
        <f t="shared" si="15"/>
        <v>0.81720000000000004</v>
      </c>
      <c r="V10" s="152" t="e">
        <f t="shared" si="10"/>
        <v>#VALUE!</v>
      </c>
      <c r="W10" s="160">
        <f t="shared" si="11"/>
        <v>0.81720000000000004</v>
      </c>
      <c r="X10" s="152" t="e">
        <f t="shared" si="12"/>
        <v>#VALUE!</v>
      </c>
      <c r="Y10" s="160">
        <f t="shared" si="13"/>
        <v>0.81720000000000004</v>
      </c>
      <c r="Z10" s="3" t="s">
        <v>57</v>
      </c>
      <c r="AA10" s="3"/>
      <c r="AB10" s="3"/>
      <c r="AC10" s="3"/>
      <c r="AD10" s="3"/>
      <c r="AE10" s="3"/>
      <c r="AF10" s="3"/>
      <c r="AG10" s="3"/>
      <c r="AH10" s="3"/>
      <c r="AI10" s="1"/>
      <c r="AJ10" s="1"/>
      <c r="AK10" s="1"/>
    </row>
    <row r="11" spans="1:37" x14ac:dyDescent="0.2">
      <c r="A11" s="53"/>
      <c r="B11" s="52"/>
      <c r="C11" s="53"/>
      <c r="D11" s="53"/>
      <c r="E11" s="53"/>
      <c r="F11" s="53"/>
      <c r="G11" s="3"/>
      <c r="H11" s="161" t="s">
        <v>58</v>
      </c>
      <c r="I11" s="59">
        <f>+I3/$I$1</f>
        <v>4.7408960994469176</v>
      </c>
      <c r="J11" s="53"/>
      <c r="K11" s="53"/>
      <c r="L11" s="53"/>
      <c r="M11" s="153">
        <f t="shared" si="2"/>
        <v>0</v>
      </c>
      <c r="N11" s="159" t="e">
        <f t="shared" si="3"/>
        <v>#VALUE!</v>
      </c>
      <c r="O11" s="159">
        <f t="shared" si="4"/>
        <v>-8.7193607338707652E-2</v>
      </c>
      <c r="P11" s="211" t="e">
        <f t="shared" si="5"/>
        <v>#N/A</v>
      </c>
      <c r="Q11" s="159" t="e">
        <f t="shared" si="6"/>
        <v>#VALUE!</v>
      </c>
      <c r="R11" s="159" t="e">
        <f t="shared" si="7"/>
        <v>#VALUE!</v>
      </c>
      <c r="S11" s="159" t="e">
        <f t="shared" si="8"/>
        <v>#VALUE!</v>
      </c>
      <c r="T11" s="152" t="e">
        <f t="shared" si="9"/>
        <v>#VALUE!</v>
      </c>
      <c r="U11" s="160">
        <f t="shared" si="15"/>
        <v>0.81810000000000005</v>
      </c>
      <c r="V11" s="152" t="e">
        <f t="shared" si="10"/>
        <v>#VALUE!</v>
      </c>
      <c r="W11" s="160">
        <f t="shared" si="11"/>
        <v>0.81810000000000005</v>
      </c>
      <c r="X11" s="152" t="e">
        <f t="shared" si="12"/>
        <v>#VALUE!</v>
      </c>
      <c r="Y11" s="160">
        <f t="shared" si="13"/>
        <v>0.81810000000000005</v>
      </c>
      <c r="Z11" s="170"/>
      <c r="AA11" s="170" t="s">
        <v>59</v>
      </c>
      <c r="AB11" s="170" t="s">
        <v>60</v>
      </c>
      <c r="AC11" s="170" t="s">
        <v>61</v>
      </c>
      <c r="AD11" s="170" t="s">
        <v>62</v>
      </c>
      <c r="AE11" s="170" t="s">
        <v>63</v>
      </c>
      <c r="AF11" s="3"/>
      <c r="AG11" s="3"/>
      <c r="AH11" s="3"/>
      <c r="AI11" s="1"/>
      <c r="AJ11" s="1"/>
      <c r="AK11" s="1"/>
    </row>
    <row r="12" spans="1:37" x14ac:dyDescent="0.2">
      <c r="A12" s="53"/>
      <c r="B12" s="52"/>
      <c r="C12" s="53"/>
      <c r="D12" s="53"/>
      <c r="E12" s="53"/>
      <c r="F12" s="53"/>
      <c r="G12" s="3"/>
      <c r="H12" s="161" t="s">
        <v>64</v>
      </c>
      <c r="I12" s="164" t="e">
        <f>+I9/I7</f>
        <v>#VALUE!</v>
      </c>
      <c r="J12" s="171" t="e">
        <f>+I12</f>
        <v>#VALUE!</v>
      </c>
      <c r="K12" s="171" t="e">
        <f>1/J12</f>
        <v>#VALUE!</v>
      </c>
      <c r="L12" s="3"/>
      <c r="M12" s="153">
        <f t="shared" si="2"/>
        <v>0</v>
      </c>
      <c r="N12" s="159" t="e">
        <f t="shared" si="3"/>
        <v>#VALUE!</v>
      </c>
      <c r="O12" s="159">
        <f t="shared" si="4"/>
        <v>-8.6716098239581499E-2</v>
      </c>
      <c r="P12" s="211" t="e">
        <f t="shared" si="5"/>
        <v>#N/A</v>
      </c>
      <c r="Q12" s="159" t="e">
        <f t="shared" si="6"/>
        <v>#VALUE!</v>
      </c>
      <c r="R12" s="159" t="e">
        <f t="shared" si="7"/>
        <v>#VALUE!</v>
      </c>
      <c r="S12" s="159" t="e">
        <f t="shared" si="8"/>
        <v>#VALUE!</v>
      </c>
      <c r="T12" s="152" t="e">
        <f t="shared" si="9"/>
        <v>#VALUE!</v>
      </c>
      <c r="U12" s="160">
        <f t="shared" si="15"/>
        <v>0.81900000000000006</v>
      </c>
      <c r="V12" s="152" t="e">
        <f t="shared" si="10"/>
        <v>#VALUE!</v>
      </c>
      <c r="W12" s="160">
        <f t="shared" si="11"/>
        <v>0.81900000000000006</v>
      </c>
      <c r="X12" s="152" t="e">
        <f t="shared" si="12"/>
        <v>#VALUE!</v>
      </c>
      <c r="Y12" s="160">
        <f t="shared" si="13"/>
        <v>0.81900000000000006</v>
      </c>
      <c r="Z12" s="163" t="s">
        <v>65</v>
      </c>
      <c r="AA12" s="163">
        <v>1</v>
      </c>
      <c r="AB12" s="163">
        <v>669.20217667916086</v>
      </c>
      <c r="AC12" s="163">
        <v>669.20217667916086</v>
      </c>
      <c r="AD12" s="163">
        <v>28.150215299826005</v>
      </c>
      <c r="AE12" s="163">
        <v>7.2341618680963758E-4</v>
      </c>
      <c r="AF12" s="3"/>
      <c r="AG12" s="3"/>
      <c r="AH12" s="3"/>
      <c r="AI12" s="1"/>
      <c r="AJ12" s="1"/>
      <c r="AK12" s="1"/>
    </row>
    <row r="13" spans="1:37" x14ac:dyDescent="0.2">
      <c r="A13" s="53"/>
      <c r="B13" s="52"/>
      <c r="C13" s="53"/>
      <c r="D13" s="53"/>
      <c r="E13" s="53"/>
      <c r="F13" s="53"/>
      <c r="G13" s="3"/>
      <c r="H13" s="161" t="s">
        <v>66</v>
      </c>
      <c r="I13" s="59" t="e">
        <f>+I11-I12*I10</f>
        <v>#VALUE!</v>
      </c>
      <c r="J13" s="172" t="e">
        <f>10^I13</f>
        <v>#VALUE!</v>
      </c>
      <c r="K13" s="190" t="e">
        <f>+J13^J12</f>
        <v>#VALUE!</v>
      </c>
      <c r="L13" s="53"/>
      <c r="M13" s="153">
        <f t="shared" si="2"/>
        <v>0</v>
      </c>
      <c r="N13" s="159" t="e">
        <f t="shared" si="3"/>
        <v>#VALUE!</v>
      </c>
      <c r="O13" s="159">
        <f t="shared" si="4"/>
        <v>-8.6239113587676844E-2</v>
      </c>
      <c r="P13" s="211" t="e">
        <f t="shared" si="5"/>
        <v>#N/A</v>
      </c>
      <c r="Q13" s="159" t="e">
        <f t="shared" si="6"/>
        <v>#VALUE!</v>
      </c>
      <c r="R13" s="159" t="e">
        <f t="shared" si="7"/>
        <v>#VALUE!</v>
      </c>
      <c r="S13" s="159" t="e">
        <f t="shared" si="8"/>
        <v>#VALUE!</v>
      </c>
      <c r="T13" s="152" t="e">
        <f t="shared" si="9"/>
        <v>#VALUE!</v>
      </c>
      <c r="U13" s="160">
        <f t="shared" si="15"/>
        <v>0.81990000000000007</v>
      </c>
      <c r="V13" s="152" t="e">
        <f t="shared" si="10"/>
        <v>#VALUE!</v>
      </c>
      <c r="W13" s="160">
        <f t="shared" si="11"/>
        <v>0.81990000000000007</v>
      </c>
      <c r="X13" s="152" t="e">
        <f t="shared" si="12"/>
        <v>#VALUE!</v>
      </c>
      <c r="Y13" s="160">
        <f t="shared" si="13"/>
        <v>0.81990000000000007</v>
      </c>
      <c r="Z13" s="163" t="s">
        <v>67</v>
      </c>
      <c r="AA13" s="163">
        <v>8</v>
      </c>
      <c r="AB13" s="163">
        <v>190.18033632824034</v>
      </c>
      <c r="AC13" s="163">
        <v>23.772542041030043</v>
      </c>
      <c r="AD13" s="163"/>
      <c r="AE13" s="163"/>
      <c r="AF13" s="3"/>
      <c r="AG13" s="3"/>
      <c r="AH13" s="3"/>
      <c r="AI13" s="1"/>
      <c r="AJ13" s="1"/>
      <c r="AK13" s="1"/>
    </row>
    <row r="14" spans="1:37" ht="13.5" thickBot="1" x14ac:dyDescent="0.25">
      <c r="A14" s="53"/>
      <c r="B14" s="52"/>
      <c r="C14" s="53"/>
      <c r="D14" s="53"/>
      <c r="E14" s="53"/>
      <c r="F14" s="53"/>
      <c r="G14" s="3"/>
      <c r="H14" s="173" t="s">
        <v>68</v>
      </c>
      <c r="I14" s="60" t="e">
        <f>+I9^2/(I7*I8)</f>
        <v>#VALUE!</v>
      </c>
      <c r="J14" s="3" t="e">
        <f>"(X="&amp;TEXT(J13,"0.0")&amp;"Y^"&amp;TEXT(J12,"0.00")&amp;")"</f>
        <v>#VALUE!</v>
      </c>
      <c r="K14" s="53"/>
      <c r="L14" s="53"/>
      <c r="M14" s="153">
        <f t="shared" si="2"/>
        <v>0</v>
      </c>
      <c r="N14" s="159" t="e">
        <f t="shared" si="3"/>
        <v>#VALUE!</v>
      </c>
      <c r="O14" s="159">
        <f t="shared" si="4"/>
        <v>-8.5762652232258901E-2</v>
      </c>
      <c r="P14" s="211" t="e">
        <f t="shared" si="5"/>
        <v>#N/A</v>
      </c>
      <c r="Q14" s="159" t="e">
        <f t="shared" si="6"/>
        <v>#VALUE!</v>
      </c>
      <c r="R14" s="159" t="e">
        <f t="shared" si="7"/>
        <v>#VALUE!</v>
      </c>
      <c r="S14" s="159" t="e">
        <f t="shared" si="8"/>
        <v>#VALUE!</v>
      </c>
      <c r="T14" s="152" t="e">
        <f t="shared" si="9"/>
        <v>#VALUE!</v>
      </c>
      <c r="U14" s="160">
        <f t="shared" si="15"/>
        <v>0.82079999999999997</v>
      </c>
      <c r="V14" s="152" t="e">
        <f t="shared" si="10"/>
        <v>#VALUE!</v>
      </c>
      <c r="W14" s="160">
        <f t="shared" si="11"/>
        <v>0.82079999999999997</v>
      </c>
      <c r="X14" s="152" t="e">
        <f t="shared" si="12"/>
        <v>#VALUE!</v>
      </c>
      <c r="Y14" s="160">
        <f t="shared" si="13"/>
        <v>0.82079999999999997</v>
      </c>
      <c r="Z14" s="166" t="s">
        <v>69</v>
      </c>
      <c r="AA14" s="166">
        <v>9</v>
      </c>
      <c r="AB14" s="166">
        <v>859.38251300740126</v>
      </c>
      <c r="AC14" s="166"/>
      <c r="AD14" s="166"/>
      <c r="AE14" s="166"/>
      <c r="AF14" s="3"/>
      <c r="AG14" s="3"/>
      <c r="AH14" s="3"/>
      <c r="AI14" s="1"/>
      <c r="AJ14" s="1"/>
      <c r="AK14" s="1"/>
    </row>
    <row r="15" spans="1:37" ht="13.5" thickBot="1" x14ac:dyDescent="0.25">
      <c r="A15" s="53"/>
      <c r="B15" s="52"/>
      <c r="C15" s="53"/>
      <c r="D15" s="53"/>
      <c r="E15" s="53"/>
      <c r="F15" s="53"/>
      <c r="G15" s="3"/>
      <c r="H15" s="3" t="s">
        <v>70</v>
      </c>
      <c r="I15" s="53" t="e">
        <f>VLOOKUP($J$24,$H$33:$J$69,2)</f>
        <v>#N/A</v>
      </c>
      <c r="J15" s="53"/>
      <c r="K15" s="53"/>
      <c r="L15" s="53"/>
      <c r="M15" s="153">
        <f t="shared" si="2"/>
        <v>0</v>
      </c>
      <c r="N15" s="159" t="e">
        <f t="shared" si="3"/>
        <v>#VALUE!</v>
      </c>
      <c r="O15" s="159">
        <f t="shared" si="4"/>
        <v>-8.5286713026376124E-2</v>
      </c>
      <c r="P15" s="211" t="e">
        <f t="shared" si="5"/>
        <v>#N/A</v>
      </c>
      <c r="Q15" s="159" t="e">
        <f t="shared" si="6"/>
        <v>#VALUE!</v>
      </c>
      <c r="R15" s="159" t="e">
        <f t="shared" si="7"/>
        <v>#VALUE!</v>
      </c>
      <c r="S15" s="159" t="e">
        <f t="shared" si="8"/>
        <v>#VALUE!</v>
      </c>
      <c r="T15" s="152" t="e">
        <f t="shared" si="9"/>
        <v>#VALUE!</v>
      </c>
      <c r="U15" s="160">
        <f t="shared" si="15"/>
        <v>0.8217000000000001</v>
      </c>
      <c r="V15" s="152" t="e">
        <f t="shared" si="10"/>
        <v>#VALUE!</v>
      </c>
      <c r="W15" s="160">
        <f t="shared" si="11"/>
        <v>0.8217000000000001</v>
      </c>
      <c r="X15" s="152" t="e">
        <f t="shared" si="12"/>
        <v>#VALUE!</v>
      </c>
      <c r="Y15" s="160">
        <f t="shared" si="13"/>
        <v>0.8217000000000001</v>
      </c>
      <c r="Z15" s="3"/>
      <c r="AA15" s="3"/>
      <c r="AB15" s="3"/>
      <c r="AC15" s="3"/>
      <c r="AD15" s="3"/>
      <c r="AE15" s="3"/>
      <c r="AF15" s="3"/>
      <c r="AG15" s="3"/>
      <c r="AH15" s="3"/>
      <c r="AI15" s="1"/>
      <c r="AJ15" s="1"/>
      <c r="AK15" s="1"/>
    </row>
    <row r="16" spans="1:37" x14ac:dyDescent="0.2">
      <c r="A16" s="53"/>
      <c r="B16" s="52"/>
      <c r="C16" s="53"/>
      <c r="D16" s="53"/>
      <c r="E16" s="190"/>
      <c r="F16" s="53"/>
      <c r="G16" s="3"/>
      <c r="H16" s="3" t="s">
        <v>71</v>
      </c>
      <c r="I16" s="53" t="e">
        <f>VLOOKUP($J$24,$H$33:$J$69,3)</f>
        <v>#N/A</v>
      </c>
      <c r="J16" s="53"/>
      <c r="K16" s="53"/>
      <c r="L16" s="53"/>
      <c r="M16" s="153">
        <f t="shared" si="2"/>
        <v>0</v>
      </c>
      <c r="N16" s="159" t="e">
        <f t="shared" si="3"/>
        <v>#VALUE!</v>
      </c>
      <c r="O16" s="159">
        <f t="shared" si="4"/>
        <v>-8.4811294826843714E-2</v>
      </c>
      <c r="P16" s="211" t="e">
        <f t="shared" si="5"/>
        <v>#N/A</v>
      </c>
      <c r="Q16" s="159" t="e">
        <f t="shared" si="6"/>
        <v>#VALUE!</v>
      </c>
      <c r="R16" s="159" t="e">
        <f t="shared" si="7"/>
        <v>#VALUE!</v>
      </c>
      <c r="S16" s="159" t="e">
        <f t="shared" si="8"/>
        <v>#VALUE!</v>
      </c>
      <c r="T16" s="152" t="e">
        <f t="shared" si="9"/>
        <v>#VALUE!</v>
      </c>
      <c r="U16" s="160">
        <f t="shared" si="15"/>
        <v>0.8226</v>
      </c>
      <c r="V16" s="152" t="e">
        <f t="shared" si="10"/>
        <v>#VALUE!</v>
      </c>
      <c r="W16" s="160">
        <f t="shared" si="11"/>
        <v>0.8226</v>
      </c>
      <c r="X16" s="152" t="e">
        <f t="shared" si="12"/>
        <v>#VALUE!</v>
      </c>
      <c r="Y16" s="160">
        <f t="shared" si="13"/>
        <v>0.8226</v>
      </c>
      <c r="Z16" s="170"/>
      <c r="AA16" s="170" t="s">
        <v>72</v>
      </c>
      <c r="AB16" s="170" t="s">
        <v>53</v>
      </c>
      <c r="AC16" s="170" t="s">
        <v>73</v>
      </c>
      <c r="AD16" s="170" t="s">
        <v>74</v>
      </c>
      <c r="AE16" s="170" t="s">
        <v>75</v>
      </c>
      <c r="AF16" s="170" t="s">
        <v>76</v>
      </c>
      <c r="AG16" s="170" t="s">
        <v>77</v>
      </c>
      <c r="AH16" s="170" t="s">
        <v>78</v>
      </c>
      <c r="AI16" s="1"/>
      <c r="AJ16" s="1"/>
      <c r="AK16" s="1"/>
    </row>
    <row r="17" spans="1:37" x14ac:dyDescent="0.2">
      <c r="A17" s="53"/>
      <c r="B17" s="52"/>
      <c r="C17" s="53"/>
      <c r="D17" s="53"/>
      <c r="E17" s="53"/>
      <c r="F17" s="53"/>
      <c r="G17" s="3"/>
      <c r="H17" s="3" t="s">
        <v>79</v>
      </c>
      <c r="I17" s="3" t="e">
        <f>+I15*SQRT($K$24/$I$7)</f>
        <v>#N/A</v>
      </c>
      <c r="J17" s="3" t="e">
        <f>+I12+I17</f>
        <v>#VALUE!</v>
      </c>
      <c r="K17" s="3" t="e">
        <f>+I12-I17</f>
        <v>#VALUE!</v>
      </c>
      <c r="L17" s="3"/>
      <c r="M17" s="153">
        <f t="shared" si="2"/>
        <v>0</v>
      </c>
      <c r="N17" s="159" t="e">
        <f t="shared" si="3"/>
        <v>#VALUE!</v>
      </c>
      <c r="O17" s="159">
        <f t="shared" si="4"/>
        <v>-8.4336396494226848E-2</v>
      </c>
      <c r="P17" s="211" t="e">
        <f t="shared" si="5"/>
        <v>#N/A</v>
      </c>
      <c r="Q17" s="159" t="e">
        <f t="shared" si="6"/>
        <v>#VALUE!</v>
      </c>
      <c r="R17" s="159" t="e">
        <f t="shared" si="7"/>
        <v>#VALUE!</v>
      </c>
      <c r="S17" s="159" t="e">
        <f t="shared" si="8"/>
        <v>#VALUE!</v>
      </c>
      <c r="T17" s="152" t="e">
        <f t="shared" si="9"/>
        <v>#VALUE!</v>
      </c>
      <c r="U17" s="160">
        <f t="shared" si="15"/>
        <v>0.82350000000000012</v>
      </c>
      <c r="V17" s="152" t="e">
        <f t="shared" si="10"/>
        <v>#VALUE!</v>
      </c>
      <c r="W17" s="160">
        <f t="shared" si="11"/>
        <v>0.82350000000000012</v>
      </c>
      <c r="X17" s="152" t="e">
        <f t="shared" si="12"/>
        <v>#VALUE!</v>
      </c>
      <c r="Y17" s="160">
        <f t="shared" si="13"/>
        <v>0.82350000000000012</v>
      </c>
      <c r="Z17" s="163" t="s">
        <v>80</v>
      </c>
      <c r="AA17" s="163">
        <v>86.958826444998394</v>
      </c>
      <c r="AB17" s="163">
        <v>2.9348406973796441</v>
      </c>
      <c r="AC17" s="163">
        <v>29.629828468250114</v>
      </c>
      <c r="AD17" s="163">
        <v>1.824742265606886E-9</v>
      </c>
      <c r="AE17" s="163">
        <v>80.1910672841029</v>
      </c>
      <c r="AF17" s="163">
        <v>93.726585605893888</v>
      </c>
      <c r="AG17" s="163">
        <v>80.1910672841029</v>
      </c>
      <c r="AH17" s="163">
        <v>93.726585605893888</v>
      </c>
      <c r="AI17" s="1"/>
      <c r="AJ17" s="1"/>
      <c r="AK17" s="1"/>
    </row>
    <row r="18" spans="1:37" ht="13.5" thickBot="1" x14ac:dyDescent="0.25">
      <c r="A18" s="53"/>
      <c r="B18" s="52"/>
      <c r="C18" s="53"/>
      <c r="D18" s="53"/>
      <c r="E18" s="53"/>
      <c r="F18" s="53"/>
      <c r="G18" s="3"/>
      <c r="H18" s="3" t="s">
        <v>81</v>
      </c>
      <c r="I18" s="3" t="e">
        <f>+I15*SQRT(K24/I1)</f>
        <v>#N/A</v>
      </c>
      <c r="J18" s="53" t="e">
        <f>+I13-I18</f>
        <v>#VALUE!</v>
      </c>
      <c r="K18" s="53" t="e">
        <f>+I13+I18</f>
        <v>#VALUE!</v>
      </c>
      <c r="L18" s="3"/>
      <c r="M18" s="153">
        <f t="shared" si="2"/>
        <v>0</v>
      </c>
      <c r="N18" s="159" t="e">
        <f t="shared" si="3"/>
        <v>#VALUE!</v>
      </c>
      <c r="O18" s="159">
        <f t="shared" si="4"/>
        <v>-8.3862016892824728E-2</v>
      </c>
      <c r="P18" s="211" t="e">
        <f t="shared" si="5"/>
        <v>#N/A</v>
      </c>
      <c r="Q18" s="159" t="e">
        <f t="shared" si="6"/>
        <v>#VALUE!</v>
      </c>
      <c r="R18" s="159" t="e">
        <f t="shared" si="7"/>
        <v>#VALUE!</v>
      </c>
      <c r="S18" s="159" t="e">
        <f t="shared" si="8"/>
        <v>#VALUE!</v>
      </c>
      <c r="T18" s="152" t="e">
        <f t="shared" si="9"/>
        <v>#VALUE!</v>
      </c>
      <c r="U18" s="160">
        <f t="shared" si="15"/>
        <v>0.82440000000000002</v>
      </c>
      <c r="V18" s="152" t="e">
        <f t="shared" si="10"/>
        <v>#VALUE!</v>
      </c>
      <c r="W18" s="160">
        <f t="shared" si="11"/>
        <v>0.82440000000000002</v>
      </c>
      <c r="X18" s="152" t="e">
        <f t="shared" si="12"/>
        <v>#VALUE!</v>
      </c>
      <c r="Y18" s="160">
        <f t="shared" si="13"/>
        <v>0.82440000000000002</v>
      </c>
      <c r="Z18" s="166" t="s">
        <v>82</v>
      </c>
      <c r="AA18" s="166">
        <v>-3.9353116272950031E-4</v>
      </c>
      <c r="AB18" s="166">
        <v>7.4171706023342889E-5</v>
      </c>
      <c r="AC18" s="166">
        <v>-5.3056776475607892</v>
      </c>
      <c r="AD18" s="166">
        <v>7.2341618680962284E-4</v>
      </c>
      <c r="AE18" s="166">
        <v>-5.645715341428152E-4</v>
      </c>
      <c r="AF18" s="166">
        <v>-2.2249079131618545E-4</v>
      </c>
      <c r="AG18" s="166">
        <v>-5.645715341428152E-4</v>
      </c>
      <c r="AH18" s="166">
        <v>-2.2249079131618545E-4</v>
      </c>
      <c r="AI18" s="1"/>
      <c r="AJ18" s="1"/>
      <c r="AK18" s="1"/>
    </row>
    <row r="19" spans="1:37" x14ac:dyDescent="0.2">
      <c r="A19" s="53"/>
      <c r="B19" s="52"/>
      <c r="C19" s="53"/>
      <c r="D19" s="53"/>
      <c r="E19" s="53"/>
      <c r="F19" s="53"/>
      <c r="G19" s="3"/>
      <c r="H19" s="3" t="s">
        <v>83</v>
      </c>
      <c r="I19" s="3">
        <f>MIN(A:A)</f>
        <v>0.81</v>
      </c>
      <c r="J19" s="151"/>
      <c r="K19" s="151"/>
      <c r="L19" s="151"/>
      <c r="M19" s="153">
        <f t="shared" si="2"/>
        <v>0</v>
      </c>
      <c r="N19" s="159" t="e">
        <f t="shared" si="3"/>
        <v>#VALUE!</v>
      </c>
      <c r="O19" s="159">
        <f t="shared" si="4"/>
        <v>-8.3388154890654015E-2</v>
      </c>
      <c r="P19" s="211" t="e">
        <f t="shared" si="5"/>
        <v>#N/A</v>
      </c>
      <c r="Q19" s="159" t="e">
        <f t="shared" si="6"/>
        <v>#VALUE!</v>
      </c>
      <c r="R19" s="159" t="e">
        <f t="shared" si="7"/>
        <v>#VALUE!</v>
      </c>
      <c r="S19" s="159" t="e">
        <f t="shared" si="8"/>
        <v>#VALUE!</v>
      </c>
      <c r="T19" s="152" t="e">
        <f t="shared" si="9"/>
        <v>#VALUE!</v>
      </c>
      <c r="U19" s="160">
        <f t="shared" si="15"/>
        <v>0.82530000000000003</v>
      </c>
      <c r="V19" s="152" t="e">
        <f t="shared" si="10"/>
        <v>#VALUE!</v>
      </c>
      <c r="W19" s="160">
        <f t="shared" si="11"/>
        <v>0.82530000000000003</v>
      </c>
      <c r="X19" s="152" t="e">
        <f t="shared" si="12"/>
        <v>#VALUE!</v>
      </c>
      <c r="Y19" s="160">
        <f t="shared" si="13"/>
        <v>0.82530000000000003</v>
      </c>
      <c r="Z19" s="3"/>
      <c r="AA19" s="3"/>
      <c r="AB19" s="3"/>
      <c r="AC19" s="3"/>
      <c r="AD19" s="3"/>
      <c r="AE19" s="3"/>
      <c r="AF19" s="3"/>
      <c r="AG19" s="3"/>
      <c r="AH19" s="3"/>
      <c r="AI19" s="1"/>
      <c r="AJ19" s="1"/>
      <c r="AK19" s="1"/>
    </row>
    <row r="20" spans="1:37" ht="13.5" thickBot="1" x14ac:dyDescent="0.25">
      <c r="A20" s="53"/>
      <c r="B20" s="52"/>
      <c r="C20" s="53"/>
      <c r="D20" s="53"/>
      <c r="E20" s="53"/>
      <c r="F20" s="53"/>
      <c r="G20" s="3"/>
      <c r="H20" s="3" t="s">
        <v>84</v>
      </c>
      <c r="I20" s="3">
        <f>MAX(A:A)</f>
        <v>0.9</v>
      </c>
      <c r="J20" s="3"/>
      <c r="K20" s="3"/>
      <c r="L20" s="3"/>
      <c r="M20" s="63"/>
      <c r="N20" s="63"/>
      <c r="O20" s="159">
        <f t="shared" si="4"/>
        <v>-8.291480935943267E-2</v>
      </c>
      <c r="P20" s="211" t="e">
        <f t="shared" si="5"/>
        <v>#N/A</v>
      </c>
      <c r="Q20" s="159" t="e">
        <f t="shared" si="6"/>
        <v>#VALUE!</v>
      </c>
      <c r="R20" s="159" t="e">
        <f t="shared" si="7"/>
        <v>#VALUE!</v>
      </c>
      <c r="S20" s="159" t="e">
        <f t="shared" si="8"/>
        <v>#VALUE!</v>
      </c>
      <c r="T20" s="152" t="e">
        <f t="shared" si="9"/>
        <v>#VALUE!</v>
      </c>
      <c r="U20" s="160">
        <f t="shared" si="15"/>
        <v>0.82620000000000005</v>
      </c>
      <c r="V20" s="152" t="e">
        <f t="shared" si="10"/>
        <v>#VALUE!</v>
      </c>
      <c r="W20" s="160">
        <f t="shared" si="11"/>
        <v>0.82620000000000005</v>
      </c>
      <c r="X20" s="152" t="e">
        <f t="shared" si="12"/>
        <v>#VALUE!</v>
      </c>
      <c r="Y20" s="160">
        <f t="shared" si="13"/>
        <v>0.82620000000000005</v>
      </c>
      <c r="Z20" s="3"/>
      <c r="AA20" s="3"/>
      <c r="AB20" s="3"/>
      <c r="AC20" s="3"/>
      <c r="AD20" s="3"/>
      <c r="AE20" s="3"/>
      <c r="AF20" s="3"/>
      <c r="AG20" s="3"/>
      <c r="AH20" s="3"/>
      <c r="AI20" s="1"/>
      <c r="AJ20" s="1"/>
      <c r="AK20" s="1"/>
    </row>
    <row r="21" spans="1:37" ht="13.5" thickBot="1" x14ac:dyDescent="0.25">
      <c r="A21" s="53"/>
      <c r="B21" s="52"/>
      <c r="C21" s="53"/>
      <c r="D21" s="53"/>
      <c r="E21" s="53"/>
      <c r="F21" s="53"/>
      <c r="G21" s="3"/>
      <c r="H21" s="174" t="s">
        <v>85</v>
      </c>
      <c r="I21" s="175"/>
      <c r="J21" s="3"/>
      <c r="K21" s="3"/>
      <c r="L21" s="3"/>
      <c r="M21" s="63"/>
      <c r="N21" s="63"/>
      <c r="O21" s="159">
        <f t="shared" si="4"/>
        <v>-8.2441979174563834E-2</v>
      </c>
      <c r="P21" s="211" t="e">
        <f t="shared" si="5"/>
        <v>#N/A</v>
      </c>
      <c r="Q21" s="159" t="e">
        <f t="shared" si="6"/>
        <v>#VALUE!</v>
      </c>
      <c r="R21" s="159" t="e">
        <f t="shared" si="7"/>
        <v>#VALUE!</v>
      </c>
      <c r="S21" s="159" t="e">
        <f t="shared" si="8"/>
        <v>#VALUE!</v>
      </c>
      <c r="T21" s="152" t="e">
        <f t="shared" si="9"/>
        <v>#VALUE!</v>
      </c>
      <c r="U21" s="160">
        <f t="shared" si="15"/>
        <v>0.82709999999999995</v>
      </c>
      <c r="V21" s="152" t="e">
        <f t="shared" si="10"/>
        <v>#VALUE!</v>
      </c>
      <c r="W21" s="160">
        <f t="shared" si="11"/>
        <v>0.82709999999999995</v>
      </c>
      <c r="X21" s="152" t="e">
        <f t="shared" si="12"/>
        <v>#VALUE!</v>
      </c>
      <c r="Y21" s="160">
        <f t="shared" si="13"/>
        <v>0.82709999999999995</v>
      </c>
      <c r="Z21" s="3"/>
      <c r="AA21" s="3"/>
      <c r="AB21" s="3"/>
      <c r="AC21" s="3"/>
      <c r="AD21" s="3"/>
      <c r="AE21" s="3"/>
      <c r="AF21" s="3"/>
      <c r="AG21" s="3"/>
      <c r="AH21" s="3"/>
      <c r="AI21" s="1"/>
      <c r="AJ21" s="1"/>
      <c r="AK21" s="1"/>
    </row>
    <row r="22" spans="1:37" ht="15" x14ac:dyDescent="0.2">
      <c r="A22" s="53"/>
      <c r="B22" s="52"/>
      <c r="C22" s="53"/>
      <c r="D22" s="53"/>
      <c r="E22" s="53"/>
      <c r="F22" s="53"/>
      <c r="G22" s="3"/>
      <c r="H22" s="156"/>
      <c r="I22" s="176" t="s">
        <v>86</v>
      </c>
      <c r="J22" s="177" t="s">
        <v>87</v>
      </c>
      <c r="K22" s="178" t="s">
        <v>119</v>
      </c>
      <c r="L22" s="179" t="s">
        <v>62</v>
      </c>
      <c r="M22" s="63"/>
      <c r="N22" s="63"/>
      <c r="O22" s="159">
        <f t="shared" si="4"/>
        <v>-8.1969663215119823E-2</v>
      </c>
      <c r="P22" s="211" t="e">
        <f t="shared" si="5"/>
        <v>#N/A</v>
      </c>
      <c r="Q22" s="159" t="e">
        <f t="shared" si="6"/>
        <v>#VALUE!</v>
      </c>
      <c r="R22" s="159" t="e">
        <f t="shared" si="7"/>
        <v>#VALUE!</v>
      </c>
      <c r="S22" s="159" t="e">
        <f t="shared" si="8"/>
        <v>#VALUE!</v>
      </c>
      <c r="T22" s="152" t="e">
        <f t="shared" si="9"/>
        <v>#VALUE!</v>
      </c>
      <c r="U22" s="160">
        <f t="shared" si="15"/>
        <v>0.82799999999999996</v>
      </c>
      <c r="V22" s="152" t="e">
        <f t="shared" si="10"/>
        <v>#VALUE!</v>
      </c>
      <c r="W22" s="160">
        <f t="shared" si="11"/>
        <v>0.82799999999999996</v>
      </c>
      <c r="X22" s="152" t="e">
        <f t="shared" si="12"/>
        <v>#VALUE!</v>
      </c>
      <c r="Y22" s="160">
        <f t="shared" si="13"/>
        <v>0.82799999999999996</v>
      </c>
      <c r="Z22" s="3" t="s">
        <v>88</v>
      </c>
      <c r="AA22" s="3"/>
      <c r="AB22" s="3"/>
      <c r="AC22" s="3"/>
      <c r="AD22" s="3"/>
      <c r="AE22" s="3"/>
      <c r="AF22" s="3"/>
      <c r="AG22" s="3"/>
      <c r="AH22" s="3"/>
      <c r="AI22" s="1"/>
      <c r="AJ22" s="1"/>
      <c r="AK22" s="1"/>
    </row>
    <row r="23" spans="1:37" ht="13.5" thickBot="1" x14ac:dyDescent="0.25">
      <c r="A23" s="53"/>
      <c r="B23" s="52"/>
      <c r="C23" s="53"/>
      <c r="D23" s="53"/>
      <c r="E23" s="53"/>
      <c r="F23" s="53"/>
      <c r="G23" s="3"/>
      <c r="H23" s="158" t="s">
        <v>89</v>
      </c>
      <c r="I23" s="180" t="e">
        <f>+I9^2/I7</f>
        <v>#VALUE!</v>
      </c>
      <c r="J23" s="63">
        <v>1</v>
      </c>
      <c r="K23" s="153" t="e">
        <f>+I23/1</f>
        <v>#VALUE!</v>
      </c>
      <c r="L23" s="181" t="e">
        <f>+K23/K24</f>
        <v>#VALUE!</v>
      </c>
      <c r="M23" s="63"/>
      <c r="N23" s="63"/>
      <c r="O23" s="159">
        <f t="shared" si="4"/>
        <v>-8.1497860363826155E-2</v>
      </c>
      <c r="P23" s="211" t="e">
        <f t="shared" si="5"/>
        <v>#N/A</v>
      </c>
      <c r="Q23" s="159" t="e">
        <f t="shared" si="6"/>
        <v>#VALUE!</v>
      </c>
      <c r="R23" s="159" t="e">
        <f t="shared" si="7"/>
        <v>#VALUE!</v>
      </c>
      <c r="S23" s="159" t="e">
        <f t="shared" si="8"/>
        <v>#VALUE!</v>
      </c>
      <c r="T23" s="152" t="e">
        <f t="shared" si="9"/>
        <v>#VALUE!</v>
      </c>
      <c r="U23" s="160">
        <f t="shared" si="15"/>
        <v>0.82890000000000019</v>
      </c>
      <c r="V23" s="152" t="e">
        <f t="shared" si="10"/>
        <v>#VALUE!</v>
      </c>
      <c r="W23" s="160">
        <f t="shared" si="11"/>
        <v>0.82890000000000019</v>
      </c>
      <c r="X23" s="152" t="e">
        <f t="shared" si="12"/>
        <v>#VALUE!</v>
      </c>
      <c r="Y23" s="160">
        <f t="shared" si="13"/>
        <v>0.82890000000000019</v>
      </c>
      <c r="Z23" s="3"/>
      <c r="AA23" s="3"/>
      <c r="AB23" s="3"/>
      <c r="AC23" s="3"/>
      <c r="AD23" s="3"/>
      <c r="AE23" s="3"/>
      <c r="AF23" s="3"/>
      <c r="AG23" s="3"/>
      <c r="AH23" s="3"/>
      <c r="AI23" s="1"/>
      <c r="AJ23" s="1"/>
      <c r="AK23" s="1"/>
    </row>
    <row r="24" spans="1:37" x14ac:dyDescent="0.2">
      <c r="A24" s="53"/>
      <c r="B24" s="52"/>
      <c r="C24" s="53"/>
      <c r="D24" s="53"/>
      <c r="E24" s="53"/>
      <c r="F24" s="53"/>
      <c r="G24" s="3"/>
      <c r="H24" s="158" t="s">
        <v>67</v>
      </c>
      <c r="I24" s="182" t="e">
        <f>+I8-I23</f>
        <v>#VALUE!</v>
      </c>
      <c r="J24" s="183">
        <f>+I1-2</f>
        <v>0</v>
      </c>
      <c r="K24" s="184" t="e">
        <f>+I24/($I$1-2)</f>
        <v>#VALUE!</v>
      </c>
      <c r="L24" s="185"/>
      <c r="M24" s="3"/>
      <c r="N24" s="3"/>
      <c r="O24" s="159">
        <f t="shared" si="4"/>
        <v>-8.1026569507045731E-2</v>
      </c>
      <c r="P24" s="211" t="e">
        <f t="shared" si="5"/>
        <v>#N/A</v>
      </c>
      <c r="Q24" s="159" t="e">
        <f t="shared" si="6"/>
        <v>#VALUE!</v>
      </c>
      <c r="R24" s="159" t="e">
        <f t="shared" si="7"/>
        <v>#VALUE!</v>
      </c>
      <c r="S24" s="159" t="e">
        <f t="shared" si="8"/>
        <v>#VALUE!</v>
      </c>
      <c r="T24" s="152" t="e">
        <f t="shared" si="9"/>
        <v>#VALUE!</v>
      </c>
      <c r="U24" s="160">
        <f t="shared" si="15"/>
        <v>0.82980000000000009</v>
      </c>
      <c r="V24" s="152" t="e">
        <f t="shared" si="10"/>
        <v>#VALUE!</v>
      </c>
      <c r="W24" s="160">
        <f t="shared" si="11"/>
        <v>0.82980000000000009</v>
      </c>
      <c r="X24" s="152" t="e">
        <f t="shared" si="12"/>
        <v>#VALUE!</v>
      </c>
      <c r="Y24" s="160">
        <f t="shared" si="13"/>
        <v>0.82980000000000009</v>
      </c>
      <c r="Z24" s="170" t="s">
        <v>90</v>
      </c>
      <c r="AA24" s="170" t="s">
        <v>91</v>
      </c>
      <c r="AB24" s="170" t="s">
        <v>92</v>
      </c>
      <c r="AC24" s="170" t="s">
        <v>93</v>
      </c>
      <c r="AD24" s="3"/>
      <c r="AE24" s="3"/>
      <c r="AF24" s="3"/>
      <c r="AG24" s="3"/>
      <c r="AH24" s="3"/>
      <c r="AI24" s="1"/>
      <c r="AJ24" s="1"/>
      <c r="AK24" s="1"/>
    </row>
    <row r="25" spans="1:37" ht="13.5" thickBot="1" x14ac:dyDescent="0.25">
      <c r="A25" s="53"/>
      <c r="B25" s="52"/>
      <c r="C25" s="53"/>
      <c r="D25" s="53"/>
      <c r="E25" s="53"/>
      <c r="F25" s="53"/>
      <c r="G25" s="3"/>
      <c r="H25" s="173" t="s">
        <v>69</v>
      </c>
      <c r="I25" s="186" t="e">
        <f>SUM(I23:I24)</f>
        <v>#VALUE!</v>
      </c>
      <c r="J25" s="187">
        <f>SUM(J23:J24)</f>
        <v>1</v>
      </c>
      <c r="K25" s="188"/>
      <c r="L25" s="189"/>
      <c r="M25" s="3"/>
      <c r="N25" s="3"/>
      <c r="O25" s="159">
        <f t="shared" si="4"/>
        <v>-8.055578953476307E-2</v>
      </c>
      <c r="P25" s="211" t="e">
        <f t="shared" si="5"/>
        <v>#N/A</v>
      </c>
      <c r="Q25" s="159" t="e">
        <f t="shared" si="6"/>
        <v>#VALUE!</v>
      </c>
      <c r="R25" s="159" t="e">
        <f t="shared" si="7"/>
        <v>#VALUE!</v>
      </c>
      <c r="S25" s="159" t="e">
        <f t="shared" si="8"/>
        <v>#VALUE!</v>
      </c>
      <c r="T25" s="152" t="e">
        <f t="shared" si="9"/>
        <v>#VALUE!</v>
      </c>
      <c r="U25" s="160">
        <f t="shared" si="15"/>
        <v>0.83069999999999999</v>
      </c>
      <c r="V25" s="152" t="e">
        <f t="shared" si="10"/>
        <v>#VALUE!</v>
      </c>
      <c r="W25" s="160">
        <f t="shared" si="11"/>
        <v>0.83069999999999999</v>
      </c>
      <c r="X25" s="152" t="e">
        <f t="shared" si="12"/>
        <v>#VALUE!</v>
      </c>
      <c r="Y25" s="160">
        <f t="shared" si="13"/>
        <v>0.83069999999999999</v>
      </c>
      <c r="Z25" s="163">
        <v>1</v>
      </c>
      <c r="AA25" s="163">
        <v>64.96200857307025</v>
      </c>
      <c r="AB25" s="163">
        <v>0.47441169590722154</v>
      </c>
      <c r="AC25" s="163">
        <v>0.1032033599178334</v>
      </c>
      <c r="AD25" s="3"/>
      <c r="AE25" s="3"/>
      <c r="AF25" s="3"/>
      <c r="AG25" s="3"/>
      <c r="AH25" s="3"/>
      <c r="AI25" s="1"/>
      <c r="AJ25" s="1"/>
      <c r="AK25" s="1"/>
    </row>
    <row r="26" spans="1:37" x14ac:dyDescent="0.2">
      <c r="A26" s="53"/>
      <c r="B26" s="52"/>
      <c r="C26" s="53"/>
      <c r="D26" s="53"/>
      <c r="E26" s="53"/>
      <c r="F26" s="53"/>
      <c r="G26" s="3"/>
      <c r="H26" s="3"/>
      <c r="I26" s="3"/>
      <c r="J26" s="3"/>
      <c r="K26" s="3"/>
      <c r="L26" s="3"/>
      <c r="M26" s="3"/>
      <c r="N26" s="3"/>
      <c r="O26" s="159">
        <f t="shared" si="4"/>
        <v>-8.0085519340568428E-2</v>
      </c>
      <c r="P26" s="211" t="e">
        <f t="shared" si="5"/>
        <v>#N/A</v>
      </c>
      <c r="Q26" s="159" t="e">
        <f t="shared" si="6"/>
        <v>#VALUE!</v>
      </c>
      <c r="R26" s="159" t="e">
        <f t="shared" si="7"/>
        <v>#VALUE!</v>
      </c>
      <c r="S26" s="159" t="e">
        <f t="shared" si="8"/>
        <v>#VALUE!</v>
      </c>
      <c r="T26" s="152" t="e">
        <f t="shared" si="9"/>
        <v>#VALUE!</v>
      </c>
      <c r="U26" s="160">
        <f t="shared" si="15"/>
        <v>0.83160000000000001</v>
      </c>
      <c r="V26" s="152" t="e">
        <f t="shared" si="10"/>
        <v>#VALUE!</v>
      </c>
      <c r="W26" s="160">
        <f t="shared" si="11"/>
        <v>0.83160000000000001</v>
      </c>
      <c r="X26" s="152" t="e">
        <f t="shared" si="12"/>
        <v>#VALUE!</v>
      </c>
      <c r="Y26" s="160">
        <f t="shared" si="13"/>
        <v>0.83160000000000001</v>
      </c>
      <c r="Z26" s="163">
        <v>2</v>
      </c>
      <c r="AA26" s="163">
        <v>84.735375375576723</v>
      </c>
      <c r="AB26" s="163">
        <v>8.1224337994435558</v>
      </c>
      <c r="AC26" s="163">
        <v>1.7669515023438278</v>
      </c>
      <c r="AD26" s="3"/>
      <c r="AE26" s="3"/>
      <c r="AF26" s="3"/>
      <c r="AG26" s="3"/>
      <c r="AH26" s="3"/>
      <c r="AI26" s="1"/>
      <c r="AJ26" s="1"/>
      <c r="AK26" s="1"/>
    </row>
    <row r="27" spans="1:37" x14ac:dyDescent="0.2">
      <c r="A27" s="53"/>
      <c r="B27" s="52"/>
      <c r="C27" s="53"/>
      <c r="D27" s="53"/>
      <c r="E27" s="53"/>
      <c r="F27" s="53"/>
      <c r="G27" s="3"/>
      <c r="H27" s="3"/>
      <c r="I27" s="3"/>
      <c r="J27" s="3"/>
      <c r="K27" s="3"/>
      <c r="L27" s="3"/>
      <c r="M27" s="3"/>
      <c r="N27" s="3"/>
      <c r="O27" s="159">
        <f t="shared" si="4"/>
        <v>-7.9615757821642513E-2</v>
      </c>
      <c r="P27" s="211" t="e">
        <f t="shared" si="5"/>
        <v>#N/A</v>
      </c>
      <c r="Q27" s="159" t="e">
        <f t="shared" si="6"/>
        <v>#VALUE!</v>
      </c>
      <c r="R27" s="159" t="e">
        <f t="shared" si="7"/>
        <v>#VALUE!</v>
      </c>
      <c r="S27" s="159" t="e">
        <f t="shared" si="8"/>
        <v>#VALUE!</v>
      </c>
      <c r="T27" s="152" t="e">
        <f t="shared" si="9"/>
        <v>#VALUE!</v>
      </c>
      <c r="U27" s="160">
        <f t="shared" si="15"/>
        <v>0.83250000000000002</v>
      </c>
      <c r="V27" s="152" t="e">
        <f t="shared" si="10"/>
        <v>#VALUE!</v>
      </c>
      <c r="W27" s="160">
        <f t="shared" si="11"/>
        <v>0.83250000000000002</v>
      </c>
      <c r="X27" s="152" t="e">
        <f t="shared" si="12"/>
        <v>#VALUE!</v>
      </c>
      <c r="Y27" s="160">
        <f t="shared" si="13"/>
        <v>0.83250000000000002</v>
      </c>
      <c r="Z27" s="163">
        <v>3</v>
      </c>
      <c r="AA27" s="163">
        <v>72.398960486332342</v>
      </c>
      <c r="AB27" s="163">
        <v>-3.7728515527469852</v>
      </c>
      <c r="AC27" s="163">
        <v>-0.82074485109416684</v>
      </c>
      <c r="AD27" s="3"/>
      <c r="AE27" s="3"/>
      <c r="AF27" s="3"/>
      <c r="AG27" s="3"/>
      <c r="AH27" s="3"/>
      <c r="AI27" s="1"/>
      <c r="AJ27" s="1"/>
      <c r="AK27" s="1"/>
    </row>
    <row r="28" spans="1:37" x14ac:dyDescent="0.2">
      <c r="A28" s="53"/>
      <c r="B28" s="52"/>
      <c r="C28" s="53"/>
      <c r="D28" s="53"/>
      <c r="E28" s="53"/>
      <c r="F28" s="53"/>
      <c r="G28" s="3"/>
      <c r="H28" s="3"/>
      <c r="I28" s="53"/>
      <c r="J28" s="3"/>
      <c r="K28" s="3"/>
      <c r="L28" s="3"/>
      <c r="M28" s="163"/>
      <c r="N28" s="163"/>
      <c r="O28" s="159">
        <f t="shared" si="4"/>
        <v>-7.9146503878740782E-2</v>
      </c>
      <c r="P28" s="211" t="e">
        <f t="shared" si="5"/>
        <v>#N/A</v>
      </c>
      <c r="Q28" s="159" t="e">
        <f t="shared" si="6"/>
        <v>#VALUE!</v>
      </c>
      <c r="R28" s="159" t="e">
        <f t="shared" si="7"/>
        <v>#VALUE!</v>
      </c>
      <c r="S28" s="159" t="e">
        <f t="shared" si="8"/>
        <v>#VALUE!</v>
      </c>
      <c r="T28" s="152" t="e">
        <f t="shared" si="9"/>
        <v>#VALUE!</v>
      </c>
      <c r="U28" s="160">
        <f t="shared" si="15"/>
        <v>0.83340000000000003</v>
      </c>
      <c r="V28" s="152" t="e">
        <f t="shared" si="10"/>
        <v>#VALUE!</v>
      </c>
      <c r="W28" s="160">
        <f t="shared" si="11"/>
        <v>0.83340000000000003</v>
      </c>
      <c r="X28" s="152" t="e">
        <f t="shared" si="12"/>
        <v>#VALUE!</v>
      </c>
      <c r="Y28" s="160">
        <f t="shared" si="13"/>
        <v>0.83340000000000003</v>
      </c>
      <c r="Z28" s="163">
        <v>4</v>
      </c>
      <c r="AA28" s="163">
        <v>83.967989608254186</v>
      </c>
      <c r="AB28" s="163">
        <v>3.5389412932821216</v>
      </c>
      <c r="AC28" s="163">
        <v>0.76986009234077568</v>
      </c>
      <c r="AD28" s="3"/>
      <c r="AE28" s="3"/>
      <c r="AF28" s="3"/>
      <c r="AG28" s="3"/>
      <c r="AH28" s="3"/>
      <c r="AI28" s="1"/>
      <c r="AJ28" s="1"/>
      <c r="AK28" s="1"/>
    </row>
    <row r="29" spans="1:37" x14ac:dyDescent="0.2">
      <c r="A29" s="53"/>
      <c r="B29" s="52"/>
      <c r="C29" s="53"/>
      <c r="D29" s="53"/>
      <c r="E29" s="53"/>
      <c r="F29" s="53"/>
      <c r="G29" s="3"/>
      <c r="H29" s="3" t="s">
        <v>94</v>
      </c>
      <c r="I29" s="190" t="e">
        <f>10^$I$13</f>
        <v>#VALUE!</v>
      </c>
      <c r="J29" s="3" t="s">
        <v>95</v>
      </c>
      <c r="K29" s="3" t="s">
        <v>96</v>
      </c>
      <c r="L29" s="151" t="e">
        <f>+I12</f>
        <v>#VALUE!</v>
      </c>
      <c r="M29" s="163"/>
      <c r="N29" s="163"/>
      <c r="O29" s="159">
        <f t="shared" si="4"/>
        <v>-7.8677756416178024E-2</v>
      </c>
      <c r="P29" s="211" t="e">
        <f t="shared" si="5"/>
        <v>#N/A</v>
      </c>
      <c r="Q29" s="159" t="e">
        <f t="shared" si="6"/>
        <v>#VALUE!</v>
      </c>
      <c r="R29" s="159" t="e">
        <f t="shared" si="7"/>
        <v>#VALUE!</v>
      </c>
      <c r="S29" s="159" t="e">
        <f t="shared" si="8"/>
        <v>#VALUE!</v>
      </c>
      <c r="T29" s="152" t="e">
        <f t="shared" si="9"/>
        <v>#VALUE!</v>
      </c>
      <c r="U29" s="160">
        <f t="shared" si="15"/>
        <v>0.83430000000000004</v>
      </c>
      <c r="V29" s="152" t="e">
        <f t="shared" si="10"/>
        <v>#VALUE!</v>
      </c>
      <c r="W29" s="160">
        <f t="shared" si="11"/>
        <v>0.83430000000000004</v>
      </c>
      <c r="X29" s="152" t="e">
        <f t="shared" si="12"/>
        <v>#VALUE!</v>
      </c>
      <c r="Y29" s="160">
        <f t="shared" si="13"/>
        <v>0.83430000000000004</v>
      </c>
      <c r="Z29" s="163">
        <v>5</v>
      </c>
      <c r="AA29" s="163">
        <v>80.249513651623147</v>
      </c>
      <c r="AB29" s="163">
        <v>-3.074627132090697</v>
      </c>
      <c r="AC29" s="163">
        <v>-0.66885334671080132</v>
      </c>
      <c r="AD29" s="3"/>
      <c r="AE29" s="3"/>
      <c r="AF29" s="3"/>
      <c r="AG29" s="3"/>
      <c r="AH29" s="3"/>
      <c r="AI29" s="1"/>
      <c r="AJ29" s="1"/>
      <c r="AK29" s="1"/>
    </row>
    <row r="30" spans="1:37" ht="15.75" x14ac:dyDescent="0.2">
      <c r="A30" s="154"/>
      <c r="B30" s="154"/>
      <c r="C30" s="160"/>
      <c r="D30" s="3"/>
      <c r="E30" s="3"/>
      <c r="F30" s="3"/>
      <c r="G30" s="3"/>
      <c r="H30" s="3"/>
      <c r="I30" s="3"/>
      <c r="J30" s="3"/>
      <c r="K30" s="3"/>
      <c r="L30" s="3"/>
      <c r="M30" s="163"/>
      <c r="N30" s="163"/>
      <c r="O30" s="159">
        <f t="shared" si="4"/>
        <v>-7.820951434181303E-2</v>
      </c>
      <c r="P30" s="211" t="e">
        <f t="shared" si="5"/>
        <v>#N/A</v>
      </c>
      <c r="Q30" s="159" t="e">
        <f t="shared" si="6"/>
        <v>#VALUE!</v>
      </c>
      <c r="R30" s="159" t="e">
        <f t="shared" si="7"/>
        <v>#VALUE!</v>
      </c>
      <c r="S30" s="159" t="e">
        <f t="shared" si="8"/>
        <v>#VALUE!</v>
      </c>
      <c r="T30" s="152" t="e">
        <f t="shared" si="9"/>
        <v>#VALUE!</v>
      </c>
      <c r="U30" s="160">
        <f t="shared" si="15"/>
        <v>0.83520000000000005</v>
      </c>
      <c r="V30" s="152" t="e">
        <f t="shared" si="10"/>
        <v>#VALUE!</v>
      </c>
      <c r="W30" s="160">
        <f t="shared" si="11"/>
        <v>0.83520000000000005</v>
      </c>
      <c r="X30" s="152" t="e">
        <f t="shared" si="12"/>
        <v>#VALUE!</v>
      </c>
      <c r="Y30" s="160">
        <f t="shared" si="13"/>
        <v>0.83520000000000005</v>
      </c>
      <c r="Z30" s="163">
        <v>6</v>
      </c>
      <c r="AA30" s="163">
        <v>78.183475047293271</v>
      </c>
      <c r="AB30" s="163">
        <v>-4.5407034997025164</v>
      </c>
      <c r="AC30" s="163">
        <v>-0.98778310400595504</v>
      </c>
      <c r="AD30" s="3"/>
      <c r="AE30" s="3"/>
      <c r="AF30" s="3"/>
      <c r="AG30" s="3"/>
      <c r="AH30" s="3"/>
      <c r="AI30" s="1"/>
      <c r="AJ30" s="1"/>
      <c r="AK30" s="1"/>
    </row>
    <row r="31" spans="1:37" ht="16.5" thickBot="1" x14ac:dyDescent="0.25">
      <c r="A31" s="154"/>
      <c r="B31" s="154"/>
      <c r="C31" s="160"/>
      <c r="D31" s="3"/>
      <c r="E31" s="3"/>
      <c r="F31" s="3"/>
      <c r="G31" s="3"/>
      <c r="H31" s="3"/>
      <c r="I31" s="3"/>
      <c r="J31" s="3"/>
      <c r="K31" s="3"/>
      <c r="L31" s="3"/>
      <c r="M31" s="163"/>
      <c r="N31" s="163"/>
      <c r="O31" s="159">
        <f t="shared" si="4"/>
        <v>-7.7741776567033322E-2</v>
      </c>
      <c r="P31" s="211" t="e">
        <f t="shared" si="5"/>
        <v>#N/A</v>
      </c>
      <c r="Q31" s="159" t="e">
        <f t="shared" si="6"/>
        <v>#VALUE!</v>
      </c>
      <c r="R31" s="159" t="e">
        <f t="shared" si="7"/>
        <v>#VALUE!</v>
      </c>
      <c r="S31" s="159" t="e">
        <f t="shared" si="8"/>
        <v>#VALUE!</v>
      </c>
      <c r="T31" s="152" t="e">
        <f t="shared" si="9"/>
        <v>#VALUE!</v>
      </c>
      <c r="U31" s="160">
        <f t="shared" si="15"/>
        <v>0.83610000000000018</v>
      </c>
      <c r="V31" s="152" t="e">
        <f t="shared" si="10"/>
        <v>#VALUE!</v>
      </c>
      <c r="W31" s="160">
        <f t="shared" si="11"/>
        <v>0.83610000000000018</v>
      </c>
      <c r="X31" s="152" t="e">
        <f t="shared" si="12"/>
        <v>#VALUE!</v>
      </c>
      <c r="Y31" s="160">
        <f t="shared" si="13"/>
        <v>0.83610000000000018</v>
      </c>
      <c r="Z31" s="163">
        <v>7</v>
      </c>
      <c r="AA31" s="163">
        <v>58.292048895967945</v>
      </c>
      <c r="AB31" s="163">
        <v>5.5384635753090379</v>
      </c>
      <c r="AC31" s="163">
        <v>1.2048354934870995</v>
      </c>
      <c r="AD31" s="3"/>
      <c r="AE31" s="3"/>
      <c r="AF31" s="3"/>
      <c r="AG31" s="3"/>
      <c r="AH31" s="3"/>
      <c r="AI31" s="1"/>
      <c r="AJ31" s="1"/>
      <c r="AK31" s="1"/>
    </row>
    <row r="32" spans="1:37" ht="16.5" thickBot="1" x14ac:dyDescent="0.25">
      <c r="A32" s="154"/>
      <c r="B32" s="154"/>
      <c r="C32" s="160"/>
      <c r="D32" s="3"/>
      <c r="E32" s="3"/>
      <c r="F32" s="3"/>
      <c r="G32" s="3"/>
      <c r="H32" s="174" t="s">
        <v>33</v>
      </c>
      <c r="I32" s="191" t="s">
        <v>97</v>
      </c>
      <c r="J32" s="191" t="s">
        <v>98</v>
      </c>
      <c r="K32" s="191"/>
      <c r="L32" s="192">
        <v>0.95</v>
      </c>
      <c r="M32" s="163"/>
      <c r="N32" s="163"/>
      <c r="O32" s="159">
        <f t="shared" si="4"/>
        <v>-7.7274542006739971E-2</v>
      </c>
      <c r="P32" s="211" t="e">
        <f t="shared" si="5"/>
        <v>#N/A</v>
      </c>
      <c r="Q32" s="159" t="e">
        <f t="shared" si="6"/>
        <v>#VALUE!</v>
      </c>
      <c r="R32" s="159" t="e">
        <f t="shared" si="7"/>
        <v>#VALUE!</v>
      </c>
      <c r="S32" s="159" t="e">
        <f t="shared" si="8"/>
        <v>#VALUE!</v>
      </c>
      <c r="T32" s="152" t="e">
        <f t="shared" si="9"/>
        <v>#VALUE!</v>
      </c>
      <c r="U32" s="160">
        <f t="shared" si="15"/>
        <v>0.83700000000000008</v>
      </c>
      <c r="V32" s="152" t="e">
        <f t="shared" si="10"/>
        <v>#VALUE!</v>
      </c>
      <c r="W32" s="160">
        <f t="shared" si="11"/>
        <v>0.83700000000000008</v>
      </c>
      <c r="X32" s="152" t="e">
        <f t="shared" si="12"/>
        <v>#VALUE!</v>
      </c>
      <c r="Y32" s="160">
        <f t="shared" si="13"/>
        <v>0.83700000000000008</v>
      </c>
      <c r="Z32" s="163">
        <v>8</v>
      </c>
      <c r="AA32" s="163">
        <v>76.17685964853554</v>
      </c>
      <c r="AB32" s="163">
        <v>-1.6616650429208448</v>
      </c>
      <c r="AC32" s="163">
        <v>-0.36147805158871843</v>
      </c>
      <c r="AD32" s="3"/>
      <c r="AE32" s="3"/>
      <c r="AF32" s="3"/>
      <c r="AG32" s="3"/>
      <c r="AH32" s="3"/>
      <c r="AI32" s="1"/>
      <c r="AJ32" s="1"/>
      <c r="AK32" s="1"/>
    </row>
    <row r="33" spans="1:37" ht="15.75" x14ac:dyDescent="0.2">
      <c r="A33" s="154"/>
      <c r="B33" s="154"/>
      <c r="C33" s="160"/>
      <c r="D33" s="3"/>
      <c r="E33" s="3"/>
      <c r="F33" s="3"/>
      <c r="G33" s="3"/>
      <c r="H33" s="158">
        <v>1</v>
      </c>
      <c r="I33" s="63">
        <v>12.706</v>
      </c>
      <c r="J33" s="63">
        <v>199.5</v>
      </c>
      <c r="K33" s="63"/>
      <c r="L33" s="164"/>
      <c r="M33" s="63"/>
      <c r="N33" s="63"/>
      <c r="O33" s="159">
        <f t="shared" si="4"/>
        <v>-7.6807809579332462E-2</v>
      </c>
      <c r="P33" s="211" t="e">
        <f t="shared" si="5"/>
        <v>#N/A</v>
      </c>
      <c r="Q33" s="159" t="e">
        <f t="shared" si="6"/>
        <v>#VALUE!</v>
      </c>
      <c r="R33" s="159" t="e">
        <f t="shared" si="7"/>
        <v>#VALUE!</v>
      </c>
      <c r="S33" s="159" t="e">
        <f t="shared" si="8"/>
        <v>#VALUE!</v>
      </c>
      <c r="T33" s="152" t="e">
        <f t="shared" si="9"/>
        <v>#VALUE!</v>
      </c>
      <c r="U33" s="160">
        <f t="shared" si="15"/>
        <v>0.83789999999999998</v>
      </c>
      <c r="V33" s="152" t="e">
        <f t="shared" si="10"/>
        <v>#VALUE!</v>
      </c>
      <c r="W33" s="160">
        <f t="shared" si="11"/>
        <v>0.83789999999999998</v>
      </c>
      <c r="X33" s="152" t="e">
        <f t="shared" si="12"/>
        <v>#VALUE!</v>
      </c>
      <c r="Y33" s="160">
        <f t="shared" si="13"/>
        <v>0.83789999999999998</v>
      </c>
      <c r="Z33" s="163">
        <v>9</v>
      </c>
      <c r="AA33" s="163">
        <v>66.37832722773372</v>
      </c>
      <c r="AB33" s="163">
        <v>1.0806764711593644</v>
      </c>
      <c r="AC33" s="163">
        <v>0.23508999413371393</v>
      </c>
      <c r="AD33" s="3"/>
      <c r="AE33" s="3"/>
      <c r="AF33" s="3"/>
      <c r="AG33" s="3"/>
      <c r="AH33" s="3"/>
      <c r="AI33" s="1"/>
      <c r="AJ33" s="1"/>
      <c r="AK33" s="1"/>
    </row>
    <row r="34" spans="1:37" ht="16.5" thickBot="1" x14ac:dyDescent="0.25">
      <c r="A34" s="154"/>
      <c r="B34" s="154"/>
      <c r="C34" s="160"/>
      <c r="D34" s="3"/>
      <c r="E34" s="3"/>
      <c r="F34" s="3"/>
      <c r="G34" s="3"/>
      <c r="H34" s="158">
        <v>2</v>
      </c>
      <c r="I34" s="63">
        <v>4.3029999999999999</v>
      </c>
      <c r="J34" s="63">
        <v>19</v>
      </c>
      <c r="K34" s="63"/>
      <c r="L34" s="164"/>
      <c r="M34" s="63"/>
      <c r="N34" s="63"/>
      <c r="O34" s="159">
        <f t="shared" si="4"/>
        <v>-7.6341578206693766E-2</v>
      </c>
      <c r="P34" s="211" t="e">
        <f t="shared" ref="P34:P65" si="16">SQRT(2*$I$16*$K$24)*SQRT((1/$I$1)+((O34-$I$10)^2/$I$7))</f>
        <v>#N/A</v>
      </c>
      <c r="Q34" s="159" t="e">
        <f t="shared" si="6"/>
        <v>#VALUE!</v>
      </c>
      <c r="R34" s="159" t="e">
        <f t="shared" si="7"/>
        <v>#VALUE!</v>
      </c>
      <c r="S34" s="159" t="e">
        <f t="shared" si="8"/>
        <v>#VALUE!</v>
      </c>
      <c r="T34" s="152" t="e">
        <f t="shared" si="9"/>
        <v>#VALUE!</v>
      </c>
      <c r="U34" s="160">
        <f t="shared" si="15"/>
        <v>0.83879999999999999</v>
      </c>
      <c r="V34" s="152" t="e">
        <f t="shared" si="10"/>
        <v>#VALUE!</v>
      </c>
      <c r="W34" s="160">
        <f t="shared" si="11"/>
        <v>0.83879999999999999</v>
      </c>
      <c r="X34" s="152" t="e">
        <f t="shared" si="12"/>
        <v>#VALUE!</v>
      </c>
      <c r="Y34" s="160">
        <f t="shared" si="13"/>
        <v>0.83879999999999999</v>
      </c>
      <c r="Z34" s="166">
        <v>10</v>
      </c>
      <c r="AA34" s="166">
        <v>71.750027598991394</v>
      </c>
      <c r="AB34" s="166">
        <v>-5.705079607640414</v>
      </c>
      <c r="AC34" s="166">
        <v>-1.2410810888236428</v>
      </c>
      <c r="AD34" s="3"/>
      <c r="AE34" s="3"/>
      <c r="AF34" s="3"/>
      <c r="AG34" s="3"/>
      <c r="AH34" s="3"/>
      <c r="AI34" s="1"/>
      <c r="AJ34" s="1"/>
      <c r="AK34" s="1"/>
    </row>
    <row r="35" spans="1:37" ht="15.75" x14ac:dyDescent="0.2">
      <c r="A35" s="154"/>
      <c r="B35" s="154"/>
      <c r="C35" s="160"/>
      <c r="D35" s="3"/>
      <c r="E35" s="3"/>
      <c r="F35" s="3"/>
      <c r="G35" s="3"/>
      <c r="H35" s="158">
        <v>3</v>
      </c>
      <c r="I35" s="63">
        <v>3.1819999999999999</v>
      </c>
      <c r="J35" s="63">
        <v>9.5500000000000007</v>
      </c>
      <c r="K35" s="63"/>
      <c r="L35" s="164"/>
      <c r="M35" s="63"/>
      <c r="N35" s="63"/>
      <c r="O35" s="159">
        <f t="shared" si="4"/>
        <v>-7.5875846814175182E-2</v>
      </c>
      <c r="P35" s="211" t="e">
        <f t="shared" si="16"/>
        <v>#N/A</v>
      </c>
      <c r="Q35" s="159" t="e">
        <f t="shared" si="6"/>
        <v>#VALUE!</v>
      </c>
      <c r="R35" s="159" t="e">
        <f t="shared" si="7"/>
        <v>#VALUE!</v>
      </c>
      <c r="S35" s="159" t="e">
        <f t="shared" si="8"/>
        <v>#VALUE!</v>
      </c>
      <c r="T35" s="152" t="e">
        <f t="shared" si="9"/>
        <v>#VALUE!</v>
      </c>
      <c r="U35" s="160">
        <f t="shared" si="15"/>
        <v>0.83969999999999989</v>
      </c>
      <c r="V35" s="152" t="e">
        <f t="shared" si="10"/>
        <v>#VALUE!</v>
      </c>
      <c r="W35" s="160">
        <f t="shared" si="11"/>
        <v>0.83969999999999989</v>
      </c>
      <c r="X35" s="152" t="e">
        <f t="shared" si="12"/>
        <v>#VALUE!</v>
      </c>
      <c r="Y35" s="160">
        <f t="shared" si="13"/>
        <v>0.83969999999999989</v>
      </c>
      <c r="Z35" s="163">
        <v>11</v>
      </c>
      <c r="AA35" s="163">
        <v>1.8219740757524479</v>
      </c>
      <c r="AB35" s="163">
        <v>-2.3572384393459211E-2</v>
      </c>
      <c r="AC35" s="163">
        <v>-2.1105589333618084</v>
      </c>
      <c r="AD35" s="3"/>
      <c r="AE35" s="3"/>
      <c r="AF35" s="3"/>
      <c r="AG35" s="3"/>
      <c r="AH35" s="3"/>
      <c r="AI35" s="1"/>
      <c r="AJ35" s="1"/>
      <c r="AK35" s="1"/>
    </row>
    <row r="36" spans="1:37" ht="16.5" thickBot="1" x14ac:dyDescent="0.25">
      <c r="A36" s="154"/>
      <c r="B36" s="154"/>
      <c r="C36" s="160"/>
      <c r="D36" s="3"/>
      <c r="E36" s="3"/>
      <c r="F36" s="3"/>
      <c r="G36" s="3"/>
      <c r="H36" s="158">
        <v>4</v>
      </c>
      <c r="I36" s="63">
        <v>2.7764000000000002</v>
      </c>
      <c r="J36" s="63">
        <v>6.94</v>
      </c>
      <c r="K36" s="63"/>
      <c r="L36" s="164"/>
      <c r="M36" s="63"/>
      <c r="N36" s="63"/>
      <c r="O36" s="159">
        <f t="shared" si="4"/>
        <v>-7.5410614330581757E-2</v>
      </c>
      <c r="P36" s="211" t="e">
        <f t="shared" si="16"/>
        <v>#N/A</v>
      </c>
      <c r="Q36" s="159" t="e">
        <f t="shared" si="6"/>
        <v>#VALUE!</v>
      </c>
      <c r="R36" s="159" t="e">
        <f t="shared" si="7"/>
        <v>#VALUE!</v>
      </c>
      <c r="S36" s="159" t="e">
        <f t="shared" si="8"/>
        <v>#VALUE!</v>
      </c>
      <c r="T36" s="152" t="e">
        <f t="shared" si="9"/>
        <v>#VALUE!</v>
      </c>
      <c r="U36" s="160">
        <f t="shared" si="15"/>
        <v>0.84060000000000001</v>
      </c>
      <c r="V36" s="152" t="e">
        <f t="shared" si="10"/>
        <v>#VALUE!</v>
      </c>
      <c r="W36" s="160">
        <f t="shared" si="11"/>
        <v>0.84060000000000001</v>
      </c>
      <c r="X36" s="152" t="e">
        <f t="shared" si="12"/>
        <v>#VALUE!</v>
      </c>
      <c r="Y36" s="160">
        <f t="shared" si="13"/>
        <v>0.84060000000000001</v>
      </c>
      <c r="Z36" s="166">
        <v>12</v>
      </c>
      <c r="AA36" s="166">
        <v>1.7418458667896419</v>
      </c>
      <c r="AB36" s="166">
        <v>5.198026089093144E-3</v>
      </c>
      <c r="AC36" s="166">
        <v>0.46540647798138757</v>
      </c>
      <c r="AD36" s="3"/>
      <c r="AE36" s="3"/>
      <c r="AF36" s="3"/>
      <c r="AG36" s="3"/>
      <c r="AH36" s="3"/>
      <c r="AI36" s="1"/>
      <c r="AJ36" s="1"/>
      <c r="AK36" s="1"/>
    </row>
    <row r="37" spans="1:37" ht="15.75" x14ac:dyDescent="0.2">
      <c r="A37" s="154"/>
      <c r="B37" s="154"/>
      <c r="C37" s="160"/>
      <c r="D37" s="3"/>
      <c r="E37" s="3"/>
      <c r="F37" s="3"/>
      <c r="G37" s="3"/>
      <c r="H37" s="158">
        <v>5</v>
      </c>
      <c r="I37" s="63">
        <v>2.5706000000000002</v>
      </c>
      <c r="J37" s="63">
        <v>5.79</v>
      </c>
      <c r="K37" s="63"/>
      <c r="L37" s="164"/>
      <c r="M37" s="63"/>
      <c r="N37" s="63"/>
      <c r="O37" s="159">
        <f t="shared" si="4"/>
        <v>-7.4945879688157344E-2</v>
      </c>
      <c r="P37" s="211" t="e">
        <f t="shared" si="16"/>
        <v>#N/A</v>
      </c>
      <c r="Q37" s="159" t="e">
        <f t="shared" si="6"/>
        <v>#VALUE!</v>
      </c>
      <c r="R37" s="159" t="e">
        <f t="shared" si="7"/>
        <v>#VALUE!</v>
      </c>
      <c r="S37" s="159" t="e">
        <f t="shared" si="8"/>
        <v>#VALUE!</v>
      </c>
      <c r="T37" s="152" t="e">
        <f t="shared" si="9"/>
        <v>#VALUE!</v>
      </c>
      <c r="U37" s="160">
        <f t="shared" si="15"/>
        <v>0.84150000000000003</v>
      </c>
      <c r="V37" s="152" t="e">
        <f t="shared" si="10"/>
        <v>#VALUE!</v>
      </c>
      <c r="W37" s="160">
        <f t="shared" si="11"/>
        <v>0.84150000000000003</v>
      </c>
      <c r="X37" s="152" t="e">
        <f t="shared" si="12"/>
        <v>#VALUE!</v>
      </c>
      <c r="Y37" s="160">
        <f t="shared" si="13"/>
        <v>0.84150000000000003</v>
      </c>
      <c r="Z37" s="3"/>
      <c r="AA37" s="63"/>
      <c r="AB37" s="63"/>
      <c r="AC37" s="63"/>
      <c r="AD37" s="63"/>
      <c r="AE37" s="63"/>
      <c r="AF37" s="63"/>
      <c r="AG37" s="63"/>
      <c r="AH37" s="63"/>
      <c r="AI37" s="1"/>
      <c r="AJ37" s="1"/>
      <c r="AK37" s="1"/>
    </row>
    <row r="38" spans="1:37" x14ac:dyDescent="0.2">
      <c r="A38" s="160"/>
      <c r="B38" s="63"/>
      <c r="C38" s="160"/>
      <c r="D38" s="3"/>
      <c r="E38" s="3"/>
      <c r="F38" s="3"/>
      <c r="G38" s="3"/>
      <c r="H38" s="158">
        <v>6</v>
      </c>
      <c r="I38" s="63">
        <v>2.4468999999999999</v>
      </c>
      <c r="J38" s="63">
        <v>5.14</v>
      </c>
      <c r="K38" s="63"/>
      <c r="L38" s="164"/>
      <c r="M38" s="3"/>
      <c r="N38" s="3"/>
      <c r="O38" s="159">
        <f t="shared" si="4"/>
        <v>-7.4481641822569875E-2</v>
      </c>
      <c r="P38" s="211" t="e">
        <f t="shared" si="16"/>
        <v>#N/A</v>
      </c>
      <c r="Q38" s="159" t="e">
        <f t="shared" si="6"/>
        <v>#VALUE!</v>
      </c>
      <c r="R38" s="159" t="e">
        <f t="shared" si="7"/>
        <v>#VALUE!</v>
      </c>
      <c r="S38" s="159" t="e">
        <f t="shared" si="8"/>
        <v>#VALUE!</v>
      </c>
      <c r="T38" s="152" t="e">
        <f t="shared" si="9"/>
        <v>#VALUE!</v>
      </c>
      <c r="U38" s="160">
        <f t="shared" si="15"/>
        <v>0.84240000000000004</v>
      </c>
      <c r="V38" s="152" t="e">
        <f t="shared" si="10"/>
        <v>#VALUE!</v>
      </c>
      <c r="W38" s="160">
        <f t="shared" si="11"/>
        <v>0.84240000000000004</v>
      </c>
      <c r="X38" s="152" t="e">
        <f t="shared" si="12"/>
        <v>#VALUE!</v>
      </c>
      <c r="Y38" s="160">
        <f t="shared" si="13"/>
        <v>0.84240000000000004</v>
      </c>
      <c r="Z38" s="3"/>
      <c r="AA38" s="63"/>
      <c r="AB38" s="63"/>
      <c r="AC38" s="63"/>
      <c r="AD38" s="63"/>
      <c r="AE38" s="63"/>
      <c r="AF38" s="63"/>
      <c r="AG38" s="63"/>
      <c r="AH38" s="63"/>
      <c r="AI38" s="1"/>
      <c r="AJ38" s="1"/>
      <c r="AK38" s="1"/>
    </row>
    <row r="39" spans="1:37" x14ac:dyDescent="0.2">
      <c r="A39" s="160"/>
      <c r="B39" s="63"/>
      <c r="C39" s="160"/>
      <c r="D39" s="3"/>
      <c r="E39" s="3"/>
      <c r="F39" s="3"/>
      <c r="G39" s="3"/>
      <c r="H39" s="158">
        <v>7</v>
      </c>
      <c r="I39" s="63">
        <v>2.3645999999999998</v>
      </c>
      <c r="J39" s="63">
        <v>4.74</v>
      </c>
      <c r="K39" s="63"/>
      <c r="L39" s="164"/>
      <c r="M39" s="3"/>
      <c r="N39" s="3"/>
      <c r="O39" s="159">
        <f t="shared" si="4"/>
        <v>-7.4017899672896834E-2</v>
      </c>
      <c r="P39" s="211" t="e">
        <f t="shared" si="16"/>
        <v>#N/A</v>
      </c>
      <c r="Q39" s="159" t="e">
        <f t="shared" si="6"/>
        <v>#VALUE!</v>
      </c>
      <c r="R39" s="159" t="e">
        <f t="shared" si="7"/>
        <v>#VALUE!</v>
      </c>
      <c r="S39" s="159" t="e">
        <f t="shared" si="8"/>
        <v>#VALUE!</v>
      </c>
      <c r="T39" s="152" t="e">
        <f t="shared" si="9"/>
        <v>#VALUE!</v>
      </c>
      <c r="U39" s="160">
        <f t="shared" si="15"/>
        <v>0.84330000000000005</v>
      </c>
      <c r="V39" s="152" t="e">
        <f t="shared" si="10"/>
        <v>#VALUE!</v>
      </c>
      <c r="W39" s="160">
        <f t="shared" si="11"/>
        <v>0.84330000000000005</v>
      </c>
      <c r="X39" s="152" t="e">
        <f t="shared" si="12"/>
        <v>#VALUE!</v>
      </c>
      <c r="Y39" s="160">
        <f t="shared" si="13"/>
        <v>0.84330000000000005</v>
      </c>
      <c r="Z39" s="3"/>
      <c r="AA39" s="63"/>
      <c r="AB39" s="63"/>
      <c r="AC39" s="63"/>
      <c r="AD39" s="63"/>
      <c r="AE39" s="63"/>
      <c r="AF39" s="63"/>
      <c r="AG39" s="63"/>
      <c r="AH39" s="63"/>
      <c r="AI39" s="1"/>
      <c r="AJ39" s="1"/>
      <c r="AK39" s="1"/>
    </row>
    <row r="40" spans="1:37" x14ac:dyDescent="0.2">
      <c r="A40" s="63"/>
      <c r="B40" s="63"/>
      <c r="C40" s="63"/>
      <c r="D40" s="3"/>
      <c r="E40" s="3"/>
      <c r="F40" s="3"/>
      <c r="G40" s="3"/>
      <c r="H40" s="158">
        <v>8</v>
      </c>
      <c r="I40" s="63">
        <v>2.306</v>
      </c>
      <c r="J40" s="63">
        <v>4.46</v>
      </c>
      <c r="K40" s="63"/>
      <c r="L40" s="164"/>
      <c r="M40" s="3"/>
      <c r="N40" s="3"/>
      <c r="O40" s="159">
        <f t="shared" si="4"/>
        <v>-7.3554652181610627E-2</v>
      </c>
      <c r="P40" s="211" t="e">
        <f t="shared" si="16"/>
        <v>#N/A</v>
      </c>
      <c r="Q40" s="159" t="e">
        <f t="shared" si="6"/>
        <v>#VALUE!</v>
      </c>
      <c r="R40" s="159" t="e">
        <f t="shared" si="7"/>
        <v>#VALUE!</v>
      </c>
      <c r="S40" s="159" t="e">
        <f t="shared" si="8"/>
        <v>#VALUE!</v>
      </c>
      <c r="T40" s="152" t="e">
        <f t="shared" si="9"/>
        <v>#VALUE!</v>
      </c>
      <c r="U40" s="160">
        <f t="shared" si="15"/>
        <v>0.84419999999999995</v>
      </c>
      <c r="V40" s="152" t="e">
        <f t="shared" si="10"/>
        <v>#VALUE!</v>
      </c>
      <c r="W40" s="160">
        <f t="shared" si="11"/>
        <v>0.84419999999999995</v>
      </c>
      <c r="X40" s="152" t="e">
        <f t="shared" si="12"/>
        <v>#VALUE!</v>
      </c>
      <c r="Y40" s="160">
        <f t="shared" si="13"/>
        <v>0.84419999999999995</v>
      </c>
      <c r="Z40" s="3"/>
      <c r="AA40" s="3"/>
      <c r="AB40" s="63"/>
      <c r="AC40" s="63"/>
      <c r="AD40" s="63"/>
      <c r="AE40" s="63"/>
      <c r="AF40" s="63"/>
      <c r="AG40" s="63"/>
      <c r="AH40" s="63"/>
      <c r="AI40" s="1"/>
      <c r="AJ40" s="1"/>
      <c r="AK40" s="1"/>
    </row>
    <row r="41" spans="1:37" x14ac:dyDescent="0.2">
      <c r="A41" s="3"/>
      <c r="B41" s="3"/>
      <c r="C41" s="3"/>
      <c r="D41" s="3"/>
      <c r="E41" s="3"/>
      <c r="F41" s="3"/>
      <c r="G41" s="3"/>
      <c r="H41" s="158">
        <v>9</v>
      </c>
      <c r="I41" s="63">
        <v>2.2622</v>
      </c>
      <c r="J41" s="63">
        <v>4.26</v>
      </c>
      <c r="K41" s="63"/>
      <c r="L41" s="164"/>
      <c r="M41" s="3"/>
      <c r="N41" s="3"/>
      <c r="O41" s="159">
        <f t="shared" si="4"/>
        <v>-7.3091898294564167E-2</v>
      </c>
      <c r="P41" s="211" t="e">
        <f t="shared" si="16"/>
        <v>#N/A</v>
      </c>
      <c r="Q41" s="159" t="e">
        <f t="shared" si="6"/>
        <v>#VALUE!</v>
      </c>
      <c r="R41" s="159" t="e">
        <f t="shared" si="7"/>
        <v>#VALUE!</v>
      </c>
      <c r="S41" s="159" t="e">
        <f t="shared" si="8"/>
        <v>#VALUE!</v>
      </c>
      <c r="T41" s="152" t="e">
        <f t="shared" si="9"/>
        <v>#VALUE!</v>
      </c>
      <c r="U41" s="160">
        <f t="shared" si="15"/>
        <v>0.84510000000000007</v>
      </c>
      <c r="V41" s="152" t="e">
        <f t="shared" si="10"/>
        <v>#VALUE!</v>
      </c>
      <c r="W41" s="160">
        <f t="shared" si="11"/>
        <v>0.84510000000000007</v>
      </c>
      <c r="X41" s="152" t="e">
        <f t="shared" si="12"/>
        <v>#VALUE!</v>
      </c>
      <c r="Y41" s="160">
        <f t="shared" si="13"/>
        <v>0.84510000000000007</v>
      </c>
      <c r="Z41" s="3"/>
      <c r="AA41" s="53"/>
      <c r="AB41" s="63"/>
      <c r="AC41" s="63"/>
      <c r="AD41" s="63"/>
      <c r="AE41" s="63"/>
      <c r="AF41" s="63"/>
      <c r="AG41" s="63"/>
      <c r="AH41" s="63"/>
      <c r="AI41" s="1"/>
      <c r="AJ41" s="1"/>
      <c r="AK41" s="1"/>
    </row>
    <row r="42" spans="1:37" x14ac:dyDescent="0.2">
      <c r="A42" s="3"/>
      <c r="B42" s="3"/>
      <c r="C42" s="3"/>
      <c r="D42" s="3"/>
      <c r="E42" s="3"/>
      <c r="F42" s="3"/>
      <c r="G42" s="3"/>
      <c r="H42" s="158">
        <v>10</v>
      </c>
      <c r="I42" s="63">
        <v>2.2281</v>
      </c>
      <c r="J42" s="63">
        <v>4.0999999999999996</v>
      </c>
      <c r="K42" s="63"/>
      <c r="L42" s="164"/>
      <c r="M42" s="3"/>
      <c r="N42" s="3"/>
      <c r="O42" s="159">
        <f t="shared" si="4"/>
        <v>-7.2629636960976421E-2</v>
      </c>
      <c r="P42" s="211" t="e">
        <f t="shared" si="16"/>
        <v>#N/A</v>
      </c>
      <c r="Q42" s="159" t="e">
        <f t="shared" si="6"/>
        <v>#VALUE!</v>
      </c>
      <c r="R42" s="159" t="e">
        <f t="shared" si="7"/>
        <v>#VALUE!</v>
      </c>
      <c r="S42" s="159" t="e">
        <f t="shared" si="8"/>
        <v>#VALUE!</v>
      </c>
      <c r="T42" s="152" t="e">
        <f t="shared" si="9"/>
        <v>#VALUE!</v>
      </c>
      <c r="U42" s="160">
        <f t="shared" si="15"/>
        <v>0.84600000000000009</v>
      </c>
      <c r="V42" s="152" t="e">
        <f t="shared" si="10"/>
        <v>#VALUE!</v>
      </c>
      <c r="W42" s="160">
        <f t="shared" si="11"/>
        <v>0.84600000000000009</v>
      </c>
      <c r="X42" s="152" t="e">
        <f t="shared" si="12"/>
        <v>#VALUE!</v>
      </c>
      <c r="Y42" s="160">
        <f t="shared" si="13"/>
        <v>0.84600000000000009</v>
      </c>
      <c r="Z42" s="53"/>
      <c r="AA42" s="53"/>
      <c r="AB42" s="63"/>
      <c r="AC42" s="63"/>
      <c r="AD42" s="63"/>
      <c r="AE42" s="63"/>
      <c r="AF42" s="63"/>
      <c r="AG42" s="63"/>
      <c r="AH42" s="63"/>
      <c r="AI42" s="1"/>
      <c r="AJ42" s="1"/>
      <c r="AK42" s="1"/>
    </row>
    <row r="43" spans="1:37" x14ac:dyDescent="0.2">
      <c r="A43" s="3"/>
      <c r="B43" s="3"/>
      <c r="C43" s="3"/>
      <c r="D43" s="3"/>
      <c r="E43" s="3"/>
      <c r="F43" s="3"/>
      <c r="G43" s="3"/>
      <c r="H43" s="158">
        <v>11</v>
      </c>
      <c r="I43" s="63">
        <v>2.2010000000000001</v>
      </c>
      <c r="J43" s="63">
        <v>3.98</v>
      </c>
      <c r="K43" s="63"/>
      <c r="L43" s="164"/>
      <c r="M43" s="3"/>
      <c r="N43" s="3"/>
      <c r="O43" s="159">
        <f t="shared" si="4"/>
        <v>-7.2167867133418218E-2</v>
      </c>
      <c r="P43" s="211" t="e">
        <f t="shared" si="16"/>
        <v>#N/A</v>
      </c>
      <c r="Q43" s="159" t="e">
        <f t="shared" si="6"/>
        <v>#VALUE!</v>
      </c>
      <c r="R43" s="159" t="e">
        <f t="shared" si="7"/>
        <v>#VALUE!</v>
      </c>
      <c r="S43" s="159" t="e">
        <f t="shared" si="8"/>
        <v>#VALUE!</v>
      </c>
      <c r="T43" s="152" t="e">
        <f t="shared" si="9"/>
        <v>#VALUE!</v>
      </c>
      <c r="U43" s="160">
        <f t="shared" si="15"/>
        <v>0.84689999999999999</v>
      </c>
      <c r="V43" s="152" t="e">
        <f t="shared" si="10"/>
        <v>#VALUE!</v>
      </c>
      <c r="W43" s="160">
        <f t="shared" si="11"/>
        <v>0.84689999999999999</v>
      </c>
      <c r="X43" s="152" t="e">
        <f t="shared" si="12"/>
        <v>#VALUE!</v>
      </c>
      <c r="Y43" s="160">
        <f t="shared" si="13"/>
        <v>0.84689999999999999</v>
      </c>
      <c r="Z43" s="53"/>
      <c r="AA43" s="53"/>
      <c r="AB43" s="63"/>
      <c r="AC43" s="63"/>
      <c r="AD43" s="63"/>
      <c r="AE43" s="63"/>
      <c r="AF43" s="63"/>
      <c r="AG43" s="63"/>
      <c r="AH43" s="63"/>
      <c r="AI43" s="1"/>
      <c r="AJ43" s="1"/>
      <c r="AK43" s="1"/>
    </row>
    <row r="44" spans="1:37" x14ac:dyDescent="0.2">
      <c r="A44" s="3"/>
      <c r="B44" s="3"/>
      <c r="C44" s="3"/>
      <c r="D44" s="3"/>
      <c r="E44" s="3"/>
      <c r="F44" s="3"/>
      <c r="G44" s="3"/>
      <c r="H44" s="158">
        <v>12</v>
      </c>
      <c r="I44" s="63">
        <v>2.1787999999999998</v>
      </c>
      <c r="J44" s="63">
        <v>2.89</v>
      </c>
      <c r="K44" s="63"/>
      <c r="L44" s="164"/>
      <c r="M44" s="3"/>
      <c r="N44" s="3"/>
      <c r="O44" s="159">
        <f t="shared" si="4"/>
        <v>-7.1706587767797758E-2</v>
      </c>
      <c r="P44" s="211" t="e">
        <f t="shared" si="16"/>
        <v>#N/A</v>
      </c>
      <c r="Q44" s="159" t="e">
        <f t="shared" si="6"/>
        <v>#VALUE!</v>
      </c>
      <c r="R44" s="159" t="e">
        <f t="shared" si="7"/>
        <v>#VALUE!</v>
      </c>
      <c r="S44" s="159" t="e">
        <f t="shared" si="8"/>
        <v>#VALUE!</v>
      </c>
      <c r="T44" s="152" t="e">
        <f t="shared" si="9"/>
        <v>#VALUE!</v>
      </c>
      <c r="U44" s="160">
        <f t="shared" si="15"/>
        <v>0.8478</v>
      </c>
      <c r="V44" s="152" t="e">
        <f t="shared" si="10"/>
        <v>#VALUE!</v>
      </c>
      <c r="W44" s="160">
        <f t="shared" si="11"/>
        <v>0.8478</v>
      </c>
      <c r="X44" s="152" t="e">
        <f t="shared" si="12"/>
        <v>#VALUE!</v>
      </c>
      <c r="Y44" s="160">
        <f t="shared" si="13"/>
        <v>0.8478</v>
      </c>
      <c r="Z44" s="53"/>
      <c r="AA44" s="53"/>
      <c r="AB44" s="63"/>
      <c r="AC44" s="63"/>
      <c r="AD44" s="63"/>
      <c r="AE44" s="63"/>
      <c r="AF44" s="63"/>
      <c r="AG44" s="63"/>
      <c r="AH44" s="63"/>
      <c r="AI44" s="1"/>
      <c r="AJ44" s="1"/>
      <c r="AK44" s="1"/>
    </row>
    <row r="45" spans="1:37" x14ac:dyDescent="0.2">
      <c r="A45" s="3"/>
      <c r="B45" s="3"/>
      <c r="C45" s="3"/>
      <c r="D45" s="3"/>
      <c r="E45" s="3"/>
      <c r="F45" s="3"/>
      <c r="G45" s="3"/>
      <c r="H45" s="158">
        <v>13</v>
      </c>
      <c r="I45" s="63">
        <v>2.1604000000000001</v>
      </c>
      <c r="J45" s="63">
        <v>3.81</v>
      </c>
      <c r="K45" s="63"/>
      <c r="L45" s="164"/>
      <c r="M45" s="3"/>
      <c r="N45" s="3"/>
      <c r="O45" s="159">
        <f t="shared" si="4"/>
        <v>-7.1245797823346751E-2</v>
      </c>
      <c r="P45" s="211" t="e">
        <f t="shared" si="16"/>
        <v>#N/A</v>
      </c>
      <c r="Q45" s="159" t="e">
        <f t="shared" si="6"/>
        <v>#VALUE!</v>
      </c>
      <c r="R45" s="159" t="e">
        <f t="shared" si="7"/>
        <v>#VALUE!</v>
      </c>
      <c r="S45" s="159" t="e">
        <f t="shared" si="8"/>
        <v>#VALUE!</v>
      </c>
      <c r="T45" s="152" t="e">
        <f t="shared" si="9"/>
        <v>#VALUE!</v>
      </c>
      <c r="U45" s="160">
        <f t="shared" si="15"/>
        <v>0.8486999999999999</v>
      </c>
      <c r="V45" s="152" t="e">
        <f t="shared" si="10"/>
        <v>#VALUE!</v>
      </c>
      <c r="W45" s="160">
        <f t="shared" si="11"/>
        <v>0.8486999999999999</v>
      </c>
      <c r="X45" s="152" t="e">
        <f t="shared" si="12"/>
        <v>#VALUE!</v>
      </c>
      <c r="Y45" s="160">
        <f t="shared" si="13"/>
        <v>0.8486999999999999</v>
      </c>
      <c r="Z45" s="53"/>
      <c r="AA45" s="53"/>
      <c r="AB45" s="63"/>
      <c r="AC45" s="63"/>
      <c r="AD45" s="63"/>
      <c r="AE45" s="63"/>
      <c r="AF45" s="63"/>
      <c r="AG45" s="63"/>
      <c r="AH45" s="63"/>
      <c r="AI45" s="1"/>
      <c r="AJ45" s="1"/>
      <c r="AK45" s="1"/>
    </row>
    <row r="46" spans="1:37" x14ac:dyDescent="0.2">
      <c r="A46" s="3"/>
      <c r="B46" s="3"/>
      <c r="C46" s="3"/>
      <c r="D46" s="3"/>
      <c r="E46" s="3"/>
      <c r="F46" s="3"/>
      <c r="G46" s="3"/>
      <c r="H46" s="158">
        <v>14</v>
      </c>
      <c r="I46" s="63">
        <v>2.1448</v>
      </c>
      <c r="J46" s="63">
        <v>3.74</v>
      </c>
      <c r="K46" s="63"/>
      <c r="L46" s="164"/>
      <c r="M46" s="3"/>
      <c r="N46" s="3"/>
      <c r="O46" s="159">
        <f t="shared" si="4"/>
        <v>-7.0785496262606148E-2</v>
      </c>
      <c r="P46" s="211" t="e">
        <f t="shared" si="16"/>
        <v>#N/A</v>
      </c>
      <c r="Q46" s="159" t="e">
        <f t="shared" si="6"/>
        <v>#VALUE!</v>
      </c>
      <c r="R46" s="159" t="e">
        <f t="shared" si="7"/>
        <v>#VALUE!</v>
      </c>
      <c r="S46" s="159" t="e">
        <f t="shared" si="8"/>
        <v>#VALUE!</v>
      </c>
      <c r="T46" s="152" t="e">
        <f t="shared" si="9"/>
        <v>#VALUE!</v>
      </c>
      <c r="U46" s="160">
        <f t="shared" si="15"/>
        <v>0.84959999999999991</v>
      </c>
      <c r="V46" s="152" t="e">
        <f t="shared" si="10"/>
        <v>#VALUE!</v>
      </c>
      <c r="W46" s="160">
        <f t="shared" si="11"/>
        <v>0.84959999999999991</v>
      </c>
      <c r="X46" s="152" t="e">
        <f t="shared" si="12"/>
        <v>#VALUE!</v>
      </c>
      <c r="Y46" s="160">
        <f t="shared" si="13"/>
        <v>0.84959999999999991</v>
      </c>
      <c r="Z46" s="3"/>
      <c r="AA46" s="3"/>
      <c r="AB46" s="63"/>
      <c r="AC46" s="63"/>
      <c r="AD46" s="63"/>
      <c r="AE46" s="63"/>
      <c r="AF46" s="63"/>
      <c r="AG46" s="63"/>
      <c r="AH46" s="63"/>
      <c r="AI46" s="1"/>
      <c r="AJ46" s="1"/>
      <c r="AK46" s="1"/>
    </row>
    <row r="47" spans="1:37" x14ac:dyDescent="0.2">
      <c r="A47" s="3"/>
      <c r="B47" s="3"/>
      <c r="C47" s="3"/>
      <c r="D47" s="3"/>
      <c r="E47" s="3"/>
      <c r="F47" s="3"/>
      <c r="G47" s="3"/>
      <c r="H47" s="158">
        <v>15</v>
      </c>
      <c r="I47" s="63">
        <v>2.1315</v>
      </c>
      <c r="J47" s="63">
        <v>3.68</v>
      </c>
      <c r="K47" s="63"/>
      <c r="L47" s="164"/>
      <c r="M47" s="3"/>
      <c r="N47" s="3"/>
      <c r="O47" s="159">
        <f t="shared" si="4"/>
        <v>-7.0325682051412167E-2</v>
      </c>
      <c r="P47" s="211" t="e">
        <f t="shared" si="16"/>
        <v>#N/A</v>
      </c>
      <c r="Q47" s="159" t="e">
        <f t="shared" si="6"/>
        <v>#VALUE!</v>
      </c>
      <c r="R47" s="159" t="e">
        <f t="shared" si="7"/>
        <v>#VALUE!</v>
      </c>
      <c r="S47" s="159" t="e">
        <f t="shared" si="8"/>
        <v>#VALUE!</v>
      </c>
      <c r="T47" s="152" t="e">
        <f t="shared" si="9"/>
        <v>#VALUE!</v>
      </c>
      <c r="U47" s="160">
        <f t="shared" si="15"/>
        <v>0.85050000000000003</v>
      </c>
      <c r="V47" s="152" t="e">
        <f t="shared" si="10"/>
        <v>#VALUE!</v>
      </c>
      <c r="W47" s="160">
        <f t="shared" si="11"/>
        <v>0.85050000000000003</v>
      </c>
      <c r="X47" s="152" t="e">
        <f t="shared" si="12"/>
        <v>#VALUE!</v>
      </c>
      <c r="Y47" s="160">
        <f t="shared" si="13"/>
        <v>0.85050000000000003</v>
      </c>
      <c r="Z47" s="53"/>
      <c r="AA47" s="3"/>
      <c r="AB47" s="63"/>
      <c r="AC47" s="63"/>
      <c r="AD47" s="63"/>
      <c r="AE47" s="63"/>
      <c r="AF47" s="63"/>
      <c r="AG47" s="63"/>
      <c r="AH47" s="63"/>
      <c r="AI47" s="1"/>
      <c r="AJ47" s="1"/>
      <c r="AK47" s="1"/>
    </row>
    <row r="48" spans="1:37" x14ac:dyDescent="0.2">
      <c r="A48" s="3"/>
      <c r="B48" s="3"/>
      <c r="C48" s="3"/>
      <c r="D48" s="3"/>
      <c r="E48" s="3"/>
      <c r="F48" s="3"/>
      <c r="G48" s="3"/>
      <c r="H48" s="158">
        <v>16</v>
      </c>
      <c r="I48" s="63">
        <v>2.1198999999999999</v>
      </c>
      <c r="J48" s="63">
        <v>3.63</v>
      </c>
      <c r="K48" s="63"/>
      <c r="L48" s="164"/>
      <c r="M48" s="3"/>
      <c r="N48" s="3"/>
      <c r="O48" s="159">
        <f t="shared" si="4"/>
        <v>-6.9866354158882343E-2</v>
      </c>
      <c r="P48" s="211" t="e">
        <f t="shared" si="16"/>
        <v>#N/A</v>
      </c>
      <c r="Q48" s="159" t="e">
        <f t="shared" si="6"/>
        <v>#VALUE!</v>
      </c>
      <c r="R48" s="159" t="e">
        <f t="shared" si="7"/>
        <v>#VALUE!</v>
      </c>
      <c r="S48" s="159" t="e">
        <f t="shared" si="8"/>
        <v>#VALUE!</v>
      </c>
      <c r="T48" s="152" t="e">
        <f t="shared" si="9"/>
        <v>#VALUE!</v>
      </c>
      <c r="U48" s="160">
        <f t="shared" si="15"/>
        <v>0.85140000000000005</v>
      </c>
      <c r="V48" s="152" t="e">
        <f t="shared" si="10"/>
        <v>#VALUE!</v>
      </c>
      <c r="W48" s="160">
        <f t="shared" si="11"/>
        <v>0.85140000000000005</v>
      </c>
      <c r="X48" s="152" t="e">
        <f t="shared" si="12"/>
        <v>#VALUE!</v>
      </c>
      <c r="Y48" s="160">
        <f t="shared" si="13"/>
        <v>0.85140000000000005</v>
      </c>
      <c r="Z48" s="53"/>
      <c r="AA48" s="3"/>
      <c r="AB48" s="63"/>
      <c r="AC48" s="63"/>
      <c r="AD48" s="63"/>
      <c r="AE48" s="63"/>
      <c r="AF48" s="63"/>
      <c r="AG48" s="63"/>
      <c r="AH48" s="63"/>
      <c r="AI48" s="1"/>
      <c r="AJ48" s="1"/>
      <c r="AK48" s="1"/>
    </row>
    <row r="49" spans="1:37" x14ac:dyDescent="0.2">
      <c r="A49" s="3"/>
      <c r="B49" s="3"/>
      <c r="C49" s="3"/>
      <c r="D49" s="3"/>
      <c r="E49" s="3"/>
      <c r="F49" s="3"/>
      <c r="G49" s="3"/>
      <c r="H49" s="158">
        <v>17</v>
      </c>
      <c r="I49" s="63">
        <v>2.1097999999999999</v>
      </c>
      <c r="J49" s="63">
        <v>3.59</v>
      </c>
      <c r="K49" s="63"/>
      <c r="L49" s="164"/>
      <c r="M49" s="3"/>
      <c r="N49" s="3"/>
      <c r="O49" s="159">
        <f t="shared" si="4"/>
        <v>-6.9407511557401672E-2</v>
      </c>
      <c r="P49" s="211" t="e">
        <f t="shared" si="16"/>
        <v>#N/A</v>
      </c>
      <c r="Q49" s="159" t="e">
        <f t="shared" si="6"/>
        <v>#VALUE!</v>
      </c>
      <c r="R49" s="159" t="e">
        <f t="shared" si="7"/>
        <v>#VALUE!</v>
      </c>
      <c r="S49" s="159" t="e">
        <f t="shared" si="8"/>
        <v>#VALUE!</v>
      </c>
      <c r="T49" s="152" t="e">
        <f t="shared" si="9"/>
        <v>#VALUE!</v>
      </c>
      <c r="U49" s="160">
        <f t="shared" si="15"/>
        <v>0.85230000000000017</v>
      </c>
      <c r="V49" s="152" t="e">
        <f t="shared" si="10"/>
        <v>#VALUE!</v>
      </c>
      <c r="W49" s="160">
        <f t="shared" si="11"/>
        <v>0.85230000000000017</v>
      </c>
      <c r="X49" s="152" t="e">
        <f t="shared" si="12"/>
        <v>#VALUE!</v>
      </c>
      <c r="Y49" s="160">
        <f t="shared" si="13"/>
        <v>0.85230000000000017</v>
      </c>
      <c r="Z49" s="53"/>
      <c r="AA49" s="3"/>
      <c r="AB49" s="63"/>
      <c r="AC49" s="63"/>
      <c r="AD49" s="63"/>
      <c r="AE49" s="63"/>
      <c r="AF49" s="63"/>
      <c r="AG49" s="63"/>
      <c r="AH49" s="63"/>
      <c r="AI49" s="1"/>
      <c r="AJ49" s="1"/>
      <c r="AK49" s="1"/>
    </row>
    <row r="50" spans="1:37" x14ac:dyDescent="0.2">
      <c r="A50" s="3"/>
      <c r="B50" s="3"/>
      <c r="C50" s="3"/>
      <c r="D50" s="3"/>
      <c r="E50" s="3"/>
      <c r="F50" s="3"/>
      <c r="G50" s="3"/>
      <c r="H50" s="158">
        <v>18</v>
      </c>
      <c r="I50" s="63">
        <v>2.1009000000000002</v>
      </c>
      <c r="J50" s="63">
        <v>3.55</v>
      </c>
      <c r="K50" s="63"/>
      <c r="L50" s="164"/>
      <c r="M50" s="3"/>
      <c r="N50" s="3"/>
      <c r="O50" s="159">
        <f t="shared" si="4"/>
        <v>-6.8949153222608833E-2</v>
      </c>
      <c r="P50" s="211" t="e">
        <f t="shared" si="16"/>
        <v>#N/A</v>
      </c>
      <c r="Q50" s="159" t="e">
        <f t="shared" si="6"/>
        <v>#VALUE!</v>
      </c>
      <c r="R50" s="159" t="e">
        <f t="shared" si="7"/>
        <v>#VALUE!</v>
      </c>
      <c r="S50" s="159" t="e">
        <f t="shared" si="8"/>
        <v>#VALUE!</v>
      </c>
      <c r="T50" s="152" t="e">
        <f t="shared" si="9"/>
        <v>#VALUE!</v>
      </c>
      <c r="U50" s="160">
        <f t="shared" si="15"/>
        <v>0.85320000000000007</v>
      </c>
      <c r="V50" s="152" t="e">
        <f t="shared" si="10"/>
        <v>#VALUE!</v>
      </c>
      <c r="W50" s="160">
        <f t="shared" si="11"/>
        <v>0.85320000000000007</v>
      </c>
      <c r="X50" s="152" t="e">
        <f t="shared" si="12"/>
        <v>#VALUE!</v>
      </c>
      <c r="Y50" s="160">
        <f t="shared" si="13"/>
        <v>0.85320000000000007</v>
      </c>
      <c r="Z50" s="53"/>
      <c r="AA50" s="3"/>
      <c r="AB50" s="63"/>
      <c r="AC50" s="63"/>
      <c r="AD50" s="63"/>
      <c r="AE50" s="63"/>
      <c r="AF50" s="63"/>
      <c r="AG50" s="63"/>
      <c r="AH50" s="63"/>
      <c r="AI50" s="1"/>
      <c r="AJ50" s="1"/>
      <c r="AK50" s="1"/>
    </row>
    <row r="51" spans="1:37" x14ac:dyDescent="0.2">
      <c r="A51" s="3"/>
      <c r="B51" s="3"/>
      <c r="C51" s="3"/>
      <c r="D51" s="3"/>
      <c r="E51" s="3"/>
      <c r="F51" s="3"/>
      <c r="G51" s="3"/>
      <c r="H51" s="158">
        <v>19</v>
      </c>
      <c r="I51" s="63">
        <v>2.093</v>
      </c>
      <c r="J51" s="63">
        <v>3.52</v>
      </c>
      <c r="K51" s="63"/>
      <c r="L51" s="164"/>
      <c r="M51" s="3"/>
      <c r="N51" s="3"/>
      <c r="O51" s="159">
        <f t="shared" si="4"/>
        <v>-6.8491278133382419E-2</v>
      </c>
      <c r="P51" s="211" t="e">
        <f t="shared" si="16"/>
        <v>#N/A</v>
      </c>
      <c r="Q51" s="159" t="e">
        <f t="shared" si="6"/>
        <v>#VALUE!</v>
      </c>
      <c r="R51" s="159" t="e">
        <f t="shared" si="7"/>
        <v>#VALUE!</v>
      </c>
      <c r="S51" s="159" t="e">
        <f t="shared" si="8"/>
        <v>#VALUE!</v>
      </c>
      <c r="T51" s="152" t="e">
        <f t="shared" si="9"/>
        <v>#VALUE!</v>
      </c>
      <c r="U51" s="160">
        <f t="shared" si="15"/>
        <v>0.85409999999999997</v>
      </c>
      <c r="V51" s="152" t="e">
        <f t="shared" si="10"/>
        <v>#VALUE!</v>
      </c>
      <c r="W51" s="160">
        <f t="shared" si="11"/>
        <v>0.85409999999999997</v>
      </c>
      <c r="X51" s="152" t="e">
        <f t="shared" si="12"/>
        <v>#VALUE!</v>
      </c>
      <c r="Y51" s="160">
        <f t="shared" si="13"/>
        <v>0.85409999999999997</v>
      </c>
      <c r="Z51" s="53"/>
      <c r="AA51" s="3"/>
      <c r="AB51" s="63"/>
      <c r="AC51" s="63"/>
      <c r="AD51" s="63"/>
      <c r="AE51" s="63"/>
      <c r="AF51" s="63"/>
      <c r="AG51" s="63"/>
      <c r="AH51" s="63"/>
      <c r="AI51" s="1"/>
      <c r="AJ51" s="1"/>
      <c r="AK51" s="1"/>
    </row>
    <row r="52" spans="1:37" x14ac:dyDescent="0.2">
      <c r="A52" s="3"/>
      <c r="B52" s="3"/>
      <c r="C52" s="3"/>
      <c r="D52" s="3"/>
      <c r="E52" s="3"/>
      <c r="F52" s="3"/>
      <c r="G52" s="3"/>
      <c r="H52" s="158">
        <v>20</v>
      </c>
      <c r="I52" s="63">
        <v>2.0859999999999999</v>
      </c>
      <c r="J52" s="63">
        <v>3.49</v>
      </c>
      <c r="K52" s="63"/>
      <c r="L52" s="164"/>
      <c r="M52" s="3"/>
      <c r="N52" s="3"/>
      <c r="O52" s="159">
        <f t="shared" si="4"/>
        <v>-6.8033885271827368E-2</v>
      </c>
      <c r="P52" s="211" t="e">
        <f t="shared" si="16"/>
        <v>#N/A</v>
      </c>
      <c r="Q52" s="159" t="e">
        <f t="shared" si="6"/>
        <v>#VALUE!</v>
      </c>
      <c r="R52" s="159" t="e">
        <f t="shared" si="7"/>
        <v>#VALUE!</v>
      </c>
      <c r="S52" s="159" t="e">
        <f t="shared" si="8"/>
        <v>#VALUE!</v>
      </c>
      <c r="T52" s="152" t="e">
        <f t="shared" si="9"/>
        <v>#VALUE!</v>
      </c>
      <c r="U52" s="160">
        <f t="shared" si="15"/>
        <v>0.85500000000000009</v>
      </c>
      <c r="V52" s="152" t="e">
        <f t="shared" si="10"/>
        <v>#VALUE!</v>
      </c>
      <c r="W52" s="160">
        <f t="shared" si="11"/>
        <v>0.85500000000000009</v>
      </c>
      <c r="X52" s="152" t="e">
        <f t="shared" si="12"/>
        <v>#VALUE!</v>
      </c>
      <c r="Y52" s="160">
        <f t="shared" si="13"/>
        <v>0.85500000000000009</v>
      </c>
      <c r="Z52" s="53"/>
      <c r="AA52" s="3"/>
      <c r="AB52" s="63"/>
      <c r="AC52" s="63"/>
      <c r="AD52" s="63"/>
      <c r="AE52" s="63"/>
      <c r="AF52" s="63"/>
      <c r="AG52" s="63"/>
      <c r="AH52" s="63"/>
      <c r="AI52" s="1"/>
      <c r="AJ52" s="1"/>
      <c r="AK52" s="1"/>
    </row>
    <row r="53" spans="1:37" x14ac:dyDescent="0.2">
      <c r="A53" s="3"/>
      <c r="B53" s="3"/>
      <c r="C53" s="3"/>
      <c r="D53" s="3"/>
      <c r="E53" s="3"/>
      <c r="F53" s="3"/>
      <c r="G53" s="3"/>
      <c r="H53" s="158">
        <v>21</v>
      </c>
      <c r="I53" s="63">
        <v>2.0796000000000001</v>
      </c>
      <c r="J53" s="63">
        <v>3.47</v>
      </c>
      <c r="K53" s="63"/>
      <c r="L53" s="164"/>
      <c r="M53" s="3"/>
      <c r="N53" s="3"/>
      <c r="O53" s="159">
        <f t="shared" si="4"/>
        <v>-6.7576973623261191E-2</v>
      </c>
      <c r="P53" s="211" t="e">
        <f t="shared" si="16"/>
        <v>#N/A</v>
      </c>
      <c r="Q53" s="159" t="e">
        <f t="shared" si="6"/>
        <v>#VALUE!</v>
      </c>
      <c r="R53" s="159" t="e">
        <f t="shared" si="7"/>
        <v>#VALUE!</v>
      </c>
      <c r="S53" s="159" t="e">
        <f t="shared" si="8"/>
        <v>#VALUE!</v>
      </c>
      <c r="T53" s="152" t="e">
        <f t="shared" si="9"/>
        <v>#VALUE!</v>
      </c>
      <c r="U53" s="160">
        <f t="shared" si="15"/>
        <v>0.85589999999999999</v>
      </c>
      <c r="V53" s="152" t="e">
        <f t="shared" si="10"/>
        <v>#VALUE!</v>
      </c>
      <c r="W53" s="160">
        <f t="shared" si="11"/>
        <v>0.85589999999999999</v>
      </c>
      <c r="X53" s="152" t="e">
        <f t="shared" si="12"/>
        <v>#VALUE!</v>
      </c>
      <c r="Y53" s="160">
        <f t="shared" si="13"/>
        <v>0.85589999999999999</v>
      </c>
      <c r="Z53" s="53"/>
      <c r="AA53" s="3"/>
      <c r="AB53" s="63"/>
      <c r="AC53" s="63"/>
      <c r="AD53" s="63"/>
      <c r="AE53" s="63"/>
      <c r="AF53" s="63"/>
      <c r="AG53" s="63"/>
      <c r="AH53" s="63"/>
      <c r="AI53" s="1"/>
      <c r="AJ53" s="1"/>
      <c r="AK53" s="1"/>
    </row>
    <row r="54" spans="1:37" x14ac:dyDescent="0.2">
      <c r="A54" s="3"/>
      <c r="B54" s="3"/>
      <c r="C54" s="3"/>
      <c r="D54" s="3"/>
      <c r="E54" s="3"/>
      <c r="F54" s="3"/>
      <c r="G54" s="3"/>
      <c r="H54" s="158">
        <v>22</v>
      </c>
      <c r="I54" s="63">
        <v>2.0739000000000001</v>
      </c>
      <c r="J54" s="63">
        <v>3.44</v>
      </c>
      <c r="K54" s="63"/>
      <c r="L54" s="164"/>
      <c r="M54" s="3"/>
      <c r="N54" s="3"/>
      <c r="O54" s="159">
        <f t="shared" si="4"/>
        <v>-6.7120542176200781E-2</v>
      </c>
      <c r="P54" s="211" t="e">
        <f t="shared" si="16"/>
        <v>#N/A</v>
      </c>
      <c r="Q54" s="159" t="e">
        <f t="shared" si="6"/>
        <v>#VALUE!</v>
      </c>
      <c r="R54" s="159" t="e">
        <f t="shared" si="7"/>
        <v>#VALUE!</v>
      </c>
      <c r="S54" s="159" t="e">
        <f t="shared" si="8"/>
        <v>#VALUE!</v>
      </c>
      <c r="T54" s="152" t="e">
        <f t="shared" si="9"/>
        <v>#VALUE!</v>
      </c>
      <c r="U54" s="160">
        <f t="shared" si="15"/>
        <v>0.8567999999999999</v>
      </c>
      <c r="V54" s="152" t="e">
        <f t="shared" si="10"/>
        <v>#VALUE!</v>
      </c>
      <c r="W54" s="160">
        <f t="shared" si="11"/>
        <v>0.8567999999999999</v>
      </c>
      <c r="X54" s="152" t="e">
        <f t="shared" si="12"/>
        <v>#VALUE!</v>
      </c>
      <c r="Y54" s="160">
        <f t="shared" si="13"/>
        <v>0.8567999999999999</v>
      </c>
      <c r="Z54" s="53"/>
      <c r="AA54" s="193"/>
      <c r="AB54" s="63"/>
      <c r="AC54" s="63"/>
      <c r="AD54" s="63"/>
      <c r="AE54" s="63"/>
      <c r="AF54" s="63"/>
      <c r="AG54" s="63"/>
      <c r="AH54" s="63"/>
      <c r="AI54" s="1"/>
      <c r="AJ54" s="1"/>
      <c r="AK54" s="1"/>
    </row>
    <row r="55" spans="1:37" x14ac:dyDescent="0.2">
      <c r="A55" s="3"/>
      <c r="B55" s="3"/>
      <c r="C55" s="3"/>
      <c r="D55" s="3"/>
      <c r="E55" s="3"/>
      <c r="F55" s="3"/>
      <c r="G55" s="3"/>
      <c r="H55" s="158">
        <v>23</v>
      </c>
      <c r="I55" s="63">
        <v>2.069</v>
      </c>
      <c r="J55" s="63">
        <v>3.42</v>
      </c>
      <c r="K55" s="63"/>
      <c r="L55" s="164"/>
      <c r="M55" s="3"/>
      <c r="N55" s="3"/>
      <c r="O55" s="159">
        <f t="shared" si="4"/>
        <v>-6.6664589922348708E-2</v>
      </c>
      <c r="P55" s="211" t="e">
        <f t="shared" si="16"/>
        <v>#N/A</v>
      </c>
      <c r="Q55" s="159" t="e">
        <f t="shared" si="6"/>
        <v>#VALUE!</v>
      </c>
      <c r="R55" s="159" t="e">
        <f t="shared" si="7"/>
        <v>#VALUE!</v>
      </c>
      <c r="S55" s="159" t="e">
        <f t="shared" si="8"/>
        <v>#VALUE!</v>
      </c>
      <c r="T55" s="152" t="e">
        <f t="shared" si="9"/>
        <v>#VALUE!</v>
      </c>
      <c r="U55" s="160">
        <f t="shared" si="15"/>
        <v>0.85770000000000002</v>
      </c>
      <c r="V55" s="152" t="e">
        <f t="shared" si="10"/>
        <v>#VALUE!</v>
      </c>
      <c r="W55" s="160">
        <f t="shared" si="11"/>
        <v>0.85770000000000002</v>
      </c>
      <c r="X55" s="152" t="e">
        <f t="shared" si="12"/>
        <v>#VALUE!</v>
      </c>
      <c r="Y55" s="160">
        <f t="shared" si="13"/>
        <v>0.85770000000000002</v>
      </c>
      <c r="Z55" s="3"/>
      <c r="AA55" s="3"/>
      <c r="AB55" s="63"/>
      <c r="AC55" s="63"/>
      <c r="AD55" s="63"/>
      <c r="AE55" s="63"/>
      <c r="AF55" s="63"/>
      <c r="AG55" s="63"/>
      <c r="AH55" s="63"/>
      <c r="AI55" s="1"/>
      <c r="AJ55" s="1"/>
      <c r="AK55" s="1"/>
    </row>
    <row r="56" spans="1:37" x14ac:dyDescent="0.2">
      <c r="A56" s="3"/>
      <c r="B56" s="3"/>
      <c r="C56" s="3"/>
      <c r="D56" s="3"/>
      <c r="E56" s="3"/>
      <c r="F56" s="3"/>
      <c r="G56" s="3"/>
      <c r="H56" s="158">
        <v>24</v>
      </c>
      <c r="I56" s="63">
        <v>2.0640000000000001</v>
      </c>
      <c r="J56" s="63">
        <v>3.4</v>
      </c>
      <c r="K56" s="63"/>
      <c r="L56" s="164"/>
      <c r="M56" s="3"/>
      <c r="N56" s="3"/>
      <c r="O56" s="159">
        <f t="shared" si="4"/>
        <v>-6.620911585658E-2</v>
      </c>
      <c r="P56" s="211" t="e">
        <f t="shared" si="16"/>
        <v>#N/A</v>
      </c>
      <c r="Q56" s="159" t="e">
        <f t="shared" si="6"/>
        <v>#VALUE!</v>
      </c>
      <c r="R56" s="159" t="e">
        <f t="shared" si="7"/>
        <v>#VALUE!</v>
      </c>
      <c r="S56" s="159" t="e">
        <f t="shared" si="8"/>
        <v>#VALUE!</v>
      </c>
      <c r="T56" s="152" t="e">
        <f t="shared" si="9"/>
        <v>#VALUE!</v>
      </c>
      <c r="U56" s="160">
        <f t="shared" si="15"/>
        <v>0.85860000000000003</v>
      </c>
      <c r="V56" s="152" t="e">
        <f t="shared" si="10"/>
        <v>#VALUE!</v>
      </c>
      <c r="W56" s="160">
        <f t="shared" si="11"/>
        <v>0.85860000000000003</v>
      </c>
      <c r="X56" s="152" t="e">
        <f t="shared" si="12"/>
        <v>#VALUE!</v>
      </c>
      <c r="Y56" s="160">
        <f t="shared" si="13"/>
        <v>0.85860000000000003</v>
      </c>
      <c r="Z56" s="3"/>
      <c r="AA56" s="3"/>
      <c r="AB56" s="63"/>
      <c r="AC56" s="63"/>
      <c r="AD56" s="63"/>
      <c r="AE56" s="63"/>
      <c r="AF56" s="63"/>
      <c r="AG56" s="63"/>
      <c r="AH56" s="63"/>
      <c r="AI56" s="1"/>
      <c r="AJ56" s="1"/>
      <c r="AK56" s="1"/>
    </row>
    <row r="57" spans="1:37" x14ac:dyDescent="0.2">
      <c r="A57" s="3"/>
      <c r="B57" s="3"/>
      <c r="C57" s="3"/>
      <c r="D57" s="3"/>
      <c r="E57" s="3"/>
      <c r="F57" s="3"/>
      <c r="G57" s="3"/>
      <c r="H57" s="158">
        <v>25</v>
      </c>
      <c r="I57" s="63">
        <v>2.06</v>
      </c>
      <c r="J57" s="63">
        <v>3.39</v>
      </c>
      <c r="K57" s="63"/>
      <c r="L57" s="164"/>
      <c r="M57" s="3"/>
      <c r="N57" s="3"/>
      <c r="O57" s="159">
        <f t="shared" si="4"/>
        <v>-6.575411897692876E-2</v>
      </c>
      <c r="P57" s="211" t="e">
        <f t="shared" si="16"/>
        <v>#N/A</v>
      </c>
      <c r="Q57" s="159" t="e">
        <f t="shared" si="6"/>
        <v>#VALUE!</v>
      </c>
      <c r="R57" s="159" t="e">
        <f t="shared" si="7"/>
        <v>#VALUE!</v>
      </c>
      <c r="S57" s="159" t="e">
        <f t="shared" si="8"/>
        <v>#VALUE!</v>
      </c>
      <c r="T57" s="152" t="e">
        <f t="shared" si="9"/>
        <v>#VALUE!</v>
      </c>
      <c r="U57" s="160">
        <f t="shared" si="15"/>
        <v>0.85950000000000004</v>
      </c>
      <c r="V57" s="152" t="e">
        <f t="shared" si="10"/>
        <v>#VALUE!</v>
      </c>
      <c r="W57" s="160">
        <f t="shared" si="11"/>
        <v>0.85950000000000004</v>
      </c>
      <c r="X57" s="152" t="e">
        <f t="shared" si="12"/>
        <v>#VALUE!</v>
      </c>
      <c r="Y57" s="160">
        <f t="shared" si="13"/>
        <v>0.85950000000000004</v>
      </c>
      <c r="Z57" s="3"/>
      <c r="AA57" s="3"/>
      <c r="AB57" s="63"/>
      <c r="AC57" s="63"/>
      <c r="AD57" s="63"/>
      <c r="AE57" s="63"/>
      <c r="AF57" s="63"/>
      <c r="AG57" s="63"/>
      <c r="AH57" s="63"/>
      <c r="AI57" s="1"/>
      <c r="AJ57" s="1"/>
      <c r="AK57" s="1"/>
    </row>
    <row r="58" spans="1:37" x14ac:dyDescent="0.2">
      <c r="A58" s="3"/>
      <c r="B58" s="3"/>
      <c r="C58" s="3"/>
      <c r="D58" s="3"/>
      <c r="E58" s="3"/>
      <c r="F58" s="3"/>
      <c r="G58" s="3"/>
      <c r="H58" s="158">
        <v>26</v>
      </c>
      <c r="I58" s="63">
        <v>2.056</v>
      </c>
      <c r="J58" s="63">
        <v>3.37</v>
      </c>
      <c r="K58" s="63"/>
      <c r="L58" s="164"/>
      <c r="M58" s="3"/>
      <c r="N58" s="3"/>
      <c r="O58" s="159">
        <f t="shared" si="4"/>
        <v>-6.5299598284575017E-2</v>
      </c>
      <c r="P58" s="211" t="e">
        <f t="shared" si="16"/>
        <v>#N/A</v>
      </c>
      <c r="Q58" s="159" t="e">
        <f t="shared" si="6"/>
        <v>#VALUE!</v>
      </c>
      <c r="R58" s="159" t="e">
        <f t="shared" si="7"/>
        <v>#VALUE!</v>
      </c>
      <c r="S58" s="159" t="e">
        <f t="shared" si="8"/>
        <v>#VALUE!</v>
      </c>
      <c r="T58" s="152" t="e">
        <f t="shared" si="9"/>
        <v>#VALUE!</v>
      </c>
      <c r="U58" s="160">
        <f t="shared" si="15"/>
        <v>0.86040000000000005</v>
      </c>
      <c r="V58" s="152" t="e">
        <f t="shared" si="10"/>
        <v>#VALUE!</v>
      </c>
      <c r="W58" s="160">
        <f t="shared" si="11"/>
        <v>0.86040000000000005</v>
      </c>
      <c r="X58" s="152" t="e">
        <f t="shared" si="12"/>
        <v>#VALUE!</v>
      </c>
      <c r="Y58" s="160">
        <f t="shared" si="13"/>
        <v>0.86040000000000005</v>
      </c>
      <c r="Z58" s="3"/>
      <c r="AA58" s="194"/>
      <c r="AB58" s="63"/>
      <c r="AC58" s="63"/>
      <c r="AD58" s="63"/>
      <c r="AE58" s="63"/>
      <c r="AF58" s="63"/>
      <c r="AG58" s="63"/>
      <c r="AH58" s="63"/>
      <c r="AI58" s="1"/>
      <c r="AJ58" s="1"/>
      <c r="AK58" s="1"/>
    </row>
    <row r="59" spans="1:37" x14ac:dyDescent="0.2">
      <c r="A59" s="3"/>
      <c r="B59" s="3"/>
      <c r="C59" s="3"/>
      <c r="D59" s="3"/>
      <c r="E59" s="3"/>
      <c r="F59" s="3"/>
      <c r="G59" s="3"/>
      <c r="H59" s="158">
        <v>27</v>
      </c>
      <c r="I59" s="63">
        <v>2.052</v>
      </c>
      <c r="J59" s="63">
        <v>3.35</v>
      </c>
      <c r="K59" s="63"/>
      <c r="L59" s="164"/>
      <c r="M59" s="3"/>
      <c r="N59" s="3"/>
      <c r="O59" s="159">
        <f t="shared" si="4"/>
        <v>-6.4845552783831528E-2</v>
      </c>
      <c r="P59" s="211" t="e">
        <f t="shared" si="16"/>
        <v>#N/A</v>
      </c>
      <c r="Q59" s="159" t="e">
        <f t="shared" si="6"/>
        <v>#VALUE!</v>
      </c>
      <c r="R59" s="159" t="e">
        <f t="shared" si="7"/>
        <v>#VALUE!</v>
      </c>
      <c r="S59" s="159" t="e">
        <f t="shared" si="8"/>
        <v>#VALUE!</v>
      </c>
      <c r="T59" s="152" t="e">
        <f t="shared" si="9"/>
        <v>#VALUE!</v>
      </c>
      <c r="U59" s="160">
        <f t="shared" si="15"/>
        <v>0.86130000000000007</v>
      </c>
      <c r="V59" s="152" t="e">
        <f t="shared" si="10"/>
        <v>#VALUE!</v>
      </c>
      <c r="W59" s="160">
        <f t="shared" si="11"/>
        <v>0.86130000000000007</v>
      </c>
      <c r="X59" s="152" t="e">
        <f t="shared" si="12"/>
        <v>#VALUE!</v>
      </c>
      <c r="Y59" s="160">
        <f t="shared" si="13"/>
        <v>0.86130000000000007</v>
      </c>
      <c r="Z59" s="3"/>
      <c r="AA59" s="194"/>
      <c r="AB59" s="63"/>
      <c r="AC59" s="63"/>
      <c r="AD59" s="63"/>
      <c r="AE59" s="63"/>
      <c r="AF59" s="63"/>
      <c r="AG59" s="63"/>
      <c r="AH59" s="63"/>
      <c r="AI59" s="1"/>
      <c r="AJ59" s="1"/>
      <c r="AK59" s="1"/>
    </row>
    <row r="60" spans="1:37" x14ac:dyDescent="0.2">
      <c r="A60" s="3"/>
      <c r="B60" s="3"/>
      <c r="C60" s="3"/>
      <c r="D60" s="3"/>
      <c r="E60" s="3"/>
      <c r="F60" s="3"/>
      <c r="G60" s="3"/>
      <c r="H60" s="158">
        <v>28</v>
      </c>
      <c r="I60" s="63">
        <v>2.048</v>
      </c>
      <c r="J60" s="63">
        <v>3.34</v>
      </c>
      <c r="K60" s="63"/>
      <c r="L60" s="164"/>
      <c r="M60" s="3"/>
      <c r="N60" s="3"/>
      <c r="O60" s="159">
        <f t="shared" si="4"/>
        <v>-6.439198148213067E-2</v>
      </c>
      <c r="P60" s="211" t="e">
        <f t="shared" si="16"/>
        <v>#N/A</v>
      </c>
      <c r="Q60" s="159" t="e">
        <f t="shared" si="6"/>
        <v>#VALUE!</v>
      </c>
      <c r="R60" s="159" t="e">
        <f t="shared" si="7"/>
        <v>#VALUE!</v>
      </c>
      <c r="S60" s="159" t="e">
        <f t="shared" si="8"/>
        <v>#VALUE!</v>
      </c>
      <c r="T60" s="152" t="e">
        <f t="shared" si="9"/>
        <v>#VALUE!</v>
      </c>
      <c r="U60" s="160">
        <f t="shared" si="15"/>
        <v>0.86220000000000008</v>
      </c>
      <c r="V60" s="152" t="e">
        <f t="shared" si="10"/>
        <v>#VALUE!</v>
      </c>
      <c r="W60" s="160">
        <f t="shared" si="11"/>
        <v>0.86220000000000008</v>
      </c>
      <c r="X60" s="152" t="e">
        <f t="shared" si="12"/>
        <v>#VALUE!</v>
      </c>
      <c r="Y60" s="160">
        <f t="shared" si="13"/>
        <v>0.86220000000000008</v>
      </c>
      <c r="Z60" s="3"/>
      <c r="AA60" s="3"/>
      <c r="AB60" s="63"/>
      <c r="AC60" s="63"/>
      <c r="AD60" s="63"/>
      <c r="AE60" s="63"/>
      <c r="AF60" s="63"/>
      <c r="AG60" s="63"/>
      <c r="AH60" s="63"/>
      <c r="AI60" s="1"/>
      <c r="AJ60" s="1"/>
      <c r="AK60" s="1"/>
    </row>
    <row r="61" spans="1:37" x14ac:dyDescent="0.2">
      <c r="A61" s="3"/>
      <c r="B61" s="3"/>
      <c r="C61" s="3"/>
      <c r="D61" s="3"/>
      <c r="E61" s="3"/>
      <c r="F61" s="3"/>
      <c r="G61" s="3"/>
      <c r="H61" s="158">
        <v>29</v>
      </c>
      <c r="I61" s="63">
        <v>2.0449999999999999</v>
      </c>
      <c r="J61" s="63">
        <v>3.33</v>
      </c>
      <c r="K61" s="63"/>
      <c r="L61" s="164"/>
      <c r="M61" s="3"/>
      <c r="N61" s="3"/>
      <c r="O61" s="159">
        <f t="shared" si="4"/>
        <v>-6.3938883390011539E-2</v>
      </c>
      <c r="P61" s="211" t="e">
        <f t="shared" si="16"/>
        <v>#N/A</v>
      </c>
      <c r="Q61" s="159" t="e">
        <f t="shared" si="6"/>
        <v>#VALUE!</v>
      </c>
      <c r="R61" s="159" t="e">
        <f t="shared" si="7"/>
        <v>#VALUE!</v>
      </c>
      <c r="S61" s="159" t="e">
        <f t="shared" si="8"/>
        <v>#VALUE!</v>
      </c>
      <c r="T61" s="152" t="e">
        <f t="shared" si="9"/>
        <v>#VALUE!</v>
      </c>
      <c r="U61" s="160">
        <f t="shared" si="15"/>
        <v>0.86309999999999998</v>
      </c>
      <c r="V61" s="152" t="e">
        <f t="shared" si="10"/>
        <v>#VALUE!</v>
      </c>
      <c r="W61" s="160">
        <f t="shared" si="11"/>
        <v>0.86309999999999998</v>
      </c>
      <c r="X61" s="152" t="e">
        <f t="shared" si="12"/>
        <v>#VALUE!</v>
      </c>
      <c r="Y61" s="160">
        <f t="shared" si="13"/>
        <v>0.86309999999999998</v>
      </c>
      <c r="Z61" s="3"/>
      <c r="AA61" s="3"/>
      <c r="AB61" s="63"/>
      <c r="AC61" s="63"/>
      <c r="AD61" s="63"/>
      <c r="AE61" s="63"/>
      <c r="AF61" s="63"/>
      <c r="AG61" s="63"/>
      <c r="AH61" s="63"/>
      <c r="AI61" s="1"/>
      <c r="AJ61" s="1"/>
      <c r="AK61" s="1"/>
    </row>
    <row r="62" spans="1:37" x14ac:dyDescent="0.2">
      <c r="A62" s="3"/>
      <c r="B62" s="3"/>
      <c r="C62" s="3"/>
      <c r="D62" s="3"/>
      <c r="E62" s="3"/>
      <c r="F62" s="3"/>
      <c r="G62" s="3"/>
      <c r="H62" s="158">
        <v>30</v>
      </c>
      <c r="I62" s="63">
        <v>2.0419999999999998</v>
      </c>
      <c r="J62" s="63">
        <v>3.32</v>
      </c>
      <c r="K62" s="63"/>
      <c r="L62" s="164"/>
      <c r="M62" s="3"/>
      <c r="N62" s="3"/>
      <c r="O62" s="159">
        <f t="shared" si="4"/>
        <v>-6.3486257521106718E-2</v>
      </c>
      <c r="P62" s="211" t="e">
        <f t="shared" si="16"/>
        <v>#N/A</v>
      </c>
      <c r="Q62" s="159" t="e">
        <f t="shared" si="6"/>
        <v>#VALUE!</v>
      </c>
      <c r="R62" s="159" t="e">
        <f t="shared" si="7"/>
        <v>#VALUE!</v>
      </c>
      <c r="S62" s="159" t="e">
        <f t="shared" si="8"/>
        <v>#VALUE!</v>
      </c>
      <c r="T62" s="152" t="e">
        <f t="shared" si="9"/>
        <v>#VALUE!</v>
      </c>
      <c r="U62" s="160">
        <f t="shared" si="15"/>
        <v>0.86399999999999999</v>
      </c>
      <c r="V62" s="152" t="e">
        <f t="shared" si="10"/>
        <v>#VALUE!</v>
      </c>
      <c r="W62" s="160">
        <f t="shared" si="11"/>
        <v>0.86399999999999999</v>
      </c>
      <c r="X62" s="152" t="e">
        <f t="shared" si="12"/>
        <v>#VALUE!</v>
      </c>
      <c r="Y62" s="160">
        <f t="shared" si="13"/>
        <v>0.86399999999999999</v>
      </c>
      <c r="Z62" s="3"/>
      <c r="AA62" s="151"/>
      <c r="AB62" s="63"/>
      <c r="AC62" s="63"/>
      <c r="AD62" s="63"/>
      <c r="AE62" s="63"/>
      <c r="AF62" s="63"/>
      <c r="AG62" s="63"/>
      <c r="AH62" s="63"/>
      <c r="AI62" s="1"/>
      <c r="AJ62" s="1"/>
      <c r="AK62" s="1"/>
    </row>
    <row r="63" spans="1:37" x14ac:dyDescent="0.2">
      <c r="A63" s="3"/>
      <c r="B63" s="3"/>
      <c r="C63" s="3"/>
      <c r="D63" s="3"/>
      <c r="E63" s="3"/>
      <c r="F63" s="3"/>
      <c r="G63" s="3"/>
      <c r="H63" s="158">
        <v>31</v>
      </c>
      <c r="I63" s="63">
        <v>2.0209999999999999</v>
      </c>
      <c r="J63" s="63">
        <v>3.23</v>
      </c>
      <c r="K63" s="63"/>
      <c r="L63" s="164"/>
      <c r="M63" s="3"/>
      <c r="N63" s="3"/>
      <c r="O63" s="159">
        <f t="shared" si="4"/>
        <v>-6.3034102892129767E-2</v>
      </c>
      <c r="P63" s="211" t="e">
        <f t="shared" si="16"/>
        <v>#N/A</v>
      </c>
      <c r="Q63" s="159" t="e">
        <f t="shared" si="6"/>
        <v>#VALUE!</v>
      </c>
      <c r="R63" s="159" t="e">
        <f t="shared" si="7"/>
        <v>#VALUE!</v>
      </c>
      <c r="S63" s="159" t="e">
        <f t="shared" si="8"/>
        <v>#VALUE!</v>
      </c>
      <c r="T63" s="152" t="e">
        <f t="shared" si="9"/>
        <v>#VALUE!</v>
      </c>
      <c r="U63" s="160">
        <f t="shared" si="15"/>
        <v>0.86489999999999989</v>
      </c>
      <c r="V63" s="152" t="e">
        <f t="shared" si="10"/>
        <v>#VALUE!</v>
      </c>
      <c r="W63" s="160">
        <f t="shared" si="11"/>
        <v>0.86489999999999989</v>
      </c>
      <c r="X63" s="152" t="e">
        <f t="shared" si="12"/>
        <v>#VALUE!</v>
      </c>
      <c r="Y63" s="160">
        <f t="shared" si="13"/>
        <v>0.86489999999999989</v>
      </c>
      <c r="Z63" s="3"/>
      <c r="AA63" s="3"/>
      <c r="AB63" s="63"/>
      <c r="AC63" s="63"/>
      <c r="AD63" s="63"/>
      <c r="AE63" s="63"/>
      <c r="AF63" s="63"/>
      <c r="AG63" s="63"/>
      <c r="AH63" s="63"/>
      <c r="AI63" s="1"/>
      <c r="AJ63" s="1"/>
      <c r="AK63" s="1"/>
    </row>
    <row r="64" spans="1:37" x14ac:dyDescent="0.2">
      <c r="A64" s="3"/>
      <c r="B64" s="3"/>
      <c r="C64" s="3"/>
      <c r="D64" s="3"/>
      <c r="E64" s="3"/>
      <c r="F64" s="3"/>
      <c r="G64" s="3"/>
      <c r="H64" s="158">
        <v>40</v>
      </c>
      <c r="I64" s="63">
        <v>2.0209999999999999</v>
      </c>
      <c r="J64" s="63">
        <v>3.23</v>
      </c>
      <c r="K64" s="63"/>
      <c r="L64" s="164"/>
      <c r="M64" s="3"/>
      <c r="N64" s="3"/>
      <c r="O64" s="159">
        <f t="shared" si="4"/>
        <v>-6.2582418522862157E-2</v>
      </c>
      <c r="P64" s="211" t="e">
        <f t="shared" si="16"/>
        <v>#N/A</v>
      </c>
      <c r="Q64" s="159" t="e">
        <f t="shared" si="6"/>
        <v>#VALUE!</v>
      </c>
      <c r="R64" s="159" t="e">
        <f t="shared" si="7"/>
        <v>#VALUE!</v>
      </c>
      <c r="S64" s="159" t="e">
        <f t="shared" si="8"/>
        <v>#VALUE!</v>
      </c>
      <c r="T64" s="152" t="e">
        <f t="shared" si="9"/>
        <v>#VALUE!</v>
      </c>
      <c r="U64" s="160">
        <f t="shared" si="15"/>
        <v>0.86580000000000001</v>
      </c>
      <c r="V64" s="152" t="e">
        <f t="shared" si="10"/>
        <v>#VALUE!</v>
      </c>
      <c r="W64" s="160">
        <f t="shared" si="11"/>
        <v>0.86580000000000001</v>
      </c>
      <c r="X64" s="152" t="e">
        <f t="shared" si="12"/>
        <v>#VALUE!</v>
      </c>
      <c r="Y64" s="160">
        <f t="shared" si="13"/>
        <v>0.86580000000000001</v>
      </c>
      <c r="Z64" s="3"/>
      <c r="AA64" s="3"/>
      <c r="AB64" s="63"/>
      <c r="AC64" s="63"/>
      <c r="AD64" s="63"/>
      <c r="AE64" s="63"/>
      <c r="AF64" s="63"/>
      <c r="AG64" s="63"/>
      <c r="AH64" s="63"/>
      <c r="AI64" s="1"/>
      <c r="AJ64" s="1"/>
      <c r="AK64" s="1"/>
    </row>
    <row r="65" spans="1:37" x14ac:dyDescent="0.2">
      <c r="A65" s="3"/>
      <c r="B65" s="3"/>
      <c r="C65" s="3"/>
      <c r="D65" s="3"/>
      <c r="E65" s="3"/>
      <c r="F65" s="3"/>
      <c r="G65" s="3"/>
      <c r="H65" s="158">
        <v>41</v>
      </c>
      <c r="I65" s="63">
        <v>2</v>
      </c>
      <c r="J65" s="63">
        <v>3.15</v>
      </c>
      <c r="K65" s="63"/>
      <c r="L65" s="164"/>
      <c r="M65" s="3"/>
      <c r="N65" s="3"/>
      <c r="O65" s="159">
        <f t="shared" si="4"/>
        <v>-6.2131203436140599E-2</v>
      </c>
      <c r="P65" s="211" t="e">
        <f t="shared" si="16"/>
        <v>#N/A</v>
      </c>
      <c r="Q65" s="159" t="e">
        <f t="shared" si="6"/>
        <v>#VALUE!</v>
      </c>
      <c r="R65" s="159" t="e">
        <f t="shared" si="7"/>
        <v>#VALUE!</v>
      </c>
      <c r="S65" s="159" t="e">
        <f t="shared" si="8"/>
        <v>#VALUE!</v>
      </c>
      <c r="T65" s="152" t="e">
        <f t="shared" si="9"/>
        <v>#VALUE!</v>
      </c>
      <c r="U65" s="160">
        <f t="shared" si="15"/>
        <v>0.86670000000000003</v>
      </c>
      <c r="V65" s="152" t="e">
        <f t="shared" si="10"/>
        <v>#VALUE!</v>
      </c>
      <c r="W65" s="160">
        <f t="shared" si="11"/>
        <v>0.86670000000000003</v>
      </c>
      <c r="X65" s="152" t="e">
        <f t="shared" si="12"/>
        <v>#VALUE!</v>
      </c>
      <c r="Y65" s="160">
        <f t="shared" si="13"/>
        <v>0.86670000000000003</v>
      </c>
      <c r="Z65" s="3"/>
      <c r="AA65" s="3"/>
      <c r="AB65" s="63"/>
      <c r="AC65" s="63"/>
      <c r="AD65" s="63"/>
      <c r="AE65" s="63"/>
      <c r="AF65" s="63"/>
      <c r="AG65" s="63"/>
      <c r="AH65" s="63"/>
      <c r="AI65" s="1"/>
      <c r="AJ65" s="1"/>
      <c r="AK65" s="1"/>
    </row>
    <row r="66" spans="1:37" x14ac:dyDescent="0.2">
      <c r="A66" s="3"/>
      <c r="B66" s="3"/>
      <c r="C66" s="3"/>
      <c r="D66" s="3"/>
      <c r="E66" s="3"/>
      <c r="F66" s="3"/>
      <c r="G66" s="3"/>
      <c r="H66" s="158">
        <v>60</v>
      </c>
      <c r="I66" s="63">
        <v>2</v>
      </c>
      <c r="J66" s="63">
        <v>3.15</v>
      </c>
      <c r="K66" s="63"/>
      <c r="L66" s="164"/>
      <c r="M66" s="3"/>
      <c r="N66" s="3"/>
      <c r="O66" s="159">
        <f t="shared" ref="O66:O102" si="17">LOG($I$19+($I$20-$I$19)*(ROW()-2)/100)</f>
        <v>-6.1680456657844329E-2</v>
      </c>
      <c r="P66" s="211" t="e">
        <f t="shared" ref="P66:P97" si="18">SQRT(2*$I$16*$K$24)*SQRT((1/$I$1)+((O66-$I$10)^2/$I$7))</f>
        <v>#N/A</v>
      </c>
      <c r="Q66" s="159" t="e">
        <f t="shared" ref="Q66:Q102" si="19">+$I$13+$I$12*O66</f>
        <v>#VALUE!</v>
      </c>
      <c r="R66" s="159" t="e">
        <f t="shared" ref="R66:R102" si="20">+$I$13+$I$12*O66-P66</f>
        <v>#VALUE!</v>
      </c>
      <c r="S66" s="159" t="e">
        <f t="shared" ref="S66:S102" si="21">+$I$13+$I$12*O66+P66</f>
        <v>#VALUE!</v>
      </c>
      <c r="T66" s="152" t="e">
        <f t="shared" ref="T66:T102" si="22">10^Q66</f>
        <v>#VALUE!</v>
      </c>
      <c r="U66" s="160">
        <f t="shared" si="15"/>
        <v>0.86760000000000004</v>
      </c>
      <c r="V66" s="152" t="e">
        <f t="shared" ref="V66:V102" si="23">10^R66</f>
        <v>#VALUE!</v>
      </c>
      <c r="W66" s="160">
        <f t="shared" ref="W66:W102" si="24">10^$O66</f>
        <v>0.86760000000000004</v>
      </c>
      <c r="X66" s="152" t="e">
        <f t="shared" ref="X66:X102" si="25">10^S66</f>
        <v>#VALUE!</v>
      </c>
      <c r="Y66" s="160">
        <f t="shared" ref="Y66:Y102" si="26">10^$O66</f>
        <v>0.86760000000000004</v>
      </c>
      <c r="Z66" s="3"/>
      <c r="AA66" s="63"/>
      <c r="AB66" s="63"/>
      <c r="AC66" s="63"/>
      <c r="AD66" s="63"/>
      <c r="AE66" s="63"/>
      <c r="AF66" s="63"/>
      <c r="AG66" s="63"/>
      <c r="AH66" s="63"/>
      <c r="AI66" s="1"/>
      <c r="AJ66" s="1"/>
      <c r="AK66" s="1"/>
    </row>
    <row r="67" spans="1:37" x14ac:dyDescent="0.2">
      <c r="A67" s="3"/>
      <c r="B67" s="3"/>
      <c r="C67" s="3"/>
      <c r="D67" s="3"/>
      <c r="E67" s="3"/>
      <c r="F67" s="3"/>
      <c r="G67" s="3"/>
      <c r="H67" s="158">
        <v>61</v>
      </c>
      <c r="I67" s="63">
        <v>1.98</v>
      </c>
      <c r="J67" s="63">
        <v>3.07</v>
      </c>
      <c r="K67" s="63"/>
      <c r="L67" s="164"/>
      <c r="M67" s="3"/>
      <c r="N67" s="3"/>
      <c r="O67" s="159">
        <f t="shared" si="17"/>
        <v>-6.1230177216882536E-2</v>
      </c>
      <c r="P67" s="211" t="e">
        <f t="shared" si="18"/>
        <v>#N/A</v>
      </c>
      <c r="Q67" s="159" t="e">
        <f t="shared" si="19"/>
        <v>#VALUE!</v>
      </c>
      <c r="R67" s="159" t="e">
        <f t="shared" si="20"/>
        <v>#VALUE!</v>
      </c>
      <c r="S67" s="159" t="e">
        <f t="shared" si="21"/>
        <v>#VALUE!</v>
      </c>
      <c r="T67" s="152" t="e">
        <f t="shared" si="22"/>
        <v>#VALUE!</v>
      </c>
      <c r="U67" s="160">
        <f t="shared" ref="U67:U102" si="27">10^O67</f>
        <v>0.86850000000000005</v>
      </c>
      <c r="V67" s="152" t="e">
        <f t="shared" si="23"/>
        <v>#VALUE!</v>
      </c>
      <c r="W67" s="160">
        <f t="shared" si="24"/>
        <v>0.86850000000000005</v>
      </c>
      <c r="X67" s="152" t="e">
        <f t="shared" si="25"/>
        <v>#VALUE!</v>
      </c>
      <c r="Y67" s="160">
        <f t="shared" si="26"/>
        <v>0.86850000000000005</v>
      </c>
      <c r="Z67" s="3"/>
      <c r="AA67" s="63"/>
      <c r="AB67" s="63"/>
      <c r="AC67" s="63"/>
      <c r="AD67" s="63"/>
      <c r="AE67" s="63"/>
      <c r="AF67" s="63"/>
      <c r="AG67" s="63"/>
      <c r="AH67" s="63"/>
      <c r="AI67" s="1"/>
      <c r="AJ67" s="1"/>
      <c r="AK67" s="1"/>
    </row>
    <row r="68" spans="1:37" x14ac:dyDescent="0.2">
      <c r="A68" s="3"/>
      <c r="B68" s="3"/>
      <c r="C68" s="3"/>
      <c r="D68" s="3"/>
      <c r="E68" s="3"/>
      <c r="F68" s="3"/>
      <c r="G68" s="3"/>
      <c r="H68" s="158">
        <v>120</v>
      </c>
      <c r="I68" s="63">
        <v>1.98</v>
      </c>
      <c r="J68" s="63">
        <v>3.07</v>
      </c>
      <c r="K68" s="63"/>
      <c r="L68" s="164"/>
      <c r="M68" s="3"/>
      <c r="N68" s="3"/>
      <c r="O68" s="159">
        <f t="shared" si="17"/>
        <v>-6.0780364145181752E-2</v>
      </c>
      <c r="P68" s="211" t="e">
        <f t="shared" si="18"/>
        <v>#N/A</v>
      </c>
      <c r="Q68" s="159" t="e">
        <f t="shared" si="19"/>
        <v>#VALUE!</v>
      </c>
      <c r="R68" s="159" t="e">
        <f t="shared" si="20"/>
        <v>#VALUE!</v>
      </c>
      <c r="S68" s="159" t="e">
        <f t="shared" si="21"/>
        <v>#VALUE!</v>
      </c>
      <c r="T68" s="152" t="e">
        <f t="shared" si="22"/>
        <v>#VALUE!</v>
      </c>
      <c r="U68" s="160">
        <f t="shared" si="27"/>
        <v>0.86940000000000017</v>
      </c>
      <c r="V68" s="152" t="e">
        <f t="shared" si="23"/>
        <v>#VALUE!</v>
      </c>
      <c r="W68" s="160">
        <f t="shared" si="24"/>
        <v>0.86940000000000017</v>
      </c>
      <c r="X68" s="152" t="e">
        <f t="shared" si="25"/>
        <v>#VALUE!</v>
      </c>
      <c r="Y68" s="160">
        <f t="shared" si="26"/>
        <v>0.86940000000000017</v>
      </c>
      <c r="Z68" s="3"/>
      <c r="AA68" s="63"/>
      <c r="AB68" s="63"/>
      <c r="AC68" s="63"/>
      <c r="AD68" s="63"/>
      <c r="AE68" s="63"/>
      <c r="AF68" s="63"/>
      <c r="AG68" s="63"/>
      <c r="AH68" s="63"/>
      <c r="AI68" s="1"/>
      <c r="AJ68" s="1"/>
      <c r="AK68" s="1"/>
    </row>
    <row r="69" spans="1:37" x14ac:dyDescent="0.2">
      <c r="A69" s="3"/>
      <c r="B69" s="3"/>
      <c r="C69" s="3"/>
      <c r="D69" s="3"/>
      <c r="E69" s="3"/>
      <c r="F69" s="3"/>
      <c r="G69" s="3"/>
      <c r="H69" s="158">
        <v>121</v>
      </c>
      <c r="I69" s="63">
        <v>1.96</v>
      </c>
      <c r="J69" s="63">
        <v>3</v>
      </c>
      <c r="K69" s="63"/>
      <c r="L69" s="164"/>
      <c r="M69" s="3"/>
      <c r="N69" s="3"/>
      <c r="O69" s="159">
        <f t="shared" si="17"/>
        <v>-6.0331016477673416E-2</v>
      </c>
      <c r="P69" s="211" t="e">
        <f t="shared" si="18"/>
        <v>#N/A</v>
      </c>
      <c r="Q69" s="159" t="e">
        <f t="shared" si="19"/>
        <v>#VALUE!</v>
      </c>
      <c r="R69" s="159" t="e">
        <f t="shared" si="20"/>
        <v>#VALUE!</v>
      </c>
      <c r="S69" s="159" t="e">
        <f t="shared" si="21"/>
        <v>#VALUE!</v>
      </c>
      <c r="T69" s="152" t="e">
        <f t="shared" si="22"/>
        <v>#VALUE!</v>
      </c>
      <c r="U69" s="160">
        <f t="shared" si="27"/>
        <v>0.87030000000000007</v>
      </c>
      <c r="V69" s="152" t="e">
        <f t="shared" si="23"/>
        <v>#VALUE!</v>
      </c>
      <c r="W69" s="160">
        <f t="shared" si="24"/>
        <v>0.87030000000000007</v>
      </c>
      <c r="X69" s="152" t="e">
        <f t="shared" si="25"/>
        <v>#VALUE!</v>
      </c>
      <c r="Y69" s="160">
        <f t="shared" si="26"/>
        <v>0.87030000000000007</v>
      </c>
      <c r="Z69" s="3"/>
      <c r="AA69" s="63"/>
      <c r="AB69" s="63"/>
      <c r="AC69" s="63"/>
      <c r="AD69" s="63"/>
      <c r="AE69" s="63"/>
      <c r="AF69" s="63"/>
      <c r="AG69" s="63"/>
      <c r="AH69" s="63"/>
      <c r="AI69" s="1"/>
      <c r="AJ69" s="1"/>
      <c r="AK69" s="1"/>
    </row>
    <row r="70" spans="1:37" ht="13.5" thickBot="1" x14ac:dyDescent="0.25">
      <c r="A70" s="3"/>
      <c r="B70" s="3"/>
      <c r="C70" s="3"/>
      <c r="D70" s="3"/>
      <c r="E70" s="3"/>
      <c r="F70" s="3"/>
      <c r="G70" s="3"/>
      <c r="H70" s="173"/>
      <c r="I70" s="188"/>
      <c r="J70" s="188"/>
      <c r="K70" s="188"/>
      <c r="L70" s="168"/>
      <c r="M70" s="3"/>
      <c r="N70" s="3"/>
      <c r="O70" s="159">
        <f t="shared" si="17"/>
        <v>-5.9882133252281471E-2</v>
      </c>
      <c r="P70" s="211" t="e">
        <f t="shared" si="18"/>
        <v>#N/A</v>
      </c>
      <c r="Q70" s="159" t="e">
        <f t="shared" si="19"/>
        <v>#VALUE!</v>
      </c>
      <c r="R70" s="159" t="e">
        <f t="shared" si="20"/>
        <v>#VALUE!</v>
      </c>
      <c r="S70" s="159" t="e">
        <f t="shared" si="21"/>
        <v>#VALUE!</v>
      </c>
      <c r="T70" s="152" t="e">
        <f t="shared" si="22"/>
        <v>#VALUE!</v>
      </c>
      <c r="U70" s="160">
        <f t="shared" si="27"/>
        <v>0.87119999999999986</v>
      </c>
      <c r="V70" s="152" t="e">
        <f t="shared" si="23"/>
        <v>#VALUE!</v>
      </c>
      <c r="W70" s="160">
        <f t="shared" si="24"/>
        <v>0.87119999999999986</v>
      </c>
      <c r="X70" s="152" t="e">
        <f t="shared" si="25"/>
        <v>#VALUE!</v>
      </c>
      <c r="Y70" s="160">
        <f t="shared" si="26"/>
        <v>0.87119999999999986</v>
      </c>
      <c r="Z70" s="3"/>
      <c r="AA70" s="63"/>
      <c r="AB70" s="63"/>
      <c r="AC70" s="63"/>
      <c r="AD70" s="63"/>
      <c r="AE70" s="63"/>
      <c r="AF70" s="63"/>
      <c r="AG70" s="63"/>
      <c r="AH70" s="63"/>
      <c r="AI70" s="1"/>
      <c r="AJ70" s="1"/>
      <c r="AK70" s="1"/>
    </row>
    <row r="71" spans="1:37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159">
        <f t="shared" si="17"/>
        <v>-5.9433713509909808E-2</v>
      </c>
      <c r="P71" s="211" t="e">
        <f t="shared" si="18"/>
        <v>#N/A</v>
      </c>
      <c r="Q71" s="159" t="e">
        <f t="shared" si="19"/>
        <v>#VALUE!</v>
      </c>
      <c r="R71" s="159" t="e">
        <f t="shared" si="20"/>
        <v>#VALUE!</v>
      </c>
      <c r="S71" s="159" t="e">
        <f t="shared" si="21"/>
        <v>#VALUE!</v>
      </c>
      <c r="T71" s="152" t="e">
        <f t="shared" si="22"/>
        <v>#VALUE!</v>
      </c>
      <c r="U71" s="160">
        <f t="shared" si="27"/>
        <v>0.87209999999999988</v>
      </c>
      <c r="V71" s="152" t="e">
        <f t="shared" si="23"/>
        <v>#VALUE!</v>
      </c>
      <c r="W71" s="160">
        <f t="shared" si="24"/>
        <v>0.87209999999999988</v>
      </c>
      <c r="X71" s="152" t="e">
        <f t="shared" si="25"/>
        <v>#VALUE!</v>
      </c>
      <c r="Y71" s="160">
        <f t="shared" si="26"/>
        <v>0.87209999999999988</v>
      </c>
      <c r="Z71" s="3"/>
      <c r="AA71" s="63"/>
      <c r="AB71" s="63"/>
      <c r="AC71" s="63"/>
      <c r="AD71" s="63"/>
      <c r="AE71" s="63"/>
      <c r="AF71" s="63"/>
      <c r="AG71" s="63"/>
      <c r="AH71" s="63"/>
      <c r="AI71" s="1"/>
      <c r="AJ71" s="1"/>
      <c r="AK71" s="1"/>
    </row>
    <row r="72" spans="1:37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159">
        <f t="shared" si="17"/>
        <v>-5.8985756294430272E-2</v>
      </c>
      <c r="P72" s="211" t="e">
        <f t="shared" si="18"/>
        <v>#N/A</v>
      </c>
      <c r="Q72" s="159" t="e">
        <f t="shared" si="19"/>
        <v>#VALUE!</v>
      </c>
      <c r="R72" s="159" t="e">
        <f t="shared" si="20"/>
        <v>#VALUE!</v>
      </c>
      <c r="S72" s="159" t="e">
        <f t="shared" si="21"/>
        <v>#VALUE!</v>
      </c>
      <c r="T72" s="152" t="e">
        <f t="shared" si="22"/>
        <v>#VALUE!</v>
      </c>
      <c r="U72" s="160">
        <f t="shared" si="27"/>
        <v>0.87300000000000011</v>
      </c>
      <c r="V72" s="152" t="e">
        <f t="shared" si="23"/>
        <v>#VALUE!</v>
      </c>
      <c r="W72" s="160">
        <f t="shared" si="24"/>
        <v>0.87300000000000011</v>
      </c>
      <c r="X72" s="152" t="e">
        <f t="shared" si="25"/>
        <v>#VALUE!</v>
      </c>
      <c r="Y72" s="160">
        <f t="shared" si="26"/>
        <v>0.87300000000000011</v>
      </c>
      <c r="Z72" s="3"/>
      <c r="AA72" s="63"/>
      <c r="AB72" s="63"/>
      <c r="AC72" s="63"/>
      <c r="AD72" s="63"/>
      <c r="AE72" s="63"/>
      <c r="AF72" s="63"/>
      <c r="AG72" s="63"/>
      <c r="AH72" s="63"/>
      <c r="AI72" s="1"/>
      <c r="AJ72" s="1"/>
      <c r="AK72" s="1"/>
    </row>
    <row r="73" spans="1:37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159">
        <f t="shared" si="17"/>
        <v>-5.853826065267026E-2</v>
      </c>
      <c r="P73" s="211" t="e">
        <f t="shared" si="18"/>
        <v>#N/A</v>
      </c>
      <c r="Q73" s="159" t="e">
        <f t="shared" si="19"/>
        <v>#VALUE!</v>
      </c>
      <c r="R73" s="159" t="e">
        <f t="shared" si="20"/>
        <v>#VALUE!</v>
      </c>
      <c r="S73" s="159" t="e">
        <f t="shared" si="21"/>
        <v>#VALUE!</v>
      </c>
      <c r="T73" s="152" t="e">
        <f t="shared" si="22"/>
        <v>#VALUE!</v>
      </c>
      <c r="U73" s="160">
        <f t="shared" si="27"/>
        <v>0.87390000000000001</v>
      </c>
      <c r="V73" s="152" t="e">
        <f t="shared" si="23"/>
        <v>#VALUE!</v>
      </c>
      <c r="W73" s="160">
        <f t="shared" si="24"/>
        <v>0.87390000000000001</v>
      </c>
      <c r="X73" s="152" t="e">
        <f t="shared" si="25"/>
        <v>#VALUE!</v>
      </c>
      <c r="Y73" s="160">
        <f t="shared" si="26"/>
        <v>0.87390000000000001</v>
      </c>
      <c r="Z73" s="3"/>
      <c r="AA73" s="63"/>
      <c r="AB73" s="63"/>
      <c r="AC73" s="63"/>
      <c r="AD73" s="63"/>
      <c r="AE73" s="63"/>
      <c r="AF73" s="63"/>
      <c r="AG73" s="63"/>
      <c r="AH73" s="63"/>
      <c r="AI73" s="1"/>
      <c r="AJ73" s="1"/>
      <c r="AK73" s="1"/>
    </row>
    <row r="74" spans="1:37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159">
        <f t="shared" si="17"/>
        <v>-5.8091225634400535E-2</v>
      </c>
      <c r="P74" s="211" t="e">
        <f t="shared" si="18"/>
        <v>#N/A</v>
      </c>
      <c r="Q74" s="159" t="e">
        <f t="shared" si="19"/>
        <v>#VALUE!</v>
      </c>
      <c r="R74" s="159" t="e">
        <f t="shared" si="20"/>
        <v>#VALUE!</v>
      </c>
      <c r="S74" s="159" t="e">
        <f t="shared" si="21"/>
        <v>#VALUE!</v>
      </c>
      <c r="T74" s="152" t="e">
        <f t="shared" si="22"/>
        <v>#VALUE!</v>
      </c>
      <c r="U74" s="160">
        <f t="shared" si="27"/>
        <v>0.87479999999999991</v>
      </c>
      <c r="V74" s="152" t="e">
        <f t="shared" si="23"/>
        <v>#VALUE!</v>
      </c>
      <c r="W74" s="160">
        <f t="shared" si="24"/>
        <v>0.87479999999999991</v>
      </c>
      <c r="X74" s="152" t="e">
        <f t="shared" si="25"/>
        <v>#VALUE!</v>
      </c>
      <c r="Y74" s="160">
        <f t="shared" si="26"/>
        <v>0.87479999999999991</v>
      </c>
      <c r="Z74" s="3"/>
      <c r="AA74" s="63"/>
      <c r="AB74" s="63"/>
      <c r="AC74" s="63"/>
      <c r="AD74" s="63"/>
      <c r="AE74" s="63"/>
      <c r="AF74" s="63"/>
      <c r="AG74" s="63"/>
      <c r="AH74" s="63"/>
      <c r="AI74" s="1"/>
      <c r="AJ74" s="1"/>
      <c r="AK74" s="1"/>
    </row>
    <row r="75" spans="1:37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159">
        <f t="shared" si="17"/>
        <v>-5.7644650292323199E-2</v>
      </c>
      <c r="P75" s="211" t="e">
        <f t="shared" si="18"/>
        <v>#N/A</v>
      </c>
      <c r="Q75" s="159" t="e">
        <f t="shared" si="19"/>
        <v>#VALUE!</v>
      </c>
      <c r="R75" s="159" t="e">
        <f t="shared" si="20"/>
        <v>#VALUE!</v>
      </c>
      <c r="S75" s="159" t="e">
        <f t="shared" si="21"/>
        <v>#VALUE!</v>
      </c>
      <c r="T75" s="152" t="e">
        <f t="shared" si="22"/>
        <v>#VALUE!</v>
      </c>
      <c r="U75" s="160">
        <f t="shared" si="27"/>
        <v>0.87570000000000003</v>
      </c>
      <c r="V75" s="152" t="e">
        <f t="shared" si="23"/>
        <v>#VALUE!</v>
      </c>
      <c r="W75" s="160">
        <f t="shared" si="24"/>
        <v>0.87570000000000003</v>
      </c>
      <c r="X75" s="152" t="e">
        <f t="shared" si="25"/>
        <v>#VALUE!</v>
      </c>
      <c r="Y75" s="160">
        <f t="shared" si="26"/>
        <v>0.87570000000000003</v>
      </c>
      <c r="Z75" s="3"/>
      <c r="AA75" s="63"/>
      <c r="AB75" s="63"/>
      <c r="AC75" s="63"/>
      <c r="AD75" s="63"/>
      <c r="AE75" s="63"/>
      <c r="AF75" s="63"/>
      <c r="AG75" s="63"/>
      <c r="AH75" s="63"/>
      <c r="AI75" s="1"/>
      <c r="AJ75" s="1"/>
      <c r="AK75" s="1"/>
    </row>
    <row r="76" spans="1:37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159">
        <f t="shared" si="17"/>
        <v>-5.7198533682059578E-2</v>
      </c>
      <c r="P76" s="211" t="e">
        <f t="shared" si="18"/>
        <v>#N/A</v>
      </c>
      <c r="Q76" s="159" t="e">
        <f t="shared" si="19"/>
        <v>#VALUE!</v>
      </c>
      <c r="R76" s="159" t="e">
        <f t="shared" si="20"/>
        <v>#VALUE!</v>
      </c>
      <c r="S76" s="159" t="e">
        <f t="shared" si="21"/>
        <v>#VALUE!</v>
      </c>
      <c r="T76" s="152" t="e">
        <f t="shared" si="22"/>
        <v>#VALUE!</v>
      </c>
      <c r="U76" s="160">
        <f t="shared" si="27"/>
        <v>0.87660000000000005</v>
      </c>
      <c r="V76" s="152" t="e">
        <f t="shared" si="23"/>
        <v>#VALUE!</v>
      </c>
      <c r="W76" s="160">
        <f t="shared" si="24"/>
        <v>0.87660000000000005</v>
      </c>
      <c r="X76" s="152" t="e">
        <f t="shared" si="25"/>
        <v>#VALUE!</v>
      </c>
      <c r="Y76" s="160">
        <f t="shared" si="26"/>
        <v>0.87660000000000005</v>
      </c>
      <c r="Z76" s="3"/>
      <c r="AA76" s="63"/>
      <c r="AB76" s="63"/>
      <c r="AC76" s="63"/>
      <c r="AD76" s="63"/>
      <c r="AE76" s="63"/>
      <c r="AF76" s="63"/>
      <c r="AG76" s="63"/>
      <c r="AH76" s="63"/>
      <c r="AI76" s="1"/>
      <c r="AJ76" s="1"/>
      <c r="AK76" s="1"/>
    </row>
    <row r="77" spans="1:37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159">
        <f t="shared" si="17"/>
        <v>-5.6752874862138279E-2</v>
      </c>
      <c r="P77" s="211" t="e">
        <f t="shared" si="18"/>
        <v>#N/A</v>
      </c>
      <c r="Q77" s="159" t="e">
        <f t="shared" si="19"/>
        <v>#VALUE!</v>
      </c>
      <c r="R77" s="159" t="e">
        <f t="shared" si="20"/>
        <v>#VALUE!</v>
      </c>
      <c r="S77" s="159" t="e">
        <f t="shared" si="21"/>
        <v>#VALUE!</v>
      </c>
      <c r="T77" s="152" t="e">
        <f t="shared" si="22"/>
        <v>#VALUE!</v>
      </c>
      <c r="U77" s="160">
        <f t="shared" si="27"/>
        <v>0.87749999999999995</v>
      </c>
      <c r="V77" s="152" t="e">
        <f t="shared" si="23"/>
        <v>#VALUE!</v>
      </c>
      <c r="W77" s="160">
        <f t="shared" si="24"/>
        <v>0.87749999999999995</v>
      </c>
      <c r="X77" s="152" t="e">
        <f t="shared" si="25"/>
        <v>#VALUE!</v>
      </c>
      <c r="Y77" s="160">
        <f t="shared" si="26"/>
        <v>0.87749999999999995</v>
      </c>
      <c r="Z77" s="3"/>
      <c r="AA77" s="63"/>
      <c r="AB77" s="63"/>
      <c r="AC77" s="63"/>
      <c r="AD77" s="63"/>
      <c r="AE77" s="63"/>
      <c r="AF77" s="63"/>
      <c r="AG77" s="63"/>
      <c r="AH77" s="63"/>
      <c r="AI77" s="1"/>
      <c r="AJ77" s="1"/>
      <c r="AK77" s="1"/>
    </row>
    <row r="78" spans="1:37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159">
        <f t="shared" si="17"/>
        <v>-5.6307672893983279E-2</v>
      </c>
      <c r="P78" s="211" t="e">
        <f t="shared" si="18"/>
        <v>#N/A</v>
      </c>
      <c r="Q78" s="159" t="e">
        <f t="shared" si="19"/>
        <v>#VALUE!</v>
      </c>
      <c r="R78" s="159" t="e">
        <f t="shared" si="20"/>
        <v>#VALUE!</v>
      </c>
      <c r="S78" s="159" t="e">
        <f t="shared" si="21"/>
        <v>#VALUE!</v>
      </c>
      <c r="T78" s="152" t="e">
        <f t="shared" si="22"/>
        <v>#VALUE!</v>
      </c>
      <c r="U78" s="160">
        <f t="shared" si="27"/>
        <v>0.87840000000000007</v>
      </c>
      <c r="V78" s="152" t="e">
        <f t="shared" si="23"/>
        <v>#VALUE!</v>
      </c>
      <c r="W78" s="160">
        <f t="shared" si="24"/>
        <v>0.87840000000000007</v>
      </c>
      <c r="X78" s="152" t="e">
        <f t="shared" si="25"/>
        <v>#VALUE!</v>
      </c>
      <c r="Y78" s="160">
        <f t="shared" si="26"/>
        <v>0.87840000000000007</v>
      </c>
      <c r="Z78" s="3"/>
      <c r="AA78" s="63"/>
      <c r="AB78" s="63"/>
      <c r="AC78" s="63"/>
      <c r="AD78" s="63"/>
      <c r="AE78" s="63"/>
      <c r="AF78" s="63"/>
      <c r="AG78" s="63"/>
      <c r="AH78" s="63"/>
      <c r="AI78" s="1"/>
      <c r="AJ78" s="1"/>
      <c r="AK78" s="1"/>
    </row>
    <row r="79" spans="1:37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159">
        <f t="shared" si="17"/>
        <v>-5.5862926841902069E-2</v>
      </c>
      <c r="P79" s="211" t="e">
        <f t="shared" si="18"/>
        <v>#N/A</v>
      </c>
      <c r="Q79" s="159" t="e">
        <f t="shared" si="19"/>
        <v>#VALUE!</v>
      </c>
      <c r="R79" s="159" t="e">
        <f t="shared" si="20"/>
        <v>#VALUE!</v>
      </c>
      <c r="S79" s="159" t="e">
        <f t="shared" si="21"/>
        <v>#VALUE!</v>
      </c>
      <c r="T79" s="152" t="e">
        <f t="shared" si="22"/>
        <v>#VALUE!</v>
      </c>
      <c r="U79" s="160">
        <f t="shared" si="27"/>
        <v>0.87929999999999997</v>
      </c>
      <c r="V79" s="152" t="e">
        <f t="shared" si="23"/>
        <v>#VALUE!</v>
      </c>
      <c r="W79" s="160">
        <f t="shared" si="24"/>
        <v>0.87929999999999997</v>
      </c>
      <c r="X79" s="152" t="e">
        <f t="shared" si="25"/>
        <v>#VALUE!</v>
      </c>
      <c r="Y79" s="160">
        <f t="shared" si="26"/>
        <v>0.87929999999999997</v>
      </c>
      <c r="Z79" s="3"/>
      <c r="AA79" s="63"/>
      <c r="AB79" s="63"/>
      <c r="AC79" s="63"/>
      <c r="AD79" s="63"/>
      <c r="AE79" s="63"/>
      <c r="AF79" s="63"/>
      <c r="AG79" s="63"/>
      <c r="AH79" s="63"/>
      <c r="AI79" s="1"/>
      <c r="AJ79" s="1"/>
      <c r="AK79" s="1"/>
    </row>
    <row r="80" spans="1:37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159">
        <f t="shared" si="17"/>
        <v>-5.5418635773073641E-2</v>
      </c>
      <c r="P80" s="211" t="e">
        <f t="shared" si="18"/>
        <v>#N/A</v>
      </c>
      <c r="Q80" s="159" t="e">
        <f t="shared" si="19"/>
        <v>#VALUE!</v>
      </c>
      <c r="R80" s="159" t="e">
        <f t="shared" si="20"/>
        <v>#VALUE!</v>
      </c>
      <c r="S80" s="159" t="e">
        <f t="shared" si="21"/>
        <v>#VALUE!</v>
      </c>
      <c r="T80" s="152" t="e">
        <f t="shared" si="22"/>
        <v>#VALUE!</v>
      </c>
      <c r="U80" s="160">
        <f t="shared" si="27"/>
        <v>0.88019999999999998</v>
      </c>
      <c r="V80" s="152" t="e">
        <f t="shared" si="23"/>
        <v>#VALUE!</v>
      </c>
      <c r="W80" s="160">
        <f t="shared" si="24"/>
        <v>0.88019999999999998</v>
      </c>
      <c r="X80" s="152" t="e">
        <f t="shared" si="25"/>
        <v>#VALUE!</v>
      </c>
      <c r="Y80" s="160">
        <f t="shared" si="26"/>
        <v>0.88019999999999998</v>
      </c>
      <c r="Z80" s="3"/>
      <c r="AA80" s="63"/>
      <c r="AB80" s="63"/>
      <c r="AC80" s="63"/>
      <c r="AD80" s="63"/>
      <c r="AE80" s="63"/>
      <c r="AF80" s="63"/>
      <c r="AG80" s="63"/>
      <c r="AH80" s="63"/>
      <c r="AI80" s="1"/>
      <c r="AJ80" s="1"/>
      <c r="AK80" s="1"/>
    </row>
    <row r="81" spans="1:37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159">
        <f t="shared" si="17"/>
        <v>-5.4974798757537302E-2</v>
      </c>
      <c r="P81" s="211" t="e">
        <f t="shared" si="18"/>
        <v>#N/A</v>
      </c>
      <c r="Q81" s="159" t="e">
        <f t="shared" si="19"/>
        <v>#VALUE!</v>
      </c>
      <c r="R81" s="159" t="e">
        <f t="shared" si="20"/>
        <v>#VALUE!</v>
      </c>
      <c r="S81" s="159" t="e">
        <f t="shared" si="21"/>
        <v>#VALUE!</v>
      </c>
      <c r="T81" s="152" t="e">
        <f t="shared" si="22"/>
        <v>#VALUE!</v>
      </c>
      <c r="U81" s="160">
        <f t="shared" si="27"/>
        <v>0.88110000000000011</v>
      </c>
      <c r="V81" s="152" t="e">
        <f t="shared" si="23"/>
        <v>#VALUE!</v>
      </c>
      <c r="W81" s="160">
        <f t="shared" si="24"/>
        <v>0.88110000000000011</v>
      </c>
      <c r="X81" s="152" t="e">
        <f t="shared" si="25"/>
        <v>#VALUE!</v>
      </c>
      <c r="Y81" s="160">
        <f t="shared" si="26"/>
        <v>0.88110000000000011</v>
      </c>
      <c r="Z81" s="3"/>
      <c r="AA81" s="63"/>
      <c r="AB81" s="63"/>
      <c r="AC81" s="63"/>
      <c r="AD81" s="63"/>
      <c r="AE81" s="63"/>
      <c r="AF81" s="63"/>
      <c r="AG81" s="63"/>
      <c r="AH81" s="63"/>
      <c r="AI81" s="1"/>
      <c r="AJ81" s="1"/>
      <c r="AK81" s="1"/>
    </row>
    <row r="82" spans="1:37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159">
        <f t="shared" si="17"/>
        <v>-5.4531414868180264E-2</v>
      </c>
      <c r="P82" s="211" t="e">
        <f t="shared" si="18"/>
        <v>#N/A</v>
      </c>
      <c r="Q82" s="159" t="e">
        <f t="shared" si="19"/>
        <v>#VALUE!</v>
      </c>
      <c r="R82" s="159" t="e">
        <f t="shared" si="20"/>
        <v>#VALUE!</v>
      </c>
      <c r="S82" s="159" t="e">
        <f t="shared" si="21"/>
        <v>#VALUE!</v>
      </c>
      <c r="T82" s="152" t="e">
        <f t="shared" si="22"/>
        <v>#VALUE!</v>
      </c>
      <c r="U82" s="160">
        <f t="shared" si="27"/>
        <v>0.88200000000000001</v>
      </c>
      <c r="V82" s="152" t="e">
        <f t="shared" si="23"/>
        <v>#VALUE!</v>
      </c>
      <c r="W82" s="160">
        <f t="shared" si="24"/>
        <v>0.88200000000000001</v>
      </c>
      <c r="X82" s="152" t="e">
        <f t="shared" si="25"/>
        <v>#VALUE!</v>
      </c>
      <c r="Y82" s="160">
        <f t="shared" si="26"/>
        <v>0.88200000000000001</v>
      </c>
      <c r="Z82" s="3"/>
      <c r="AA82" s="63"/>
      <c r="AB82" s="63"/>
      <c r="AC82" s="63"/>
      <c r="AD82" s="63"/>
      <c r="AE82" s="63"/>
      <c r="AF82" s="63"/>
      <c r="AG82" s="63"/>
      <c r="AH82" s="63"/>
      <c r="AI82" s="1"/>
      <c r="AJ82" s="1"/>
      <c r="AK82" s="1"/>
    </row>
    <row r="83" spans="1:37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159">
        <f t="shared" si="17"/>
        <v>-5.4088483180726607E-2</v>
      </c>
      <c r="P83" s="211" t="e">
        <f t="shared" si="18"/>
        <v>#N/A</v>
      </c>
      <c r="Q83" s="159" t="e">
        <f t="shared" si="19"/>
        <v>#VALUE!</v>
      </c>
      <c r="R83" s="159" t="e">
        <f t="shared" si="20"/>
        <v>#VALUE!</v>
      </c>
      <c r="S83" s="159" t="e">
        <f t="shared" si="21"/>
        <v>#VALUE!</v>
      </c>
      <c r="T83" s="152" t="e">
        <f t="shared" si="22"/>
        <v>#VALUE!</v>
      </c>
      <c r="U83" s="160">
        <f t="shared" si="27"/>
        <v>0.88289999999999991</v>
      </c>
      <c r="V83" s="152" t="e">
        <f t="shared" si="23"/>
        <v>#VALUE!</v>
      </c>
      <c r="W83" s="160">
        <f t="shared" si="24"/>
        <v>0.88289999999999991</v>
      </c>
      <c r="X83" s="152" t="e">
        <f t="shared" si="25"/>
        <v>#VALUE!</v>
      </c>
      <c r="Y83" s="160">
        <f t="shared" si="26"/>
        <v>0.88289999999999991</v>
      </c>
      <c r="Z83" s="3"/>
      <c r="AA83" s="63"/>
      <c r="AB83" s="63"/>
      <c r="AC83" s="63"/>
      <c r="AD83" s="63"/>
      <c r="AE83" s="63"/>
      <c r="AF83" s="63"/>
      <c r="AG83" s="63"/>
      <c r="AH83" s="63"/>
      <c r="AI83" s="1"/>
      <c r="AJ83" s="1"/>
      <c r="AK83" s="1"/>
    </row>
    <row r="84" spans="1:37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159">
        <f t="shared" si="17"/>
        <v>-5.3646002773725443E-2</v>
      </c>
      <c r="P84" s="211" t="e">
        <f t="shared" si="18"/>
        <v>#N/A</v>
      </c>
      <c r="Q84" s="159" t="e">
        <f t="shared" si="19"/>
        <v>#VALUE!</v>
      </c>
      <c r="R84" s="159" t="e">
        <f t="shared" si="20"/>
        <v>#VALUE!</v>
      </c>
      <c r="S84" s="159" t="e">
        <f t="shared" si="21"/>
        <v>#VALUE!</v>
      </c>
      <c r="T84" s="152" t="e">
        <f t="shared" si="22"/>
        <v>#VALUE!</v>
      </c>
      <c r="U84" s="160">
        <f t="shared" si="27"/>
        <v>0.88380000000000003</v>
      </c>
      <c r="V84" s="152" t="e">
        <f t="shared" si="23"/>
        <v>#VALUE!</v>
      </c>
      <c r="W84" s="160">
        <f t="shared" si="24"/>
        <v>0.88380000000000003</v>
      </c>
      <c r="X84" s="152" t="e">
        <f t="shared" si="25"/>
        <v>#VALUE!</v>
      </c>
      <c r="Y84" s="160">
        <f t="shared" si="26"/>
        <v>0.88380000000000003</v>
      </c>
      <c r="Z84" s="3"/>
      <c r="AA84" s="63"/>
      <c r="AB84" s="63"/>
      <c r="AC84" s="63"/>
      <c r="AD84" s="63"/>
      <c r="AE84" s="63"/>
      <c r="AF84" s="63"/>
      <c r="AG84" s="63"/>
      <c r="AH84" s="63"/>
      <c r="AI84" s="1"/>
      <c r="AJ84" s="1"/>
      <c r="AK84" s="1"/>
    </row>
    <row r="85" spans="1:37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159">
        <f t="shared" si="17"/>
        <v>-5.3203972728539481E-2</v>
      </c>
      <c r="P85" s="211" t="e">
        <f t="shared" si="18"/>
        <v>#N/A</v>
      </c>
      <c r="Q85" s="159" t="e">
        <f t="shared" si="19"/>
        <v>#VALUE!</v>
      </c>
      <c r="R85" s="159" t="e">
        <f t="shared" si="20"/>
        <v>#VALUE!</v>
      </c>
      <c r="S85" s="159" t="e">
        <f t="shared" si="21"/>
        <v>#VALUE!</v>
      </c>
      <c r="T85" s="152" t="e">
        <f t="shared" si="22"/>
        <v>#VALUE!</v>
      </c>
      <c r="U85" s="160">
        <f t="shared" si="27"/>
        <v>0.88470000000000004</v>
      </c>
      <c r="V85" s="152" t="e">
        <f t="shared" si="23"/>
        <v>#VALUE!</v>
      </c>
      <c r="W85" s="160">
        <f t="shared" si="24"/>
        <v>0.88470000000000004</v>
      </c>
      <c r="X85" s="152" t="e">
        <f t="shared" si="25"/>
        <v>#VALUE!</v>
      </c>
      <c r="Y85" s="160">
        <f t="shared" si="26"/>
        <v>0.88470000000000004</v>
      </c>
      <c r="Z85" s="3"/>
      <c r="AA85" s="63"/>
      <c r="AB85" s="63"/>
      <c r="AC85" s="63"/>
      <c r="AD85" s="63"/>
      <c r="AE85" s="63"/>
      <c r="AF85" s="63"/>
      <c r="AG85" s="63"/>
      <c r="AH85" s="63"/>
      <c r="AI85" s="1"/>
      <c r="AJ85" s="1"/>
      <c r="AK85" s="1"/>
    </row>
    <row r="86" spans="1:37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159">
        <f t="shared" si="17"/>
        <v>-5.2762392129333584E-2</v>
      </c>
      <c r="P86" s="211" t="e">
        <f t="shared" si="18"/>
        <v>#N/A</v>
      </c>
      <c r="Q86" s="159" t="e">
        <f t="shared" si="19"/>
        <v>#VALUE!</v>
      </c>
      <c r="R86" s="159" t="e">
        <f t="shared" si="20"/>
        <v>#VALUE!</v>
      </c>
      <c r="S86" s="159" t="e">
        <f t="shared" si="21"/>
        <v>#VALUE!</v>
      </c>
      <c r="T86" s="152" t="e">
        <f t="shared" si="22"/>
        <v>#VALUE!</v>
      </c>
      <c r="U86" s="160">
        <f t="shared" si="27"/>
        <v>0.88560000000000005</v>
      </c>
      <c r="V86" s="152" t="e">
        <f t="shared" si="23"/>
        <v>#VALUE!</v>
      </c>
      <c r="W86" s="160">
        <f t="shared" si="24"/>
        <v>0.88560000000000005</v>
      </c>
      <c r="X86" s="152" t="e">
        <f t="shared" si="25"/>
        <v>#VALUE!</v>
      </c>
      <c r="Y86" s="160">
        <f t="shared" si="26"/>
        <v>0.88560000000000005</v>
      </c>
      <c r="Z86" s="3"/>
      <c r="AA86" s="63"/>
      <c r="AB86" s="63"/>
      <c r="AC86" s="63"/>
      <c r="AD86" s="63"/>
      <c r="AE86" s="63"/>
      <c r="AF86" s="63"/>
      <c r="AG86" s="63"/>
      <c r="AH86" s="63"/>
      <c r="AI86" s="1"/>
      <c r="AJ86" s="1"/>
      <c r="AK86" s="1"/>
    </row>
    <row r="87" spans="1:37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159">
        <f t="shared" si="17"/>
        <v>-5.2321260063063361E-2</v>
      </c>
      <c r="P87" s="211" t="e">
        <f t="shared" si="18"/>
        <v>#N/A</v>
      </c>
      <c r="Q87" s="159" t="e">
        <f t="shared" si="19"/>
        <v>#VALUE!</v>
      </c>
      <c r="R87" s="159" t="e">
        <f t="shared" si="20"/>
        <v>#VALUE!</v>
      </c>
      <c r="S87" s="159" t="e">
        <f t="shared" si="21"/>
        <v>#VALUE!</v>
      </c>
      <c r="T87" s="152" t="e">
        <f t="shared" si="22"/>
        <v>#VALUE!</v>
      </c>
      <c r="U87" s="160">
        <f t="shared" si="27"/>
        <v>0.88650000000000007</v>
      </c>
      <c r="V87" s="152" t="e">
        <f t="shared" si="23"/>
        <v>#VALUE!</v>
      </c>
      <c r="W87" s="160">
        <f t="shared" si="24"/>
        <v>0.88650000000000007</v>
      </c>
      <c r="X87" s="152" t="e">
        <f t="shared" si="25"/>
        <v>#VALUE!</v>
      </c>
      <c r="Y87" s="160">
        <f t="shared" si="26"/>
        <v>0.88650000000000007</v>
      </c>
      <c r="Z87" s="3"/>
      <c r="AA87" s="63"/>
      <c r="AB87" s="63"/>
      <c r="AC87" s="63"/>
      <c r="AD87" s="63"/>
      <c r="AE87" s="63"/>
      <c r="AF87" s="63"/>
      <c r="AG87" s="63"/>
      <c r="AH87" s="63"/>
      <c r="AI87" s="1"/>
      <c r="AJ87" s="1"/>
      <c r="AK87" s="1"/>
    </row>
    <row r="88" spans="1:37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159">
        <f t="shared" si="17"/>
        <v>-5.188057561946393E-2</v>
      </c>
      <c r="P88" s="211" t="e">
        <f t="shared" si="18"/>
        <v>#N/A</v>
      </c>
      <c r="Q88" s="159" t="e">
        <f t="shared" si="19"/>
        <v>#VALUE!</v>
      </c>
      <c r="R88" s="159" t="e">
        <f t="shared" si="20"/>
        <v>#VALUE!</v>
      </c>
      <c r="S88" s="159" t="e">
        <f t="shared" si="21"/>
        <v>#VALUE!</v>
      </c>
      <c r="T88" s="152" t="e">
        <f t="shared" si="22"/>
        <v>#VALUE!</v>
      </c>
      <c r="U88" s="160">
        <f t="shared" si="27"/>
        <v>0.88740000000000008</v>
      </c>
      <c r="V88" s="152" t="e">
        <f t="shared" si="23"/>
        <v>#VALUE!</v>
      </c>
      <c r="W88" s="160">
        <f t="shared" si="24"/>
        <v>0.88740000000000008</v>
      </c>
      <c r="X88" s="152" t="e">
        <f t="shared" si="25"/>
        <v>#VALUE!</v>
      </c>
      <c r="Y88" s="160">
        <f t="shared" si="26"/>
        <v>0.88740000000000008</v>
      </c>
      <c r="Z88" s="3"/>
      <c r="AA88" s="63"/>
      <c r="AB88" s="63"/>
      <c r="AC88" s="63"/>
      <c r="AD88" s="63"/>
      <c r="AE88" s="63"/>
      <c r="AF88" s="63"/>
      <c r="AG88" s="63"/>
      <c r="AH88" s="63"/>
      <c r="AI88" s="1"/>
      <c r="AJ88" s="1"/>
      <c r="AK88" s="1"/>
    </row>
    <row r="89" spans="1:37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159">
        <f t="shared" si="17"/>
        <v>-5.144033789103835E-2</v>
      </c>
      <c r="P89" s="211" t="e">
        <f t="shared" si="18"/>
        <v>#N/A</v>
      </c>
      <c r="Q89" s="159" t="e">
        <f t="shared" si="19"/>
        <v>#VALUE!</v>
      </c>
      <c r="R89" s="159" t="e">
        <f t="shared" si="20"/>
        <v>#VALUE!</v>
      </c>
      <c r="S89" s="159" t="e">
        <f t="shared" si="21"/>
        <v>#VALUE!</v>
      </c>
      <c r="T89" s="152" t="e">
        <f t="shared" si="22"/>
        <v>#VALUE!</v>
      </c>
      <c r="U89" s="160">
        <f t="shared" si="27"/>
        <v>0.88829999999999998</v>
      </c>
      <c r="V89" s="152" t="e">
        <f t="shared" si="23"/>
        <v>#VALUE!</v>
      </c>
      <c r="W89" s="160">
        <f t="shared" si="24"/>
        <v>0.88829999999999998</v>
      </c>
      <c r="X89" s="152" t="e">
        <f t="shared" si="25"/>
        <v>#VALUE!</v>
      </c>
      <c r="Y89" s="160">
        <f t="shared" si="26"/>
        <v>0.88829999999999998</v>
      </c>
      <c r="Z89" s="3"/>
      <c r="AA89" s="63"/>
      <c r="AB89" s="63"/>
      <c r="AC89" s="63"/>
      <c r="AD89" s="63"/>
      <c r="AE89" s="63"/>
      <c r="AF89" s="63"/>
      <c r="AG89" s="63"/>
      <c r="AH89" s="63"/>
      <c r="AI89" s="1"/>
      <c r="AJ89" s="1"/>
      <c r="AK89" s="1"/>
    </row>
    <row r="90" spans="1:37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159">
        <f t="shared" si="17"/>
        <v>-5.1000545973047012E-2</v>
      </c>
      <c r="P90" s="211" t="e">
        <f t="shared" si="18"/>
        <v>#N/A</v>
      </c>
      <c r="Q90" s="159" t="e">
        <f t="shared" si="19"/>
        <v>#VALUE!</v>
      </c>
      <c r="R90" s="159" t="e">
        <f t="shared" si="20"/>
        <v>#VALUE!</v>
      </c>
      <c r="S90" s="159" t="e">
        <f t="shared" si="21"/>
        <v>#VALUE!</v>
      </c>
      <c r="T90" s="152" t="e">
        <f t="shared" si="22"/>
        <v>#VALUE!</v>
      </c>
      <c r="U90" s="160">
        <f t="shared" si="27"/>
        <v>0.88919999999999999</v>
      </c>
      <c r="V90" s="152" t="e">
        <f t="shared" si="23"/>
        <v>#VALUE!</v>
      </c>
      <c r="W90" s="160">
        <f t="shared" si="24"/>
        <v>0.88919999999999999</v>
      </c>
      <c r="X90" s="152" t="e">
        <f t="shared" si="25"/>
        <v>#VALUE!</v>
      </c>
      <c r="Y90" s="160">
        <f t="shared" si="26"/>
        <v>0.88919999999999999</v>
      </c>
      <c r="Z90" s="3"/>
      <c r="AA90" s="63"/>
      <c r="AB90" s="63"/>
      <c r="AC90" s="63"/>
      <c r="AD90" s="63"/>
      <c r="AE90" s="63"/>
      <c r="AF90" s="63"/>
      <c r="AG90" s="63"/>
      <c r="AH90" s="63"/>
      <c r="AI90" s="1"/>
      <c r="AJ90" s="1"/>
      <c r="AK90" s="1"/>
    </row>
    <row r="91" spans="1:37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159">
        <f t="shared" si="17"/>
        <v>-5.0561198963495722E-2</v>
      </c>
      <c r="P91" s="211" t="e">
        <f t="shared" si="18"/>
        <v>#N/A</v>
      </c>
      <c r="Q91" s="159" t="e">
        <f t="shared" si="19"/>
        <v>#VALUE!</v>
      </c>
      <c r="R91" s="159" t="e">
        <f t="shared" si="20"/>
        <v>#VALUE!</v>
      </c>
      <c r="S91" s="159" t="e">
        <f t="shared" si="21"/>
        <v>#VALUE!</v>
      </c>
      <c r="T91" s="152" t="e">
        <f t="shared" si="22"/>
        <v>#VALUE!</v>
      </c>
      <c r="U91" s="160">
        <f t="shared" si="27"/>
        <v>0.89009999999999989</v>
      </c>
      <c r="V91" s="152" t="e">
        <f t="shared" si="23"/>
        <v>#VALUE!</v>
      </c>
      <c r="W91" s="160">
        <f t="shared" si="24"/>
        <v>0.89009999999999989</v>
      </c>
      <c r="X91" s="152" t="e">
        <f t="shared" si="25"/>
        <v>#VALUE!</v>
      </c>
      <c r="Y91" s="160">
        <f t="shared" si="26"/>
        <v>0.89009999999999989</v>
      </c>
      <c r="Z91" s="3"/>
      <c r="AA91" s="63"/>
      <c r="AB91" s="63"/>
      <c r="AC91" s="63"/>
      <c r="AD91" s="63"/>
      <c r="AE91" s="63"/>
      <c r="AF91" s="63"/>
      <c r="AG91" s="63"/>
      <c r="AH91" s="63"/>
      <c r="AI91" s="1"/>
      <c r="AJ91" s="1"/>
      <c r="AK91" s="1"/>
    </row>
    <row r="92" spans="1:37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159">
        <f t="shared" si="17"/>
        <v>-5.0122295963125202E-2</v>
      </c>
      <c r="P92" s="211" t="e">
        <f t="shared" si="18"/>
        <v>#N/A</v>
      </c>
      <c r="Q92" s="159" t="e">
        <f t="shared" si="19"/>
        <v>#VALUE!</v>
      </c>
      <c r="R92" s="159" t="e">
        <f t="shared" si="20"/>
        <v>#VALUE!</v>
      </c>
      <c r="S92" s="159" t="e">
        <f t="shared" si="21"/>
        <v>#VALUE!</v>
      </c>
      <c r="T92" s="152" t="e">
        <f t="shared" si="22"/>
        <v>#VALUE!</v>
      </c>
      <c r="U92" s="160">
        <f t="shared" si="27"/>
        <v>0.89100000000000001</v>
      </c>
      <c r="V92" s="152" t="e">
        <f t="shared" si="23"/>
        <v>#VALUE!</v>
      </c>
      <c r="W92" s="160">
        <f t="shared" si="24"/>
        <v>0.89100000000000001</v>
      </c>
      <c r="X92" s="152" t="e">
        <f t="shared" si="25"/>
        <v>#VALUE!</v>
      </c>
      <c r="Y92" s="160">
        <f t="shared" si="26"/>
        <v>0.89100000000000001</v>
      </c>
      <c r="Z92" s="3"/>
      <c r="AA92" s="63"/>
      <c r="AB92" s="63"/>
      <c r="AC92" s="63"/>
      <c r="AD92" s="63"/>
      <c r="AE92" s="63"/>
      <c r="AF92" s="63"/>
      <c r="AG92" s="63"/>
      <c r="AH92" s="63"/>
      <c r="AI92" s="1"/>
      <c r="AJ92" s="1"/>
      <c r="AK92" s="1"/>
    </row>
    <row r="93" spans="1:37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159">
        <f t="shared" si="17"/>
        <v>-4.9683836075399786E-2</v>
      </c>
      <c r="P93" s="211" t="e">
        <f t="shared" si="18"/>
        <v>#N/A</v>
      </c>
      <c r="Q93" s="159" t="e">
        <f t="shared" si="19"/>
        <v>#VALUE!</v>
      </c>
      <c r="R93" s="159" t="e">
        <f t="shared" si="20"/>
        <v>#VALUE!</v>
      </c>
      <c r="S93" s="159" t="e">
        <f t="shared" si="21"/>
        <v>#VALUE!</v>
      </c>
      <c r="T93" s="152" t="e">
        <f t="shared" si="22"/>
        <v>#VALUE!</v>
      </c>
      <c r="U93" s="160">
        <f t="shared" si="27"/>
        <v>0.89190000000000003</v>
      </c>
      <c r="V93" s="152" t="e">
        <f t="shared" si="23"/>
        <v>#VALUE!</v>
      </c>
      <c r="W93" s="160">
        <f t="shared" si="24"/>
        <v>0.89190000000000003</v>
      </c>
      <c r="X93" s="152" t="e">
        <f t="shared" si="25"/>
        <v>#VALUE!</v>
      </c>
      <c r="Y93" s="160">
        <f t="shared" si="26"/>
        <v>0.89190000000000003</v>
      </c>
      <c r="Z93" s="3"/>
      <c r="AA93" s="63"/>
      <c r="AB93" s="63"/>
      <c r="AC93" s="63"/>
      <c r="AD93" s="63"/>
      <c r="AE93" s="63"/>
      <c r="AF93" s="63"/>
      <c r="AG93" s="63"/>
      <c r="AH93" s="63"/>
      <c r="AI93" s="1"/>
      <c r="AJ93" s="1"/>
      <c r="AK93" s="1"/>
    </row>
    <row r="94" spans="1:37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159">
        <f t="shared" si="17"/>
        <v>-4.9245818406496451E-2</v>
      </c>
      <c r="P94" s="211" t="e">
        <f t="shared" si="18"/>
        <v>#N/A</v>
      </c>
      <c r="Q94" s="159" t="e">
        <f t="shared" si="19"/>
        <v>#VALUE!</v>
      </c>
      <c r="R94" s="159" t="e">
        <f t="shared" si="20"/>
        <v>#VALUE!</v>
      </c>
      <c r="S94" s="159" t="e">
        <f t="shared" si="21"/>
        <v>#VALUE!</v>
      </c>
      <c r="T94" s="152" t="e">
        <f t="shared" si="22"/>
        <v>#VALUE!</v>
      </c>
      <c r="U94" s="160">
        <f t="shared" si="27"/>
        <v>0.89280000000000004</v>
      </c>
      <c r="V94" s="152" t="e">
        <f t="shared" si="23"/>
        <v>#VALUE!</v>
      </c>
      <c r="W94" s="160">
        <f t="shared" si="24"/>
        <v>0.89280000000000004</v>
      </c>
      <c r="X94" s="152" t="e">
        <f t="shared" si="25"/>
        <v>#VALUE!</v>
      </c>
      <c r="Y94" s="160">
        <f t="shared" si="26"/>
        <v>0.89280000000000004</v>
      </c>
      <c r="Z94" s="3"/>
      <c r="AA94" s="63"/>
      <c r="AB94" s="63"/>
      <c r="AC94" s="63"/>
      <c r="AD94" s="63"/>
      <c r="AE94" s="63"/>
      <c r="AF94" s="63"/>
      <c r="AG94" s="63"/>
      <c r="AH94" s="63"/>
      <c r="AI94" s="1"/>
      <c r="AJ94" s="1"/>
      <c r="AK94" s="1"/>
    </row>
    <row r="95" spans="1:37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159">
        <f t="shared" si="17"/>
        <v>-4.8808242065293925E-2</v>
      </c>
      <c r="P95" s="211" t="e">
        <f t="shared" si="18"/>
        <v>#N/A</v>
      </c>
      <c r="Q95" s="159" t="e">
        <f t="shared" si="19"/>
        <v>#VALUE!</v>
      </c>
      <c r="R95" s="159" t="e">
        <f t="shared" si="20"/>
        <v>#VALUE!</v>
      </c>
      <c r="S95" s="159" t="e">
        <f t="shared" si="21"/>
        <v>#VALUE!</v>
      </c>
      <c r="T95" s="152" t="e">
        <f t="shared" si="22"/>
        <v>#VALUE!</v>
      </c>
      <c r="U95" s="160">
        <f t="shared" si="27"/>
        <v>0.89369999999999994</v>
      </c>
      <c r="V95" s="152" t="e">
        <f t="shared" si="23"/>
        <v>#VALUE!</v>
      </c>
      <c r="W95" s="160">
        <f t="shared" si="24"/>
        <v>0.89369999999999994</v>
      </c>
      <c r="X95" s="152" t="e">
        <f t="shared" si="25"/>
        <v>#VALUE!</v>
      </c>
      <c r="Y95" s="160">
        <f t="shared" si="26"/>
        <v>0.89369999999999994</v>
      </c>
      <c r="Z95" s="3"/>
      <c r="AA95" s="63"/>
      <c r="AB95" s="63"/>
      <c r="AC95" s="63"/>
      <c r="AD95" s="63"/>
      <c r="AE95" s="63"/>
      <c r="AF95" s="63"/>
      <c r="AG95" s="63"/>
      <c r="AH95" s="63"/>
      <c r="AI95" s="1"/>
      <c r="AJ95" s="1"/>
      <c r="AK95" s="1"/>
    </row>
    <row r="96" spans="1:37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159">
        <f t="shared" si="17"/>
        <v>-4.8371106163361786E-2</v>
      </c>
      <c r="P96" s="211" t="e">
        <f t="shared" si="18"/>
        <v>#N/A</v>
      </c>
      <c r="Q96" s="159" t="e">
        <f t="shared" si="19"/>
        <v>#VALUE!</v>
      </c>
      <c r="R96" s="159" t="e">
        <f t="shared" si="20"/>
        <v>#VALUE!</v>
      </c>
      <c r="S96" s="159" t="e">
        <f t="shared" si="21"/>
        <v>#VALUE!</v>
      </c>
      <c r="T96" s="152" t="e">
        <f t="shared" si="22"/>
        <v>#VALUE!</v>
      </c>
      <c r="U96" s="160">
        <f t="shared" si="27"/>
        <v>0.89459999999999995</v>
      </c>
      <c r="V96" s="152" t="e">
        <f t="shared" si="23"/>
        <v>#VALUE!</v>
      </c>
      <c r="W96" s="160">
        <f t="shared" si="24"/>
        <v>0.89459999999999995</v>
      </c>
      <c r="X96" s="152" t="e">
        <f t="shared" si="25"/>
        <v>#VALUE!</v>
      </c>
      <c r="Y96" s="160">
        <f t="shared" si="26"/>
        <v>0.89459999999999995</v>
      </c>
      <c r="Z96" s="3"/>
      <c r="AA96" s="63"/>
      <c r="AB96" s="63"/>
      <c r="AC96" s="63"/>
      <c r="AD96" s="63"/>
      <c r="AE96" s="63"/>
      <c r="AF96" s="63"/>
      <c r="AG96" s="63"/>
      <c r="AH96" s="63"/>
      <c r="AI96" s="1"/>
      <c r="AJ96" s="1"/>
      <c r="AK96" s="1"/>
    </row>
    <row r="97" spans="1:37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159">
        <f t="shared" si="17"/>
        <v>-4.7934409814949688E-2</v>
      </c>
      <c r="P97" s="211" t="e">
        <f t="shared" si="18"/>
        <v>#N/A</v>
      </c>
      <c r="Q97" s="159" t="e">
        <f t="shared" si="19"/>
        <v>#VALUE!</v>
      </c>
      <c r="R97" s="159" t="e">
        <f t="shared" si="20"/>
        <v>#VALUE!</v>
      </c>
      <c r="S97" s="159" t="e">
        <f t="shared" si="21"/>
        <v>#VALUE!</v>
      </c>
      <c r="T97" s="152" t="e">
        <f t="shared" si="22"/>
        <v>#VALUE!</v>
      </c>
      <c r="U97" s="160">
        <f t="shared" si="27"/>
        <v>0.89550000000000007</v>
      </c>
      <c r="V97" s="152" t="e">
        <f t="shared" si="23"/>
        <v>#VALUE!</v>
      </c>
      <c r="W97" s="160">
        <f t="shared" si="24"/>
        <v>0.89550000000000007</v>
      </c>
      <c r="X97" s="152" t="e">
        <f t="shared" si="25"/>
        <v>#VALUE!</v>
      </c>
      <c r="Y97" s="160">
        <f t="shared" si="26"/>
        <v>0.89550000000000007</v>
      </c>
      <c r="Z97" s="3"/>
      <c r="AA97" s="63"/>
      <c r="AB97" s="63"/>
      <c r="AC97" s="63"/>
      <c r="AD97" s="63"/>
      <c r="AE97" s="63"/>
      <c r="AF97" s="63"/>
      <c r="AG97" s="63"/>
      <c r="AH97" s="63"/>
      <c r="AI97" s="1"/>
      <c r="AJ97" s="1"/>
      <c r="AK97" s="1"/>
    </row>
    <row r="98" spans="1:37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159">
        <f t="shared" si="17"/>
        <v>-4.7498152136976356E-2</v>
      </c>
      <c r="P98" s="211" t="e">
        <f t="shared" ref="P98:P102" si="28">SQRT(2*$I$16*$K$24)*SQRT((1/$I$1)+((O98-$I$10)^2/$I$7))</f>
        <v>#N/A</v>
      </c>
      <c r="Q98" s="159" t="e">
        <f t="shared" si="19"/>
        <v>#VALUE!</v>
      </c>
      <c r="R98" s="159" t="e">
        <f t="shared" si="20"/>
        <v>#VALUE!</v>
      </c>
      <c r="S98" s="159" t="e">
        <f t="shared" si="21"/>
        <v>#VALUE!</v>
      </c>
      <c r="T98" s="152" t="e">
        <f t="shared" si="22"/>
        <v>#VALUE!</v>
      </c>
      <c r="U98" s="160">
        <f t="shared" si="27"/>
        <v>0.89640000000000009</v>
      </c>
      <c r="V98" s="152" t="e">
        <f t="shared" si="23"/>
        <v>#VALUE!</v>
      </c>
      <c r="W98" s="160">
        <f t="shared" si="24"/>
        <v>0.89640000000000009</v>
      </c>
      <c r="X98" s="152" t="e">
        <f t="shared" si="25"/>
        <v>#VALUE!</v>
      </c>
      <c r="Y98" s="160">
        <f t="shared" si="26"/>
        <v>0.89640000000000009</v>
      </c>
      <c r="Z98" s="3"/>
      <c r="AA98" s="63"/>
      <c r="AB98" s="63"/>
      <c r="AC98" s="63"/>
      <c r="AD98" s="63"/>
      <c r="AE98" s="63"/>
      <c r="AF98" s="63"/>
      <c r="AG98" s="63"/>
      <c r="AH98" s="63"/>
      <c r="AI98" s="1"/>
      <c r="AJ98" s="1"/>
      <c r="AK98" s="1"/>
    </row>
    <row r="99" spans="1:37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159">
        <f t="shared" si="17"/>
        <v>-4.7062332249019415E-2</v>
      </c>
      <c r="P99" s="211" t="e">
        <f t="shared" si="28"/>
        <v>#N/A</v>
      </c>
      <c r="Q99" s="159" t="e">
        <f t="shared" si="19"/>
        <v>#VALUE!</v>
      </c>
      <c r="R99" s="159" t="e">
        <f t="shared" si="20"/>
        <v>#VALUE!</v>
      </c>
      <c r="S99" s="159" t="e">
        <f t="shared" si="21"/>
        <v>#VALUE!</v>
      </c>
      <c r="T99" s="152" t="e">
        <f t="shared" si="22"/>
        <v>#VALUE!</v>
      </c>
      <c r="U99" s="160">
        <f t="shared" si="27"/>
        <v>0.89729999999999988</v>
      </c>
      <c r="V99" s="152" t="e">
        <f t="shared" si="23"/>
        <v>#VALUE!</v>
      </c>
      <c r="W99" s="160">
        <f t="shared" si="24"/>
        <v>0.89729999999999988</v>
      </c>
      <c r="X99" s="152" t="e">
        <f t="shared" si="25"/>
        <v>#VALUE!</v>
      </c>
      <c r="Y99" s="160">
        <f t="shared" si="26"/>
        <v>0.89729999999999988</v>
      </c>
      <c r="Z99" s="3"/>
      <c r="AA99" s="63"/>
      <c r="AB99" s="63"/>
      <c r="AC99" s="63"/>
      <c r="AD99" s="63"/>
      <c r="AE99" s="63"/>
      <c r="AF99" s="63"/>
      <c r="AG99" s="63"/>
      <c r="AH99" s="63"/>
      <c r="AI99" s="1"/>
      <c r="AJ99" s="1"/>
      <c r="AK99" s="1"/>
    </row>
    <row r="100" spans="1:37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159">
        <f t="shared" si="17"/>
        <v>-4.6626949273304019E-2</v>
      </c>
      <c r="P100" s="211" t="e">
        <f t="shared" si="28"/>
        <v>#N/A</v>
      </c>
      <c r="Q100" s="159" t="e">
        <f t="shared" si="19"/>
        <v>#VALUE!</v>
      </c>
      <c r="R100" s="159" t="e">
        <f t="shared" si="20"/>
        <v>#VALUE!</v>
      </c>
      <c r="S100" s="159" t="e">
        <f t="shared" si="21"/>
        <v>#VALUE!</v>
      </c>
      <c r="T100" s="152" t="e">
        <f t="shared" si="22"/>
        <v>#VALUE!</v>
      </c>
      <c r="U100" s="160">
        <f t="shared" si="27"/>
        <v>0.8982</v>
      </c>
      <c r="V100" s="152" t="e">
        <f t="shared" si="23"/>
        <v>#VALUE!</v>
      </c>
      <c r="W100" s="160">
        <f t="shared" si="24"/>
        <v>0.8982</v>
      </c>
      <c r="X100" s="152" t="e">
        <f t="shared" si="25"/>
        <v>#VALUE!</v>
      </c>
      <c r="Y100" s="160">
        <f t="shared" si="26"/>
        <v>0.8982</v>
      </c>
      <c r="Z100" s="3"/>
      <c r="AA100" s="63"/>
      <c r="AB100" s="63"/>
      <c r="AC100" s="63"/>
      <c r="AD100" s="63"/>
      <c r="AE100" s="63"/>
      <c r="AF100" s="63"/>
      <c r="AG100" s="63"/>
      <c r="AH100" s="63"/>
      <c r="AI100" s="1"/>
      <c r="AJ100" s="1"/>
      <c r="AK100" s="1"/>
    </row>
    <row r="101" spans="1:37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159">
        <f t="shared" si="17"/>
        <v>-4.6192002334692811E-2</v>
      </c>
      <c r="P101" s="211" t="e">
        <f t="shared" si="28"/>
        <v>#N/A</v>
      </c>
      <c r="Q101" s="159" t="e">
        <f t="shared" si="19"/>
        <v>#VALUE!</v>
      </c>
      <c r="R101" s="159" t="e">
        <f t="shared" si="20"/>
        <v>#VALUE!</v>
      </c>
      <c r="S101" s="159" t="e">
        <f t="shared" si="21"/>
        <v>#VALUE!</v>
      </c>
      <c r="T101" s="152" t="e">
        <f t="shared" si="22"/>
        <v>#VALUE!</v>
      </c>
      <c r="U101" s="160">
        <f t="shared" si="27"/>
        <v>0.8990999999999999</v>
      </c>
      <c r="V101" s="152" t="e">
        <f t="shared" si="23"/>
        <v>#VALUE!</v>
      </c>
      <c r="W101" s="160">
        <f t="shared" si="24"/>
        <v>0.8990999999999999</v>
      </c>
      <c r="X101" s="152" t="e">
        <f t="shared" si="25"/>
        <v>#VALUE!</v>
      </c>
      <c r="Y101" s="160">
        <f t="shared" si="26"/>
        <v>0.8990999999999999</v>
      </c>
      <c r="Z101" s="3"/>
      <c r="AA101" s="63"/>
      <c r="AB101" s="63"/>
      <c r="AC101" s="63"/>
      <c r="AD101" s="63"/>
      <c r="AE101" s="63"/>
      <c r="AF101" s="63"/>
      <c r="AG101" s="63"/>
      <c r="AH101" s="63"/>
      <c r="AI101" s="1"/>
      <c r="AJ101" s="1"/>
      <c r="AK101" s="1"/>
    </row>
    <row r="102" spans="1:37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159">
        <f t="shared" si="17"/>
        <v>-4.5757490560675115E-2</v>
      </c>
      <c r="P102" s="211" t="e">
        <f t="shared" si="28"/>
        <v>#N/A</v>
      </c>
      <c r="Q102" s="159" t="e">
        <f t="shared" si="19"/>
        <v>#VALUE!</v>
      </c>
      <c r="R102" s="159" t="e">
        <f t="shared" si="20"/>
        <v>#VALUE!</v>
      </c>
      <c r="S102" s="159" t="e">
        <f t="shared" si="21"/>
        <v>#VALUE!</v>
      </c>
      <c r="T102" s="152" t="e">
        <f t="shared" si="22"/>
        <v>#VALUE!</v>
      </c>
      <c r="U102" s="160">
        <f t="shared" si="27"/>
        <v>0.89999999999999991</v>
      </c>
      <c r="V102" s="152" t="e">
        <f t="shared" si="23"/>
        <v>#VALUE!</v>
      </c>
      <c r="W102" s="160">
        <f t="shared" si="24"/>
        <v>0.89999999999999991</v>
      </c>
      <c r="X102" s="152" t="e">
        <f t="shared" si="25"/>
        <v>#VALUE!</v>
      </c>
      <c r="Y102" s="160">
        <f t="shared" si="26"/>
        <v>0.89999999999999991</v>
      </c>
      <c r="Z102" s="3"/>
      <c r="AA102" s="63"/>
      <c r="AB102" s="63"/>
      <c r="AC102" s="63"/>
      <c r="AD102" s="63"/>
      <c r="AE102" s="63"/>
      <c r="AF102" s="63"/>
      <c r="AG102" s="63"/>
      <c r="AH102" s="63"/>
      <c r="AI102" s="1"/>
      <c r="AJ102" s="1"/>
      <c r="AK102" s="1"/>
    </row>
    <row r="103" spans="1:37" x14ac:dyDescent="0.2"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 x14ac:dyDescent="0.2"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 x14ac:dyDescent="0.2"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1:37" x14ac:dyDescent="0.2"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1:37" x14ac:dyDescent="0.2"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1:37" x14ac:dyDescent="0.2"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1:37" x14ac:dyDescent="0.2"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1:37" x14ac:dyDescent="0.2"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1:37" x14ac:dyDescent="0.2"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1:37" x14ac:dyDescent="0.2"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21:37" x14ac:dyDescent="0.2"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21:37" x14ac:dyDescent="0.2"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21:37" x14ac:dyDescent="0.2"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21:37" x14ac:dyDescent="0.2"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21:37" x14ac:dyDescent="0.2"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21:37" x14ac:dyDescent="0.2"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21:37" x14ac:dyDescent="0.2"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21:37" x14ac:dyDescent="0.2"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21:37" x14ac:dyDescent="0.2"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21:37" x14ac:dyDescent="0.2"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21:37" x14ac:dyDescent="0.2"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</sheetData>
  <mergeCells count="3">
    <mergeCell ref="T1:U1"/>
    <mergeCell ref="V1:W1"/>
    <mergeCell ref="X1:Y1"/>
  </mergeCells>
  <pageMargins left="0.75" right="0.75" top="1" bottom="1" header="0.5" footer="0.5"/>
  <pageSetup paperSize="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3"/>
  <sheetViews>
    <sheetView zoomScale="75" workbookViewId="0">
      <selection activeCell="J14" sqref="J14"/>
    </sheetView>
  </sheetViews>
  <sheetFormatPr defaultRowHeight="12.75" x14ac:dyDescent="0.2"/>
  <cols>
    <col min="1" max="1" width="12.140625" customWidth="1"/>
    <col min="2" max="2" width="13.7109375" bestFit="1" customWidth="1"/>
    <col min="3" max="7" width="9" bestFit="1" customWidth="1"/>
    <col min="8" max="8" width="15.28515625" customWidth="1"/>
    <col min="9" max="10" width="12.7109375" customWidth="1"/>
    <col min="11" max="11" width="15.42578125" customWidth="1"/>
    <col min="12" max="12" width="12.7109375" customWidth="1"/>
    <col min="13" max="13" width="10.5703125" bestFit="1" customWidth="1"/>
    <col min="14" max="19" width="13.140625" customWidth="1"/>
    <col min="20" max="25" width="9" customWidth="1"/>
    <col min="26" max="26" width="26.85546875" customWidth="1"/>
    <col min="27" max="27" width="14.85546875" customWidth="1"/>
    <col min="28" max="28" width="12.42578125" customWidth="1"/>
    <col min="29" max="29" width="16.7109375" customWidth="1"/>
    <col min="31" max="31" width="16.42578125" customWidth="1"/>
    <col min="32" max="32" width="11.28515625" customWidth="1"/>
    <col min="33" max="33" width="13" customWidth="1"/>
    <col min="34" max="34" width="13.42578125" customWidth="1"/>
  </cols>
  <sheetData>
    <row r="1" spans="1:37" ht="13.5" thickBot="1" x14ac:dyDescent="0.25">
      <c r="A1" s="155" t="s">
        <v>27</v>
      </c>
      <c r="B1" s="155"/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156" t="s">
        <v>33</v>
      </c>
      <c r="I1" s="157">
        <f>COUNT(C:C)</f>
        <v>0</v>
      </c>
      <c r="J1" s="3"/>
      <c r="K1" s="3"/>
      <c r="L1" s="3"/>
      <c r="M1" s="63" t="s">
        <v>28</v>
      </c>
      <c r="N1" s="63" t="s">
        <v>34</v>
      </c>
      <c r="O1" s="63" t="s">
        <v>28</v>
      </c>
      <c r="P1" s="63" t="s">
        <v>35</v>
      </c>
      <c r="Q1" s="63" t="s">
        <v>36</v>
      </c>
      <c r="R1" s="63" t="s">
        <v>37</v>
      </c>
      <c r="S1" s="63" t="s">
        <v>38</v>
      </c>
      <c r="T1" s="232" t="s">
        <v>39</v>
      </c>
      <c r="U1" s="232"/>
      <c r="V1" s="232" t="s">
        <v>40</v>
      </c>
      <c r="W1" s="232"/>
      <c r="X1" s="232" t="s">
        <v>41</v>
      </c>
      <c r="Y1" s="232"/>
      <c r="Z1" s="3" t="s">
        <v>42</v>
      </c>
      <c r="AA1" s="3"/>
      <c r="AB1" s="3"/>
      <c r="AC1" s="3"/>
      <c r="AD1" s="3"/>
      <c r="AE1" s="3"/>
      <c r="AF1" s="3"/>
      <c r="AG1" s="3"/>
      <c r="AH1" s="3"/>
      <c r="AI1" s="1"/>
      <c r="AJ1" s="1"/>
      <c r="AK1" s="1"/>
    </row>
    <row r="2" spans="1:37" ht="13.5" thickBot="1" x14ac:dyDescent="0.25">
      <c r="A2" s="52" t="e">
        <f>+Results!F23</f>
        <v>#VALUE!</v>
      </c>
      <c r="B2" s="52">
        <f>+Results!E23</f>
        <v>1</v>
      </c>
      <c r="C2" s="53" t="e">
        <f t="shared" ref="C2:D5" si="0">LOG(A2)</f>
        <v>#VALUE!</v>
      </c>
      <c r="D2" s="53">
        <f t="shared" si="0"/>
        <v>0</v>
      </c>
      <c r="E2" s="53" t="e">
        <f t="shared" ref="E2:F5" si="1">+C2^2</f>
        <v>#VALUE!</v>
      </c>
      <c r="F2" s="53">
        <f t="shared" si="1"/>
        <v>0</v>
      </c>
      <c r="G2" s="3" t="e">
        <f>+C2*D2</f>
        <v>#VALUE!</v>
      </c>
      <c r="H2" s="158" t="s">
        <v>43</v>
      </c>
      <c r="I2" s="59" t="e">
        <f>SUM(C:C)</f>
        <v>#VALUE!</v>
      </c>
      <c r="J2" s="53"/>
      <c r="K2" s="53"/>
      <c r="L2" s="53"/>
      <c r="M2" s="153" t="e">
        <f t="shared" ref="M2:M19" si="2">+C2</f>
        <v>#VALUE!</v>
      </c>
      <c r="N2" s="159" t="e">
        <f t="shared" ref="N2:N19" si="3">+$I$13+$I$12*M2</f>
        <v>#DIV/0!</v>
      </c>
      <c r="O2" s="159" t="e">
        <f t="shared" ref="O2:O65" si="4">LOG($I$19+($I$20-$I$19)*(ROW()-2)/100)</f>
        <v>#VALUE!</v>
      </c>
      <c r="P2" s="211" t="e">
        <f t="shared" ref="P2:P33" si="5">SQRT(2*$I$16*$K$24)*SQRT((1/$I$1)+((O2-$I$10)^2/$I$7))</f>
        <v>#N/A</v>
      </c>
      <c r="Q2" s="159" t="e">
        <f t="shared" ref="Q2:Q65" si="6">+$I$13+$I$12*O2</f>
        <v>#DIV/0!</v>
      </c>
      <c r="R2" s="159" t="e">
        <f t="shared" ref="R2:R65" si="7">+$I$13+$I$12*O2-P2</f>
        <v>#DIV/0!</v>
      </c>
      <c r="S2" s="159" t="e">
        <f t="shared" ref="S2:S65" si="8">+$I$13+$I$12*O2+P2</f>
        <v>#DIV/0!</v>
      </c>
      <c r="T2" s="152" t="e">
        <f t="shared" ref="T2:T65" si="9">10^Q2</f>
        <v>#DIV/0!</v>
      </c>
      <c r="U2" s="160" t="e">
        <f>10^$O2</f>
        <v>#VALUE!</v>
      </c>
      <c r="V2" s="152" t="e">
        <f t="shared" ref="V2:V65" si="10">10^R2</f>
        <v>#DIV/0!</v>
      </c>
      <c r="W2" s="160" t="e">
        <f t="shared" ref="W2:W65" si="11">10^$O2</f>
        <v>#VALUE!</v>
      </c>
      <c r="X2" s="152" t="e">
        <f t="shared" ref="X2:X65" si="12">10^S2</f>
        <v>#DIV/0!</v>
      </c>
      <c r="Y2" s="160" t="e">
        <f t="shared" ref="Y2:Y65" si="13">10^$O2</f>
        <v>#VALUE!</v>
      </c>
      <c r="Z2" s="3"/>
      <c r="AA2" s="3"/>
      <c r="AB2" s="3"/>
      <c r="AC2" s="3"/>
      <c r="AD2" s="3"/>
      <c r="AE2" s="3"/>
      <c r="AF2" s="3"/>
      <c r="AG2" s="3"/>
      <c r="AH2" s="3"/>
      <c r="AI2" s="1"/>
      <c r="AJ2" s="1"/>
      <c r="AK2" s="1"/>
    </row>
    <row r="3" spans="1:37" x14ac:dyDescent="0.2">
      <c r="A3" s="52" t="e">
        <f>+Results!F24</f>
        <v>#VALUE!</v>
      </c>
      <c r="B3" s="52">
        <f>+Results!E24</f>
        <v>1</v>
      </c>
      <c r="C3" s="53" t="e">
        <f t="shared" si="0"/>
        <v>#VALUE!</v>
      </c>
      <c r="D3" s="53">
        <f t="shared" si="0"/>
        <v>0</v>
      </c>
      <c r="E3" s="53" t="e">
        <f t="shared" si="1"/>
        <v>#VALUE!</v>
      </c>
      <c r="F3" s="53">
        <f t="shared" si="1"/>
        <v>0</v>
      </c>
      <c r="G3" s="3" t="e">
        <f t="shared" ref="G3:G5" si="14">+C3*D3</f>
        <v>#VALUE!</v>
      </c>
      <c r="H3" s="161" t="s">
        <v>44</v>
      </c>
      <c r="I3" s="59">
        <f>SUM(D:D)</f>
        <v>9.4817921988938352</v>
      </c>
      <c r="J3" s="53"/>
      <c r="K3" s="53"/>
      <c r="L3" s="53"/>
      <c r="M3" s="153" t="e">
        <f t="shared" si="2"/>
        <v>#VALUE!</v>
      </c>
      <c r="N3" s="159" t="e">
        <f t="shared" si="3"/>
        <v>#DIV/0!</v>
      </c>
      <c r="O3" s="159" t="e">
        <f t="shared" si="4"/>
        <v>#VALUE!</v>
      </c>
      <c r="P3" s="211" t="e">
        <f t="shared" si="5"/>
        <v>#N/A</v>
      </c>
      <c r="Q3" s="159" t="e">
        <f t="shared" si="6"/>
        <v>#DIV/0!</v>
      </c>
      <c r="R3" s="159" t="e">
        <f t="shared" si="7"/>
        <v>#DIV/0!</v>
      </c>
      <c r="S3" s="159" t="e">
        <f t="shared" si="8"/>
        <v>#DIV/0!</v>
      </c>
      <c r="T3" s="152" t="e">
        <f t="shared" si="9"/>
        <v>#DIV/0!</v>
      </c>
      <c r="U3" s="160" t="e">
        <f t="shared" ref="U3:U66" si="15">10^O3</f>
        <v>#VALUE!</v>
      </c>
      <c r="V3" s="152" t="e">
        <f t="shared" si="10"/>
        <v>#DIV/0!</v>
      </c>
      <c r="W3" s="160" t="e">
        <f t="shared" si="11"/>
        <v>#VALUE!</v>
      </c>
      <c r="X3" s="152" t="e">
        <f t="shared" si="12"/>
        <v>#DIV/0!</v>
      </c>
      <c r="Y3" s="160" t="e">
        <f t="shared" si="13"/>
        <v>#VALUE!</v>
      </c>
      <c r="Z3" s="162" t="s">
        <v>45</v>
      </c>
      <c r="AA3" s="162"/>
      <c r="AB3" s="3"/>
      <c r="AC3" s="3"/>
      <c r="AD3" s="3"/>
      <c r="AE3" s="3"/>
      <c r="AF3" s="3"/>
      <c r="AG3" s="3"/>
      <c r="AH3" s="3"/>
      <c r="AI3" s="1"/>
      <c r="AJ3" s="1"/>
      <c r="AK3" s="1"/>
    </row>
    <row r="4" spans="1:37" x14ac:dyDescent="0.2">
      <c r="A4" s="52">
        <f>+Results!F25</f>
        <v>0</v>
      </c>
      <c r="B4" s="52">
        <f>+Results!E25</f>
        <v>36156</v>
      </c>
      <c r="C4" s="53" t="e">
        <f t="shared" si="0"/>
        <v>#NUM!</v>
      </c>
      <c r="D4" s="53">
        <f t="shared" si="0"/>
        <v>4.5581803777209817</v>
      </c>
      <c r="E4" s="53" t="e">
        <f t="shared" si="1"/>
        <v>#NUM!</v>
      </c>
      <c r="F4" s="53">
        <f t="shared" si="1"/>
        <v>20.777008355840593</v>
      </c>
      <c r="G4" s="3" t="e">
        <f t="shared" si="14"/>
        <v>#NUM!</v>
      </c>
      <c r="H4" s="161" t="s">
        <v>46</v>
      </c>
      <c r="I4" s="59" t="e">
        <f>SUM(E:E)</f>
        <v>#VALUE!</v>
      </c>
      <c r="J4" s="53"/>
      <c r="K4" s="53"/>
      <c r="L4" s="53"/>
      <c r="M4" s="153" t="e">
        <f t="shared" si="2"/>
        <v>#NUM!</v>
      </c>
      <c r="N4" s="159" t="e">
        <f t="shared" si="3"/>
        <v>#DIV/0!</v>
      </c>
      <c r="O4" s="159" t="e">
        <f t="shared" si="4"/>
        <v>#VALUE!</v>
      </c>
      <c r="P4" s="211" t="e">
        <f t="shared" si="5"/>
        <v>#N/A</v>
      </c>
      <c r="Q4" s="159" t="e">
        <f t="shared" si="6"/>
        <v>#DIV/0!</v>
      </c>
      <c r="R4" s="159" t="e">
        <f t="shared" si="7"/>
        <v>#DIV/0!</v>
      </c>
      <c r="S4" s="159" t="e">
        <f t="shared" si="8"/>
        <v>#DIV/0!</v>
      </c>
      <c r="T4" s="152" t="e">
        <f t="shared" si="9"/>
        <v>#DIV/0!</v>
      </c>
      <c r="U4" s="160" t="e">
        <f t="shared" si="15"/>
        <v>#VALUE!</v>
      </c>
      <c r="V4" s="152" t="e">
        <f t="shared" si="10"/>
        <v>#DIV/0!</v>
      </c>
      <c r="W4" s="160" t="e">
        <f t="shared" si="11"/>
        <v>#VALUE!</v>
      </c>
      <c r="X4" s="152" t="e">
        <f t="shared" si="12"/>
        <v>#DIV/0!</v>
      </c>
      <c r="Y4" s="160" t="e">
        <f t="shared" si="13"/>
        <v>#VALUE!</v>
      </c>
      <c r="Z4" s="163" t="s">
        <v>47</v>
      </c>
      <c r="AA4" s="163">
        <v>0.88244046806828758</v>
      </c>
      <c r="AB4" s="3"/>
      <c r="AC4" s="3"/>
      <c r="AD4" s="3"/>
      <c r="AE4" s="3"/>
      <c r="AF4" s="3"/>
      <c r="AG4" s="3"/>
      <c r="AH4" s="3"/>
      <c r="AI4" s="1"/>
      <c r="AJ4" s="1"/>
      <c r="AK4" s="1"/>
    </row>
    <row r="5" spans="1:37" x14ac:dyDescent="0.2">
      <c r="A5" s="52">
        <f>+Results!F26</f>
        <v>0</v>
      </c>
      <c r="B5" s="52">
        <f>+Results!E26</f>
        <v>83871</v>
      </c>
      <c r="C5" s="53" t="e">
        <f t="shared" si="0"/>
        <v>#NUM!</v>
      </c>
      <c r="D5" s="53">
        <f t="shared" si="0"/>
        <v>4.9236118211728526</v>
      </c>
      <c r="E5" s="53" t="e">
        <f t="shared" si="1"/>
        <v>#NUM!</v>
      </c>
      <c r="F5" s="53">
        <f t="shared" si="1"/>
        <v>24.241953365593055</v>
      </c>
      <c r="G5" s="3" t="e">
        <f t="shared" si="14"/>
        <v>#NUM!</v>
      </c>
      <c r="H5" s="161" t="s">
        <v>48</v>
      </c>
      <c r="I5" s="59">
        <f>SUM(F:F)</f>
        <v>45.018961721433648</v>
      </c>
      <c r="J5" s="53"/>
      <c r="K5" s="53"/>
      <c r="L5" s="53"/>
      <c r="M5" s="153" t="e">
        <f t="shared" si="2"/>
        <v>#NUM!</v>
      </c>
      <c r="N5" s="159" t="e">
        <f t="shared" si="3"/>
        <v>#DIV/0!</v>
      </c>
      <c r="O5" s="159" t="e">
        <f t="shared" si="4"/>
        <v>#VALUE!</v>
      </c>
      <c r="P5" s="211" t="e">
        <f t="shared" si="5"/>
        <v>#N/A</v>
      </c>
      <c r="Q5" s="159" t="e">
        <f t="shared" si="6"/>
        <v>#DIV/0!</v>
      </c>
      <c r="R5" s="159" t="e">
        <f t="shared" si="7"/>
        <v>#DIV/0!</v>
      </c>
      <c r="S5" s="159" t="e">
        <f t="shared" si="8"/>
        <v>#DIV/0!</v>
      </c>
      <c r="T5" s="152" t="e">
        <f t="shared" si="9"/>
        <v>#DIV/0!</v>
      </c>
      <c r="U5" s="160" t="e">
        <f t="shared" si="15"/>
        <v>#VALUE!</v>
      </c>
      <c r="V5" s="152" t="e">
        <f t="shared" si="10"/>
        <v>#DIV/0!</v>
      </c>
      <c r="W5" s="160" t="e">
        <f t="shared" si="11"/>
        <v>#VALUE!</v>
      </c>
      <c r="X5" s="152" t="e">
        <f t="shared" si="12"/>
        <v>#DIV/0!</v>
      </c>
      <c r="Y5" s="160" t="e">
        <f t="shared" si="13"/>
        <v>#VALUE!</v>
      </c>
      <c r="Z5" s="163" t="s">
        <v>49</v>
      </c>
      <c r="AA5" s="163">
        <v>0.77870117968457842</v>
      </c>
      <c r="AB5" s="3"/>
      <c r="AC5" s="3"/>
      <c r="AD5" s="3"/>
      <c r="AE5" s="3"/>
      <c r="AF5" s="3"/>
      <c r="AG5" s="3"/>
      <c r="AH5" s="3"/>
      <c r="AI5" s="1"/>
      <c r="AJ5" s="1"/>
      <c r="AK5" s="1"/>
    </row>
    <row r="6" spans="1:37" x14ac:dyDescent="0.2">
      <c r="A6" s="52"/>
      <c r="B6" s="52"/>
      <c r="C6" s="53"/>
      <c r="D6" s="53"/>
      <c r="E6" s="53"/>
      <c r="F6" s="53"/>
      <c r="G6" s="3"/>
      <c r="H6" s="161" t="s">
        <v>50</v>
      </c>
      <c r="I6" s="59" t="e">
        <f>SUM(G:G)</f>
        <v>#VALUE!</v>
      </c>
      <c r="J6" s="53"/>
      <c r="K6" s="53"/>
      <c r="L6" s="53"/>
      <c r="M6" s="153">
        <f t="shared" si="2"/>
        <v>0</v>
      </c>
      <c r="N6" s="159" t="e">
        <f t="shared" si="3"/>
        <v>#DIV/0!</v>
      </c>
      <c r="O6" s="159" t="e">
        <f t="shared" si="4"/>
        <v>#VALUE!</v>
      </c>
      <c r="P6" s="211" t="e">
        <f t="shared" si="5"/>
        <v>#N/A</v>
      </c>
      <c r="Q6" s="159" t="e">
        <f t="shared" si="6"/>
        <v>#DIV/0!</v>
      </c>
      <c r="R6" s="159" t="e">
        <f t="shared" si="7"/>
        <v>#DIV/0!</v>
      </c>
      <c r="S6" s="159" t="e">
        <f t="shared" si="8"/>
        <v>#DIV/0!</v>
      </c>
      <c r="T6" s="152" t="e">
        <f t="shared" si="9"/>
        <v>#DIV/0!</v>
      </c>
      <c r="U6" s="160" t="e">
        <f t="shared" si="15"/>
        <v>#VALUE!</v>
      </c>
      <c r="V6" s="152" t="e">
        <f t="shared" si="10"/>
        <v>#DIV/0!</v>
      </c>
      <c r="W6" s="160" t="e">
        <f t="shared" si="11"/>
        <v>#VALUE!</v>
      </c>
      <c r="X6" s="152" t="e">
        <f t="shared" si="12"/>
        <v>#DIV/0!</v>
      </c>
      <c r="Y6" s="160" t="e">
        <f t="shared" si="13"/>
        <v>#VALUE!</v>
      </c>
      <c r="Z6" s="163" t="s">
        <v>51</v>
      </c>
      <c r="AA6" s="163">
        <v>0.75103882714515069</v>
      </c>
      <c r="AB6" s="3"/>
      <c r="AC6" s="3"/>
      <c r="AD6" s="3"/>
      <c r="AE6" s="3"/>
      <c r="AF6" s="3"/>
      <c r="AG6" s="3"/>
      <c r="AH6" s="3"/>
      <c r="AI6" s="1"/>
      <c r="AJ6" s="1"/>
      <c r="AK6" s="1"/>
    </row>
    <row r="7" spans="1:37" x14ac:dyDescent="0.2">
      <c r="A7" s="52"/>
      <c r="B7" s="52"/>
      <c r="C7" s="53"/>
      <c r="D7" s="53"/>
      <c r="E7" s="53"/>
      <c r="F7" s="53"/>
      <c r="G7" s="3"/>
      <c r="H7" s="158" t="s">
        <v>52</v>
      </c>
      <c r="I7" s="164" t="e">
        <f>+I4-I2^2/$I$1</f>
        <v>#VALUE!</v>
      </c>
      <c r="J7" s="3"/>
      <c r="K7" s="3"/>
      <c r="L7" s="3"/>
      <c r="M7" s="153">
        <f t="shared" si="2"/>
        <v>0</v>
      </c>
      <c r="N7" s="159" t="e">
        <f t="shared" si="3"/>
        <v>#DIV/0!</v>
      </c>
      <c r="O7" s="159" t="e">
        <f t="shared" si="4"/>
        <v>#VALUE!</v>
      </c>
      <c r="P7" s="211" t="e">
        <f t="shared" si="5"/>
        <v>#N/A</v>
      </c>
      <c r="Q7" s="159" t="e">
        <f t="shared" si="6"/>
        <v>#DIV/0!</v>
      </c>
      <c r="R7" s="159" t="e">
        <f t="shared" si="7"/>
        <v>#DIV/0!</v>
      </c>
      <c r="S7" s="159" t="e">
        <f t="shared" si="8"/>
        <v>#DIV/0!</v>
      </c>
      <c r="T7" s="152" t="e">
        <f t="shared" si="9"/>
        <v>#DIV/0!</v>
      </c>
      <c r="U7" s="160" t="e">
        <f t="shared" si="15"/>
        <v>#VALUE!</v>
      </c>
      <c r="V7" s="152" t="e">
        <f t="shared" si="10"/>
        <v>#DIV/0!</v>
      </c>
      <c r="W7" s="160" t="e">
        <f t="shared" si="11"/>
        <v>#VALUE!</v>
      </c>
      <c r="X7" s="152" t="e">
        <f t="shared" si="12"/>
        <v>#DIV/0!</v>
      </c>
      <c r="Y7" s="160" t="e">
        <f t="shared" si="13"/>
        <v>#VALUE!</v>
      </c>
      <c r="Z7" s="163" t="s">
        <v>53</v>
      </c>
      <c r="AA7" s="163">
        <v>4.8757093884921039</v>
      </c>
      <c r="AB7" s="3"/>
      <c r="AC7" s="3"/>
      <c r="AD7" s="3"/>
      <c r="AE7" s="3"/>
      <c r="AF7" s="3"/>
      <c r="AG7" s="3"/>
      <c r="AH7" s="3"/>
      <c r="AI7" s="1"/>
      <c r="AJ7" s="1"/>
      <c r="AK7" s="1"/>
    </row>
    <row r="8" spans="1:37" ht="15" thickBot="1" x14ac:dyDescent="0.3">
      <c r="A8" s="52"/>
      <c r="B8" s="52"/>
      <c r="C8" s="53"/>
      <c r="D8" s="53"/>
      <c r="E8" s="53"/>
      <c r="F8" s="53"/>
      <c r="G8" s="3"/>
      <c r="H8" s="161" t="s">
        <v>118</v>
      </c>
      <c r="I8" s="165" t="e">
        <f>+I5-I3^2/$I$1</f>
        <v>#DIV/0!</v>
      </c>
      <c r="J8" s="151"/>
      <c r="K8" s="151"/>
      <c r="L8" s="151"/>
      <c r="M8" s="153">
        <f t="shared" si="2"/>
        <v>0</v>
      </c>
      <c r="N8" s="159" t="e">
        <f t="shared" si="3"/>
        <v>#DIV/0!</v>
      </c>
      <c r="O8" s="159" t="e">
        <f t="shared" si="4"/>
        <v>#VALUE!</v>
      </c>
      <c r="P8" s="211" t="e">
        <f t="shared" si="5"/>
        <v>#N/A</v>
      </c>
      <c r="Q8" s="159" t="e">
        <f t="shared" si="6"/>
        <v>#DIV/0!</v>
      </c>
      <c r="R8" s="159" t="e">
        <f t="shared" si="7"/>
        <v>#DIV/0!</v>
      </c>
      <c r="S8" s="159" t="e">
        <f t="shared" si="8"/>
        <v>#DIV/0!</v>
      </c>
      <c r="T8" s="152" t="e">
        <f t="shared" si="9"/>
        <v>#DIV/0!</v>
      </c>
      <c r="U8" s="160" t="e">
        <f t="shared" si="15"/>
        <v>#VALUE!</v>
      </c>
      <c r="V8" s="152" t="e">
        <f t="shared" si="10"/>
        <v>#DIV/0!</v>
      </c>
      <c r="W8" s="160" t="e">
        <f t="shared" si="11"/>
        <v>#VALUE!</v>
      </c>
      <c r="X8" s="152" t="e">
        <f t="shared" si="12"/>
        <v>#DIV/0!</v>
      </c>
      <c r="Y8" s="160" t="e">
        <f t="shared" si="13"/>
        <v>#VALUE!</v>
      </c>
      <c r="Z8" s="166" t="s">
        <v>54</v>
      </c>
      <c r="AA8" s="166">
        <v>10</v>
      </c>
      <c r="AB8" s="3"/>
      <c r="AC8" s="3"/>
      <c r="AD8" s="3"/>
      <c r="AE8" s="3"/>
      <c r="AF8" s="3"/>
      <c r="AG8" s="3"/>
      <c r="AH8" s="3"/>
      <c r="AI8" s="1"/>
      <c r="AJ8" s="1"/>
      <c r="AK8" s="1"/>
    </row>
    <row r="9" spans="1:37" ht="13.5" thickBot="1" x14ac:dyDescent="0.25">
      <c r="A9" s="52"/>
      <c r="B9" s="52"/>
      <c r="C9" s="53"/>
      <c r="D9" s="53"/>
      <c r="E9" s="53"/>
      <c r="F9" s="53"/>
      <c r="G9" s="3"/>
      <c r="H9" s="167" t="s">
        <v>55</v>
      </c>
      <c r="I9" s="168" t="e">
        <f>+I6-I2*I3/$I$1</f>
        <v>#VALUE!</v>
      </c>
      <c r="J9" s="3"/>
      <c r="K9" s="3"/>
      <c r="L9" s="3"/>
      <c r="M9" s="153">
        <f t="shared" si="2"/>
        <v>0</v>
      </c>
      <c r="N9" s="159" t="e">
        <f t="shared" si="3"/>
        <v>#DIV/0!</v>
      </c>
      <c r="O9" s="159" t="e">
        <f t="shared" si="4"/>
        <v>#VALUE!</v>
      </c>
      <c r="P9" s="211" t="e">
        <f t="shared" si="5"/>
        <v>#N/A</v>
      </c>
      <c r="Q9" s="159" t="e">
        <f t="shared" si="6"/>
        <v>#DIV/0!</v>
      </c>
      <c r="R9" s="159" t="e">
        <f t="shared" si="7"/>
        <v>#DIV/0!</v>
      </c>
      <c r="S9" s="159" t="e">
        <f t="shared" si="8"/>
        <v>#DIV/0!</v>
      </c>
      <c r="T9" s="152" t="e">
        <f t="shared" si="9"/>
        <v>#DIV/0!</v>
      </c>
      <c r="U9" s="160" t="e">
        <f t="shared" si="15"/>
        <v>#VALUE!</v>
      </c>
      <c r="V9" s="152" t="e">
        <f t="shared" si="10"/>
        <v>#DIV/0!</v>
      </c>
      <c r="W9" s="160" t="e">
        <f t="shared" si="11"/>
        <v>#VALUE!</v>
      </c>
      <c r="X9" s="152" t="e">
        <f t="shared" si="12"/>
        <v>#DIV/0!</v>
      </c>
      <c r="Y9" s="160" t="e">
        <f t="shared" si="13"/>
        <v>#VALUE!</v>
      </c>
      <c r="Z9" s="3"/>
      <c r="AA9" s="3"/>
      <c r="AB9" s="3"/>
      <c r="AC9" s="3"/>
      <c r="AD9" s="3"/>
      <c r="AE9" s="3"/>
      <c r="AF9" s="3"/>
      <c r="AG9" s="3"/>
      <c r="AH9" s="3"/>
      <c r="AI9" s="1"/>
      <c r="AJ9" s="1"/>
      <c r="AK9" s="1"/>
    </row>
    <row r="10" spans="1:37" ht="13.5" thickBot="1" x14ac:dyDescent="0.25">
      <c r="A10" s="52"/>
      <c r="B10" s="52"/>
      <c r="C10" s="53"/>
      <c r="D10" s="53"/>
      <c r="E10" s="53"/>
      <c r="F10" s="53"/>
      <c r="G10" s="3"/>
      <c r="H10" s="169" t="s">
        <v>56</v>
      </c>
      <c r="I10" s="157" t="e">
        <f>+I2/$I$1</f>
        <v>#VALUE!</v>
      </c>
      <c r="J10" s="3"/>
      <c r="K10" s="3"/>
      <c r="L10" s="3"/>
      <c r="M10" s="153">
        <f t="shared" si="2"/>
        <v>0</v>
      </c>
      <c r="N10" s="159" t="e">
        <f t="shared" si="3"/>
        <v>#DIV/0!</v>
      </c>
      <c r="O10" s="159" t="e">
        <f t="shared" si="4"/>
        <v>#VALUE!</v>
      </c>
      <c r="P10" s="211" t="e">
        <f t="shared" si="5"/>
        <v>#N/A</v>
      </c>
      <c r="Q10" s="159" t="e">
        <f t="shared" si="6"/>
        <v>#DIV/0!</v>
      </c>
      <c r="R10" s="159" t="e">
        <f t="shared" si="7"/>
        <v>#DIV/0!</v>
      </c>
      <c r="S10" s="159" t="e">
        <f t="shared" si="8"/>
        <v>#DIV/0!</v>
      </c>
      <c r="T10" s="152" t="e">
        <f t="shared" si="9"/>
        <v>#DIV/0!</v>
      </c>
      <c r="U10" s="160" t="e">
        <f t="shared" si="15"/>
        <v>#VALUE!</v>
      </c>
      <c r="V10" s="152" t="e">
        <f t="shared" si="10"/>
        <v>#DIV/0!</v>
      </c>
      <c r="W10" s="160" t="e">
        <f t="shared" si="11"/>
        <v>#VALUE!</v>
      </c>
      <c r="X10" s="152" t="e">
        <f t="shared" si="12"/>
        <v>#DIV/0!</v>
      </c>
      <c r="Y10" s="160" t="e">
        <f t="shared" si="13"/>
        <v>#VALUE!</v>
      </c>
      <c r="Z10" s="3" t="s">
        <v>57</v>
      </c>
      <c r="AA10" s="3"/>
      <c r="AB10" s="3"/>
      <c r="AC10" s="3"/>
      <c r="AD10" s="3"/>
      <c r="AE10" s="3"/>
      <c r="AF10" s="3"/>
      <c r="AG10" s="3"/>
      <c r="AH10" s="3"/>
      <c r="AI10" s="1"/>
      <c r="AJ10" s="1"/>
      <c r="AK10" s="1"/>
    </row>
    <row r="11" spans="1:37" x14ac:dyDescent="0.2">
      <c r="A11" s="53"/>
      <c r="B11" s="52"/>
      <c r="C11" s="53"/>
      <c r="D11" s="53"/>
      <c r="E11" s="53"/>
      <c r="F11" s="53"/>
      <c r="G11" s="3"/>
      <c r="H11" s="161" t="s">
        <v>58</v>
      </c>
      <c r="I11" s="59" t="e">
        <f>+I3/$I$1</f>
        <v>#DIV/0!</v>
      </c>
      <c r="J11" s="53"/>
      <c r="K11" s="53"/>
      <c r="L11" s="53"/>
      <c r="M11" s="153">
        <f t="shared" si="2"/>
        <v>0</v>
      </c>
      <c r="N11" s="159" t="e">
        <f t="shared" si="3"/>
        <v>#DIV/0!</v>
      </c>
      <c r="O11" s="159" t="e">
        <f t="shared" si="4"/>
        <v>#VALUE!</v>
      </c>
      <c r="P11" s="211" t="e">
        <f t="shared" si="5"/>
        <v>#N/A</v>
      </c>
      <c r="Q11" s="159" t="e">
        <f t="shared" si="6"/>
        <v>#DIV/0!</v>
      </c>
      <c r="R11" s="159" t="e">
        <f t="shared" si="7"/>
        <v>#DIV/0!</v>
      </c>
      <c r="S11" s="159" t="e">
        <f t="shared" si="8"/>
        <v>#DIV/0!</v>
      </c>
      <c r="T11" s="152" t="e">
        <f t="shared" si="9"/>
        <v>#DIV/0!</v>
      </c>
      <c r="U11" s="160" t="e">
        <f t="shared" si="15"/>
        <v>#VALUE!</v>
      </c>
      <c r="V11" s="152" t="e">
        <f t="shared" si="10"/>
        <v>#DIV/0!</v>
      </c>
      <c r="W11" s="160" t="e">
        <f t="shared" si="11"/>
        <v>#VALUE!</v>
      </c>
      <c r="X11" s="152" t="e">
        <f t="shared" si="12"/>
        <v>#DIV/0!</v>
      </c>
      <c r="Y11" s="160" t="e">
        <f t="shared" si="13"/>
        <v>#VALUE!</v>
      </c>
      <c r="Z11" s="170"/>
      <c r="AA11" s="170" t="s">
        <v>59</v>
      </c>
      <c r="AB11" s="170" t="s">
        <v>60</v>
      </c>
      <c r="AC11" s="170" t="s">
        <v>61</v>
      </c>
      <c r="AD11" s="170" t="s">
        <v>62</v>
      </c>
      <c r="AE11" s="170" t="s">
        <v>63</v>
      </c>
      <c r="AF11" s="3"/>
      <c r="AG11" s="3"/>
      <c r="AH11" s="3"/>
      <c r="AI11" s="1"/>
      <c r="AJ11" s="1"/>
      <c r="AK11" s="1"/>
    </row>
    <row r="12" spans="1:37" x14ac:dyDescent="0.2">
      <c r="A12" s="53"/>
      <c r="B12" s="52"/>
      <c r="C12" s="53"/>
      <c r="D12" s="53"/>
      <c r="E12" s="53"/>
      <c r="F12" s="53"/>
      <c r="G12" s="3"/>
      <c r="H12" s="161" t="s">
        <v>64</v>
      </c>
      <c r="I12" s="164" t="e">
        <f>+I9/I7</f>
        <v>#VALUE!</v>
      </c>
      <c r="J12" s="171" t="e">
        <f>+I12</f>
        <v>#VALUE!</v>
      </c>
      <c r="K12" s="171" t="e">
        <f>1/J12</f>
        <v>#VALUE!</v>
      </c>
      <c r="L12" s="3"/>
      <c r="M12" s="153">
        <f t="shared" si="2"/>
        <v>0</v>
      </c>
      <c r="N12" s="159" t="e">
        <f t="shared" si="3"/>
        <v>#DIV/0!</v>
      </c>
      <c r="O12" s="159" t="e">
        <f t="shared" si="4"/>
        <v>#VALUE!</v>
      </c>
      <c r="P12" s="211" t="e">
        <f t="shared" si="5"/>
        <v>#N/A</v>
      </c>
      <c r="Q12" s="159" t="e">
        <f t="shared" si="6"/>
        <v>#DIV/0!</v>
      </c>
      <c r="R12" s="159" t="e">
        <f t="shared" si="7"/>
        <v>#DIV/0!</v>
      </c>
      <c r="S12" s="159" t="e">
        <f t="shared" si="8"/>
        <v>#DIV/0!</v>
      </c>
      <c r="T12" s="152" t="e">
        <f t="shared" si="9"/>
        <v>#DIV/0!</v>
      </c>
      <c r="U12" s="160" t="e">
        <f t="shared" si="15"/>
        <v>#VALUE!</v>
      </c>
      <c r="V12" s="152" t="e">
        <f t="shared" si="10"/>
        <v>#DIV/0!</v>
      </c>
      <c r="W12" s="160" t="e">
        <f t="shared" si="11"/>
        <v>#VALUE!</v>
      </c>
      <c r="X12" s="152" t="e">
        <f t="shared" si="12"/>
        <v>#DIV/0!</v>
      </c>
      <c r="Y12" s="160" t="e">
        <f t="shared" si="13"/>
        <v>#VALUE!</v>
      </c>
      <c r="Z12" s="163" t="s">
        <v>65</v>
      </c>
      <c r="AA12" s="163">
        <v>1</v>
      </c>
      <c r="AB12" s="163">
        <v>669.20217667916086</v>
      </c>
      <c r="AC12" s="163">
        <v>669.20217667916086</v>
      </c>
      <c r="AD12" s="163">
        <v>28.150215299826005</v>
      </c>
      <c r="AE12" s="163">
        <v>7.2341618680963758E-4</v>
      </c>
      <c r="AF12" s="3"/>
      <c r="AG12" s="3"/>
      <c r="AH12" s="3"/>
      <c r="AI12" s="1"/>
      <c r="AJ12" s="1"/>
      <c r="AK12" s="1"/>
    </row>
    <row r="13" spans="1:37" x14ac:dyDescent="0.2">
      <c r="A13" s="53"/>
      <c r="B13" s="52"/>
      <c r="C13" s="53"/>
      <c r="D13" s="53"/>
      <c r="E13" s="53"/>
      <c r="F13" s="53"/>
      <c r="G13" s="3"/>
      <c r="H13" s="161" t="s">
        <v>66</v>
      </c>
      <c r="I13" s="59" t="e">
        <f>+I11-I12*I10</f>
        <v>#DIV/0!</v>
      </c>
      <c r="J13" s="195" t="e">
        <f>10^I13</f>
        <v>#DIV/0!</v>
      </c>
      <c r="K13" s="190" t="e">
        <f>+J13^J12</f>
        <v>#DIV/0!</v>
      </c>
      <c r="L13" s="53"/>
      <c r="M13" s="153">
        <f t="shared" si="2"/>
        <v>0</v>
      </c>
      <c r="N13" s="159" t="e">
        <f t="shared" si="3"/>
        <v>#DIV/0!</v>
      </c>
      <c r="O13" s="159" t="e">
        <f t="shared" si="4"/>
        <v>#VALUE!</v>
      </c>
      <c r="P13" s="211" t="e">
        <f t="shared" si="5"/>
        <v>#N/A</v>
      </c>
      <c r="Q13" s="159" t="e">
        <f t="shared" si="6"/>
        <v>#DIV/0!</v>
      </c>
      <c r="R13" s="159" t="e">
        <f t="shared" si="7"/>
        <v>#DIV/0!</v>
      </c>
      <c r="S13" s="159" t="e">
        <f t="shared" si="8"/>
        <v>#DIV/0!</v>
      </c>
      <c r="T13" s="152" t="e">
        <f t="shared" si="9"/>
        <v>#DIV/0!</v>
      </c>
      <c r="U13" s="160" t="e">
        <f t="shared" si="15"/>
        <v>#VALUE!</v>
      </c>
      <c r="V13" s="152" t="e">
        <f t="shared" si="10"/>
        <v>#DIV/0!</v>
      </c>
      <c r="W13" s="160" t="e">
        <f t="shared" si="11"/>
        <v>#VALUE!</v>
      </c>
      <c r="X13" s="152" t="e">
        <f t="shared" si="12"/>
        <v>#DIV/0!</v>
      </c>
      <c r="Y13" s="160" t="e">
        <f t="shared" si="13"/>
        <v>#VALUE!</v>
      </c>
      <c r="Z13" s="163" t="s">
        <v>67</v>
      </c>
      <c r="AA13" s="163">
        <v>8</v>
      </c>
      <c r="AB13" s="163">
        <v>190.18033632824034</v>
      </c>
      <c r="AC13" s="163">
        <v>23.772542041030043</v>
      </c>
      <c r="AD13" s="163"/>
      <c r="AE13" s="163"/>
      <c r="AF13" s="3"/>
      <c r="AG13" s="3"/>
      <c r="AH13" s="3"/>
      <c r="AI13" s="1"/>
      <c r="AJ13" s="1"/>
      <c r="AK13" s="1"/>
    </row>
    <row r="14" spans="1:37" ht="13.5" thickBot="1" x14ac:dyDescent="0.25">
      <c r="A14" s="53"/>
      <c r="B14" s="52"/>
      <c r="C14" s="53"/>
      <c r="D14" s="53"/>
      <c r="E14" s="53"/>
      <c r="F14" s="53"/>
      <c r="G14" s="3"/>
      <c r="H14" s="173" t="s">
        <v>68</v>
      </c>
      <c r="I14" s="60" t="e">
        <f>+I9^2/(I7*I8)</f>
        <v>#VALUE!</v>
      </c>
      <c r="J14" s="3" t="e">
        <f>"(X="&amp;TEXT(J13,"0.00E+0")&amp;"Y^"&amp;TEXT(J12,"0.00")&amp;")"</f>
        <v>#DIV/0!</v>
      </c>
      <c r="K14" s="53"/>
      <c r="L14" s="53"/>
      <c r="M14" s="153">
        <f t="shared" si="2"/>
        <v>0</v>
      </c>
      <c r="N14" s="159" t="e">
        <f t="shared" si="3"/>
        <v>#DIV/0!</v>
      </c>
      <c r="O14" s="159" t="e">
        <f t="shared" si="4"/>
        <v>#VALUE!</v>
      </c>
      <c r="P14" s="211" t="e">
        <f t="shared" si="5"/>
        <v>#N/A</v>
      </c>
      <c r="Q14" s="159" t="e">
        <f t="shared" si="6"/>
        <v>#DIV/0!</v>
      </c>
      <c r="R14" s="159" t="e">
        <f t="shared" si="7"/>
        <v>#DIV/0!</v>
      </c>
      <c r="S14" s="159" t="e">
        <f t="shared" si="8"/>
        <v>#DIV/0!</v>
      </c>
      <c r="T14" s="152" t="e">
        <f t="shared" si="9"/>
        <v>#DIV/0!</v>
      </c>
      <c r="U14" s="160" t="e">
        <f t="shared" si="15"/>
        <v>#VALUE!</v>
      </c>
      <c r="V14" s="152" t="e">
        <f t="shared" si="10"/>
        <v>#DIV/0!</v>
      </c>
      <c r="W14" s="160" t="e">
        <f t="shared" si="11"/>
        <v>#VALUE!</v>
      </c>
      <c r="X14" s="152" t="e">
        <f t="shared" si="12"/>
        <v>#DIV/0!</v>
      </c>
      <c r="Y14" s="160" t="e">
        <f t="shared" si="13"/>
        <v>#VALUE!</v>
      </c>
      <c r="Z14" s="166" t="s">
        <v>69</v>
      </c>
      <c r="AA14" s="166">
        <v>9</v>
      </c>
      <c r="AB14" s="166">
        <v>859.38251300740126</v>
      </c>
      <c r="AC14" s="166"/>
      <c r="AD14" s="166"/>
      <c r="AE14" s="166"/>
      <c r="AF14" s="3"/>
      <c r="AG14" s="3"/>
      <c r="AH14" s="3"/>
      <c r="AI14" s="1"/>
      <c r="AJ14" s="1"/>
      <c r="AK14" s="1"/>
    </row>
    <row r="15" spans="1:37" ht="13.5" thickBot="1" x14ac:dyDescent="0.25">
      <c r="A15" s="53"/>
      <c r="B15" s="52"/>
      <c r="C15" s="53"/>
      <c r="D15" s="53"/>
      <c r="E15" s="53"/>
      <c r="F15" s="53"/>
      <c r="G15" s="3"/>
      <c r="H15" s="3" t="s">
        <v>70</v>
      </c>
      <c r="I15" s="53" t="e">
        <f>VLOOKUP($J$24,$H$33:$J$69,2)</f>
        <v>#N/A</v>
      </c>
      <c r="J15" s="53"/>
      <c r="K15" s="53"/>
      <c r="L15" s="53"/>
      <c r="M15" s="153">
        <f t="shared" si="2"/>
        <v>0</v>
      </c>
      <c r="N15" s="159" t="e">
        <f t="shared" si="3"/>
        <v>#DIV/0!</v>
      </c>
      <c r="O15" s="159" t="e">
        <f t="shared" si="4"/>
        <v>#VALUE!</v>
      </c>
      <c r="P15" s="211" t="e">
        <f t="shared" si="5"/>
        <v>#N/A</v>
      </c>
      <c r="Q15" s="159" t="e">
        <f t="shared" si="6"/>
        <v>#DIV/0!</v>
      </c>
      <c r="R15" s="159" t="e">
        <f t="shared" si="7"/>
        <v>#DIV/0!</v>
      </c>
      <c r="S15" s="159" t="e">
        <f t="shared" si="8"/>
        <v>#DIV/0!</v>
      </c>
      <c r="T15" s="152" t="e">
        <f t="shared" si="9"/>
        <v>#DIV/0!</v>
      </c>
      <c r="U15" s="160" t="e">
        <f t="shared" si="15"/>
        <v>#VALUE!</v>
      </c>
      <c r="V15" s="152" t="e">
        <f t="shared" si="10"/>
        <v>#DIV/0!</v>
      </c>
      <c r="W15" s="160" t="e">
        <f t="shared" si="11"/>
        <v>#VALUE!</v>
      </c>
      <c r="X15" s="152" t="e">
        <f t="shared" si="12"/>
        <v>#DIV/0!</v>
      </c>
      <c r="Y15" s="160" t="e">
        <f t="shared" si="13"/>
        <v>#VALUE!</v>
      </c>
      <c r="Z15" s="3"/>
      <c r="AA15" s="3"/>
      <c r="AB15" s="3"/>
      <c r="AC15" s="3"/>
      <c r="AD15" s="3"/>
      <c r="AE15" s="3"/>
      <c r="AF15" s="3"/>
      <c r="AG15" s="3"/>
      <c r="AH15" s="3"/>
      <c r="AI15" s="1"/>
      <c r="AJ15" s="1"/>
      <c r="AK15" s="1"/>
    </row>
    <row r="16" spans="1:37" x14ac:dyDescent="0.2">
      <c r="A16" s="53"/>
      <c r="B16" s="52"/>
      <c r="C16" s="53"/>
      <c r="D16" s="53"/>
      <c r="E16" s="190"/>
      <c r="F16" s="53"/>
      <c r="G16" s="3"/>
      <c r="H16" s="3" t="s">
        <v>71</v>
      </c>
      <c r="I16" s="53" t="e">
        <f>VLOOKUP($J$24,$H$33:$J$69,3)</f>
        <v>#N/A</v>
      </c>
      <c r="J16" s="53"/>
      <c r="K16" s="53"/>
      <c r="L16" s="53"/>
      <c r="M16" s="153">
        <f t="shared" si="2"/>
        <v>0</v>
      </c>
      <c r="N16" s="159" t="e">
        <f t="shared" si="3"/>
        <v>#DIV/0!</v>
      </c>
      <c r="O16" s="159" t="e">
        <f t="shared" si="4"/>
        <v>#VALUE!</v>
      </c>
      <c r="P16" s="211" t="e">
        <f t="shared" si="5"/>
        <v>#N/A</v>
      </c>
      <c r="Q16" s="159" t="e">
        <f t="shared" si="6"/>
        <v>#DIV/0!</v>
      </c>
      <c r="R16" s="159" t="e">
        <f t="shared" si="7"/>
        <v>#DIV/0!</v>
      </c>
      <c r="S16" s="159" t="e">
        <f t="shared" si="8"/>
        <v>#DIV/0!</v>
      </c>
      <c r="T16" s="152" t="e">
        <f t="shared" si="9"/>
        <v>#DIV/0!</v>
      </c>
      <c r="U16" s="160" t="e">
        <f t="shared" si="15"/>
        <v>#VALUE!</v>
      </c>
      <c r="V16" s="152" t="e">
        <f t="shared" si="10"/>
        <v>#DIV/0!</v>
      </c>
      <c r="W16" s="160" t="e">
        <f t="shared" si="11"/>
        <v>#VALUE!</v>
      </c>
      <c r="X16" s="152" t="e">
        <f t="shared" si="12"/>
        <v>#DIV/0!</v>
      </c>
      <c r="Y16" s="160" t="e">
        <f t="shared" si="13"/>
        <v>#VALUE!</v>
      </c>
      <c r="Z16" s="170"/>
      <c r="AA16" s="170" t="s">
        <v>72</v>
      </c>
      <c r="AB16" s="170" t="s">
        <v>53</v>
      </c>
      <c r="AC16" s="170" t="s">
        <v>73</v>
      </c>
      <c r="AD16" s="170" t="s">
        <v>74</v>
      </c>
      <c r="AE16" s="170" t="s">
        <v>75</v>
      </c>
      <c r="AF16" s="170" t="s">
        <v>76</v>
      </c>
      <c r="AG16" s="170" t="s">
        <v>77</v>
      </c>
      <c r="AH16" s="170" t="s">
        <v>78</v>
      </c>
      <c r="AI16" s="1"/>
      <c r="AJ16" s="1"/>
      <c r="AK16" s="1"/>
    </row>
    <row r="17" spans="1:37" x14ac:dyDescent="0.2">
      <c r="A17" s="53"/>
      <c r="B17" s="52"/>
      <c r="C17" s="53"/>
      <c r="D17" s="53"/>
      <c r="E17" s="53"/>
      <c r="F17" s="53"/>
      <c r="G17" s="3"/>
      <c r="H17" s="3" t="s">
        <v>79</v>
      </c>
      <c r="I17" s="3" t="e">
        <f>+I15*SQRT($K$24/$I$7)</f>
        <v>#N/A</v>
      </c>
      <c r="J17" s="3" t="e">
        <f>+I12+I17</f>
        <v>#VALUE!</v>
      </c>
      <c r="K17" s="3" t="e">
        <f>+I12-I17</f>
        <v>#VALUE!</v>
      </c>
      <c r="L17" s="3"/>
      <c r="M17" s="153">
        <f t="shared" si="2"/>
        <v>0</v>
      </c>
      <c r="N17" s="159" t="e">
        <f t="shared" si="3"/>
        <v>#DIV/0!</v>
      </c>
      <c r="O17" s="159" t="e">
        <f t="shared" si="4"/>
        <v>#VALUE!</v>
      </c>
      <c r="P17" s="211" t="e">
        <f t="shared" si="5"/>
        <v>#N/A</v>
      </c>
      <c r="Q17" s="159" t="e">
        <f t="shared" si="6"/>
        <v>#DIV/0!</v>
      </c>
      <c r="R17" s="159" t="e">
        <f t="shared" si="7"/>
        <v>#DIV/0!</v>
      </c>
      <c r="S17" s="159" t="e">
        <f t="shared" si="8"/>
        <v>#DIV/0!</v>
      </c>
      <c r="T17" s="152" t="e">
        <f t="shared" si="9"/>
        <v>#DIV/0!</v>
      </c>
      <c r="U17" s="160" t="e">
        <f t="shared" si="15"/>
        <v>#VALUE!</v>
      </c>
      <c r="V17" s="152" t="e">
        <f t="shared" si="10"/>
        <v>#DIV/0!</v>
      </c>
      <c r="W17" s="160" t="e">
        <f t="shared" si="11"/>
        <v>#VALUE!</v>
      </c>
      <c r="X17" s="152" t="e">
        <f t="shared" si="12"/>
        <v>#DIV/0!</v>
      </c>
      <c r="Y17" s="160" t="e">
        <f t="shared" si="13"/>
        <v>#VALUE!</v>
      </c>
      <c r="Z17" s="163" t="s">
        <v>80</v>
      </c>
      <c r="AA17" s="163">
        <v>86.958826444998394</v>
      </c>
      <c r="AB17" s="163">
        <v>2.9348406973796441</v>
      </c>
      <c r="AC17" s="163">
        <v>29.629828468250114</v>
      </c>
      <c r="AD17" s="163">
        <v>1.824742265606886E-9</v>
      </c>
      <c r="AE17" s="163">
        <v>80.1910672841029</v>
      </c>
      <c r="AF17" s="163">
        <v>93.726585605893888</v>
      </c>
      <c r="AG17" s="163">
        <v>80.1910672841029</v>
      </c>
      <c r="AH17" s="163">
        <v>93.726585605893888</v>
      </c>
      <c r="AI17" s="1"/>
      <c r="AJ17" s="1"/>
      <c r="AK17" s="1"/>
    </row>
    <row r="18" spans="1:37" ht="13.5" thickBot="1" x14ac:dyDescent="0.25">
      <c r="A18" s="53"/>
      <c r="B18" s="52"/>
      <c r="C18" s="53"/>
      <c r="D18" s="53"/>
      <c r="E18" s="53"/>
      <c r="F18" s="53"/>
      <c r="G18" s="3"/>
      <c r="H18" s="3" t="s">
        <v>81</v>
      </c>
      <c r="I18" s="3" t="e">
        <f>+I15*SQRT(K24/I1)</f>
        <v>#N/A</v>
      </c>
      <c r="J18" s="53" t="e">
        <f>+I13-I18</f>
        <v>#DIV/0!</v>
      </c>
      <c r="K18" s="53" t="e">
        <f>+I13+I18</f>
        <v>#DIV/0!</v>
      </c>
      <c r="L18" s="3"/>
      <c r="M18" s="153">
        <f t="shared" si="2"/>
        <v>0</v>
      </c>
      <c r="N18" s="159" t="e">
        <f t="shared" si="3"/>
        <v>#DIV/0!</v>
      </c>
      <c r="O18" s="159" t="e">
        <f t="shared" si="4"/>
        <v>#VALUE!</v>
      </c>
      <c r="P18" s="211" t="e">
        <f t="shared" si="5"/>
        <v>#N/A</v>
      </c>
      <c r="Q18" s="159" t="e">
        <f t="shared" si="6"/>
        <v>#DIV/0!</v>
      </c>
      <c r="R18" s="159" t="e">
        <f t="shared" si="7"/>
        <v>#DIV/0!</v>
      </c>
      <c r="S18" s="159" t="e">
        <f t="shared" si="8"/>
        <v>#DIV/0!</v>
      </c>
      <c r="T18" s="152" t="e">
        <f t="shared" si="9"/>
        <v>#DIV/0!</v>
      </c>
      <c r="U18" s="160" t="e">
        <f t="shared" si="15"/>
        <v>#VALUE!</v>
      </c>
      <c r="V18" s="152" t="e">
        <f t="shared" si="10"/>
        <v>#DIV/0!</v>
      </c>
      <c r="W18" s="160" t="e">
        <f t="shared" si="11"/>
        <v>#VALUE!</v>
      </c>
      <c r="X18" s="152" t="e">
        <f t="shared" si="12"/>
        <v>#DIV/0!</v>
      </c>
      <c r="Y18" s="160" t="e">
        <f t="shared" si="13"/>
        <v>#VALUE!</v>
      </c>
      <c r="Z18" s="166" t="s">
        <v>82</v>
      </c>
      <c r="AA18" s="166">
        <v>-3.9353116272950031E-4</v>
      </c>
      <c r="AB18" s="166">
        <v>7.4171706023342889E-5</v>
      </c>
      <c r="AC18" s="166">
        <v>-5.3056776475607892</v>
      </c>
      <c r="AD18" s="166">
        <v>7.2341618680962284E-4</v>
      </c>
      <c r="AE18" s="166">
        <v>-5.645715341428152E-4</v>
      </c>
      <c r="AF18" s="166">
        <v>-2.2249079131618545E-4</v>
      </c>
      <c r="AG18" s="166">
        <v>-5.645715341428152E-4</v>
      </c>
      <c r="AH18" s="166">
        <v>-2.2249079131618545E-4</v>
      </c>
      <c r="AI18" s="1"/>
      <c r="AJ18" s="1"/>
      <c r="AK18" s="1"/>
    </row>
    <row r="19" spans="1:37" x14ac:dyDescent="0.2">
      <c r="A19" s="53"/>
      <c r="B19" s="52"/>
      <c r="C19" s="53"/>
      <c r="D19" s="53"/>
      <c r="E19" s="53"/>
      <c r="F19" s="53"/>
      <c r="G19" s="3"/>
      <c r="H19" s="3" t="s">
        <v>83</v>
      </c>
      <c r="I19" s="3" t="e">
        <f>MIN(A:A)</f>
        <v>#VALUE!</v>
      </c>
      <c r="J19" s="151"/>
      <c r="K19" s="151"/>
      <c r="L19" s="151"/>
      <c r="M19" s="153">
        <f t="shared" si="2"/>
        <v>0</v>
      </c>
      <c r="N19" s="159" t="e">
        <f t="shared" si="3"/>
        <v>#DIV/0!</v>
      </c>
      <c r="O19" s="159" t="e">
        <f t="shared" si="4"/>
        <v>#VALUE!</v>
      </c>
      <c r="P19" s="211" t="e">
        <f t="shared" si="5"/>
        <v>#N/A</v>
      </c>
      <c r="Q19" s="159" t="e">
        <f t="shared" si="6"/>
        <v>#DIV/0!</v>
      </c>
      <c r="R19" s="159" t="e">
        <f t="shared" si="7"/>
        <v>#DIV/0!</v>
      </c>
      <c r="S19" s="159" t="e">
        <f t="shared" si="8"/>
        <v>#DIV/0!</v>
      </c>
      <c r="T19" s="152" t="e">
        <f t="shared" si="9"/>
        <v>#DIV/0!</v>
      </c>
      <c r="U19" s="160" t="e">
        <f t="shared" si="15"/>
        <v>#VALUE!</v>
      </c>
      <c r="V19" s="152" t="e">
        <f t="shared" si="10"/>
        <v>#DIV/0!</v>
      </c>
      <c r="W19" s="160" t="e">
        <f t="shared" si="11"/>
        <v>#VALUE!</v>
      </c>
      <c r="X19" s="152" t="e">
        <f t="shared" si="12"/>
        <v>#DIV/0!</v>
      </c>
      <c r="Y19" s="160" t="e">
        <f t="shared" si="13"/>
        <v>#VALUE!</v>
      </c>
      <c r="Z19" s="3"/>
      <c r="AA19" s="3"/>
      <c r="AB19" s="3"/>
      <c r="AC19" s="3"/>
      <c r="AD19" s="3"/>
      <c r="AE19" s="3"/>
      <c r="AF19" s="3"/>
      <c r="AG19" s="3"/>
      <c r="AH19" s="3"/>
      <c r="AI19" s="1"/>
      <c r="AJ19" s="1"/>
      <c r="AK19" s="1"/>
    </row>
    <row r="20" spans="1:37" ht="13.5" thickBot="1" x14ac:dyDescent="0.25">
      <c r="A20" s="53"/>
      <c r="B20" s="52"/>
      <c r="C20" s="53"/>
      <c r="D20" s="53"/>
      <c r="E20" s="53"/>
      <c r="F20" s="53"/>
      <c r="G20" s="3"/>
      <c r="H20" s="3" t="s">
        <v>84</v>
      </c>
      <c r="I20" s="3" t="e">
        <f>MAX(A:A)</f>
        <v>#VALUE!</v>
      </c>
      <c r="J20" s="3"/>
      <c r="K20" s="3"/>
      <c r="L20" s="3"/>
      <c r="M20" s="63"/>
      <c r="N20" s="63"/>
      <c r="O20" s="159" t="e">
        <f t="shared" si="4"/>
        <v>#VALUE!</v>
      </c>
      <c r="P20" s="211" t="e">
        <f t="shared" si="5"/>
        <v>#N/A</v>
      </c>
      <c r="Q20" s="159" t="e">
        <f t="shared" si="6"/>
        <v>#DIV/0!</v>
      </c>
      <c r="R20" s="159" t="e">
        <f t="shared" si="7"/>
        <v>#DIV/0!</v>
      </c>
      <c r="S20" s="159" t="e">
        <f t="shared" si="8"/>
        <v>#DIV/0!</v>
      </c>
      <c r="T20" s="152" t="e">
        <f t="shared" si="9"/>
        <v>#DIV/0!</v>
      </c>
      <c r="U20" s="160" t="e">
        <f t="shared" si="15"/>
        <v>#VALUE!</v>
      </c>
      <c r="V20" s="152" t="e">
        <f t="shared" si="10"/>
        <v>#DIV/0!</v>
      </c>
      <c r="W20" s="160" t="e">
        <f t="shared" si="11"/>
        <v>#VALUE!</v>
      </c>
      <c r="X20" s="152" t="e">
        <f t="shared" si="12"/>
        <v>#DIV/0!</v>
      </c>
      <c r="Y20" s="160" t="e">
        <f t="shared" si="13"/>
        <v>#VALUE!</v>
      </c>
      <c r="Z20" s="3"/>
      <c r="AA20" s="3"/>
      <c r="AB20" s="3"/>
      <c r="AC20" s="3"/>
      <c r="AD20" s="3"/>
      <c r="AE20" s="3"/>
      <c r="AF20" s="3"/>
      <c r="AG20" s="3"/>
      <c r="AH20" s="3"/>
      <c r="AI20" s="1"/>
      <c r="AJ20" s="1"/>
      <c r="AK20" s="1"/>
    </row>
    <row r="21" spans="1:37" ht="13.5" thickBot="1" x14ac:dyDescent="0.25">
      <c r="A21" s="53"/>
      <c r="B21" s="52"/>
      <c r="C21" s="53"/>
      <c r="D21" s="53"/>
      <c r="E21" s="53"/>
      <c r="F21" s="53"/>
      <c r="G21" s="3"/>
      <c r="H21" s="174" t="s">
        <v>85</v>
      </c>
      <c r="I21" s="175"/>
      <c r="J21" s="3"/>
      <c r="K21" s="3"/>
      <c r="L21" s="3"/>
      <c r="M21" s="63"/>
      <c r="N21" s="63"/>
      <c r="O21" s="159" t="e">
        <f t="shared" si="4"/>
        <v>#VALUE!</v>
      </c>
      <c r="P21" s="211" t="e">
        <f t="shared" si="5"/>
        <v>#N/A</v>
      </c>
      <c r="Q21" s="159" t="e">
        <f t="shared" si="6"/>
        <v>#DIV/0!</v>
      </c>
      <c r="R21" s="159" t="e">
        <f t="shared" si="7"/>
        <v>#DIV/0!</v>
      </c>
      <c r="S21" s="159" t="e">
        <f t="shared" si="8"/>
        <v>#DIV/0!</v>
      </c>
      <c r="T21" s="152" t="e">
        <f t="shared" si="9"/>
        <v>#DIV/0!</v>
      </c>
      <c r="U21" s="160" t="e">
        <f t="shared" si="15"/>
        <v>#VALUE!</v>
      </c>
      <c r="V21" s="152" t="e">
        <f t="shared" si="10"/>
        <v>#DIV/0!</v>
      </c>
      <c r="W21" s="160" t="e">
        <f t="shared" si="11"/>
        <v>#VALUE!</v>
      </c>
      <c r="X21" s="152" t="e">
        <f t="shared" si="12"/>
        <v>#DIV/0!</v>
      </c>
      <c r="Y21" s="160" t="e">
        <f t="shared" si="13"/>
        <v>#VALUE!</v>
      </c>
      <c r="Z21" s="3"/>
      <c r="AA21" s="3"/>
      <c r="AB21" s="3"/>
      <c r="AC21" s="3"/>
      <c r="AD21" s="3"/>
      <c r="AE21" s="3"/>
      <c r="AF21" s="3"/>
      <c r="AG21" s="3"/>
      <c r="AH21" s="3"/>
      <c r="AI21" s="1"/>
      <c r="AJ21" s="1"/>
      <c r="AK21" s="1"/>
    </row>
    <row r="22" spans="1:37" ht="15" x14ac:dyDescent="0.2">
      <c r="A22" s="53"/>
      <c r="B22" s="52"/>
      <c r="C22" s="53"/>
      <c r="D22" s="53"/>
      <c r="E22" s="53"/>
      <c r="F22" s="53"/>
      <c r="G22" s="3"/>
      <c r="H22" s="156"/>
      <c r="I22" s="176" t="s">
        <v>86</v>
      </c>
      <c r="J22" s="177" t="s">
        <v>87</v>
      </c>
      <c r="K22" s="178" t="s">
        <v>119</v>
      </c>
      <c r="L22" s="179" t="s">
        <v>62</v>
      </c>
      <c r="M22" s="63"/>
      <c r="N22" s="63"/>
      <c r="O22" s="159" t="e">
        <f t="shared" si="4"/>
        <v>#VALUE!</v>
      </c>
      <c r="P22" s="211" t="e">
        <f t="shared" si="5"/>
        <v>#N/A</v>
      </c>
      <c r="Q22" s="159" t="e">
        <f t="shared" si="6"/>
        <v>#DIV/0!</v>
      </c>
      <c r="R22" s="159" t="e">
        <f t="shared" si="7"/>
        <v>#DIV/0!</v>
      </c>
      <c r="S22" s="159" t="e">
        <f t="shared" si="8"/>
        <v>#DIV/0!</v>
      </c>
      <c r="T22" s="152" t="e">
        <f t="shared" si="9"/>
        <v>#DIV/0!</v>
      </c>
      <c r="U22" s="160" t="e">
        <f t="shared" si="15"/>
        <v>#VALUE!</v>
      </c>
      <c r="V22" s="152" t="e">
        <f t="shared" si="10"/>
        <v>#DIV/0!</v>
      </c>
      <c r="W22" s="160" t="e">
        <f t="shared" si="11"/>
        <v>#VALUE!</v>
      </c>
      <c r="X22" s="152" t="e">
        <f t="shared" si="12"/>
        <v>#DIV/0!</v>
      </c>
      <c r="Y22" s="160" t="e">
        <f t="shared" si="13"/>
        <v>#VALUE!</v>
      </c>
      <c r="Z22" s="3" t="s">
        <v>88</v>
      </c>
      <c r="AA22" s="3"/>
      <c r="AB22" s="3"/>
      <c r="AC22" s="3"/>
      <c r="AD22" s="3"/>
      <c r="AE22" s="3"/>
      <c r="AF22" s="3"/>
      <c r="AG22" s="3"/>
      <c r="AH22" s="3"/>
      <c r="AI22" s="1"/>
      <c r="AJ22" s="1"/>
      <c r="AK22" s="1"/>
    </row>
    <row r="23" spans="1:37" ht="13.5" thickBot="1" x14ac:dyDescent="0.25">
      <c r="A23" s="53"/>
      <c r="B23" s="52"/>
      <c r="C23" s="53"/>
      <c r="D23" s="190"/>
      <c r="E23" s="53"/>
      <c r="F23" s="53"/>
      <c r="G23" s="3"/>
      <c r="H23" s="158" t="s">
        <v>89</v>
      </c>
      <c r="I23" s="180" t="e">
        <f>+I9^2/I7</f>
        <v>#VALUE!</v>
      </c>
      <c r="J23" s="63">
        <v>1</v>
      </c>
      <c r="K23" s="153" t="e">
        <f>+I23/1</f>
        <v>#VALUE!</v>
      </c>
      <c r="L23" s="181" t="e">
        <f>+K23/K24</f>
        <v>#VALUE!</v>
      </c>
      <c r="M23" s="63"/>
      <c r="N23" s="63"/>
      <c r="O23" s="159" t="e">
        <f t="shared" si="4"/>
        <v>#VALUE!</v>
      </c>
      <c r="P23" s="211" t="e">
        <f t="shared" si="5"/>
        <v>#N/A</v>
      </c>
      <c r="Q23" s="159" t="e">
        <f t="shared" si="6"/>
        <v>#DIV/0!</v>
      </c>
      <c r="R23" s="159" t="e">
        <f t="shared" si="7"/>
        <v>#DIV/0!</v>
      </c>
      <c r="S23" s="159" t="e">
        <f t="shared" si="8"/>
        <v>#DIV/0!</v>
      </c>
      <c r="T23" s="152" t="e">
        <f t="shared" si="9"/>
        <v>#DIV/0!</v>
      </c>
      <c r="U23" s="160" t="e">
        <f t="shared" si="15"/>
        <v>#VALUE!</v>
      </c>
      <c r="V23" s="152" t="e">
        <f t="shared" si="10"/>
        <v>#DIV/0!</v>
      </c>
      <c r="W23" s="160" t="e">
        <f t="shared" si="11"/>
        <v>#VALUE!</v>
      </c>
      <c r="X23" s="152" t="e">
        <f t="shared" si="12"/>
        <v>#DIV/0!</v>
      </c>
      <c r="Y23" s="160" t="e">
        <f t="shared" si="13"/>
        <v>#VALUE!</v>
      </c>
      <c r="Z23" s="3"/>
      <c r="AA23" s="3"/>
      <c r="AB23" s="3"/>
      <c r="AC23" s="3"/>
      <c r="AD23" s="3"/>
      <c r="AE23" s="3"/>
      <c r="AF23" s="3"/>
      <c r="AG23" s="3"/>
      <c r="AH23" s="3"/>
      <c r="AI23" s="1"/>
      <c r="AJ23" s="1"/>
      <c r="AK23" s="1"/>
    </row>
    <row r="24" spans="1:37" x14ac:dyDescent="0.2">
      <c r="A24" s="53"/>
      <c r="B24" s="52"/>
      <c r="C24" s="53"/>
      <c r="D24" s="53"/>
      <c r="E24" s="53"/>
      <c r="F24" s="53"/>
      <c r="G24" s="3"/>
      <c r="H24" s="158" t="s">
        <v>67</v>
      </c>
      <c r="I24" s="182" t="e">
        <f>+I8-I23</f>
        <v>#DIV/0!</v>
      </c>
      <c r="J24" s="183">
        <f>+I1-2</f>
        <v>-2</v>
      </c>
      <c r="K24" s="184" t="e">
        <f>+I24/($I$1-2)</f>
        <v>#DIV/0!</v>
      </c>
      <c r="L24" s="185"/>
      <c r="M24" s="3"/>
      <c r="N24" s="3"/>
      <c r="O24" s="159" t="e">
        <f t="shared" si="4"/>
        <v>#VALUE!</v>
      </c>
      <c r="P24" s="211" t="e">
        <f t="shared" si="5"/>
        <v>#N/A</v>
      </c>
      <c r="Q24" s="159" t="e">
        <f t="shared" si="6"/>
        <v>#DIV/0!</v>
      </c>
      <c r="R24" s="159" t="e">
        <f t="shared" si="7"/>
        <v>#DIV/0!</v>
      </c>
      <c r="S24" s="159" t="e">
        <f t="shared" si="8"/>
        <v>#DIV/0!</v>
      </c>
      <c r="T24" s="152" t="e">
        <f t="shared" si="9"/>
        <v>#DIV/0!</v>
      </c>
      <c r="U24" s="160" t="e">
        <f t="shared" si="15"/>
        <v>#VALUE!</v>
      </c>
      <c r="V24" s="152" t="e">
        <f t="shared" si="10"/>
        <v>#DIV/0!</v>
      </c>
      <c r="W24" s="160" t="e">
        <f t="shared" si="11"/>
        <v>#VALUE!</v>
      </c>
      <c r="X24" s="152" t="e">
        <f t="shared" si="12"/>
        <v>#DIV/0!</v>
      </c>
      <c r="Y24" s="160" t="e">
        <f t="shared" si="13"/>
        <v>#VALUE!</v>
      </c>
      <c r="Z24" s="170" t="s">
        <v>90</v>
      </c>
      <c r="AA24" s="170" t="s">
        <v>91</v>
      </c>
      <c r="AB24" s="170" t="s">
        <v>92</v>
      </c>
      <c r="AC24" s="170" t="s">
        <v>93</v>
      </c>
      <c r="AD24" s="3"/>
      <c r="AE24" s="3"/>
      <c r="AF24" s="3"/>
      <c r="AG24" s="3"/>
      <c r="AH24" s="3"/>
      <c r="AI24" s="1"/>
      <c r="AJ24" s="1"/>
      <c r="AK24" s="1"/>
    </row>
    <row r="25" spans="1:37" ht="13.5" thickBot="1" x14ac:dyDescent="0.25">
      <c r="A25" s="53"/>
      <c r="B25" s="52"/>
      <c r="C25" s="53"/>
      <c r="D25" s="53"/>
      <c r="E25" s="53"/>
      <c r="F25" s="53"/>
      <c r="G25" s="3"/>
      <c r="H25" s="173" t="s">
        <v>69</v>
      </c>
      <c r="I25" s="186" t="e">
        <f>SUM(I23:I24)</f>
        <v>#VALUE!</v>
      </c>
      <c r="J25" s="187">
        <f>SUM(J23:J24)</f>
        <v>-1</v>
      </c>
      <c r="K25" s="188"/>
      <c r="L25" s="189"/>
      <c r="M25" s="3"/>
      <c r="N25" s="3"/>
      <c r="O25" s="159" t="e">
        <f t="shared" si="4"/>
        <v>#VALUE!</v>
      </c>
      <c r="P25" s="211" t="e">
        <f t="shared" si="5"/>
        <v>#N/A</v>
      </c>
      <c r="Q25" s="159" t="e">
        <f t="shared" si="6"/>
        <v>#DIV/0!</v>
      </c>
      <c r="R25" s="159" t="e">
        <f t="shared" si="7"/>
        <v>#DIV/0!</v>
      </c>
      <c r="S25" s="159" t="e">
        <f t="shared" si="8"/>
        <v>#DIV/0!</v>
      </c>
      <c r="T25" s="152" t="e">
        <f t="shared" si="9"/>
        <v>#DIV/0!</v>
      </c>
      <c r="U25" s="160" t="e">
        <f t="shared" si="15"/>
        <v>#VALUE!</v>
      </c>
      <c r="V25" s="152" t="e">
        <f t="shared" si="10"/>
        <v>#DIV/0!</v>
      </c>
      <c r="W25" s="160" t="e">
        <f t="shared" si="11"/>
        <v>#VALUE!</v>
      </c>
      <c r="X25" s="152" t="e">
        <f t="shared" si="12"/>
        <v>#DIV/0!</v>
      </c>
      <c r="Y25" s="160" t="e">
        <f t="shared" si="13"/>
        <v>#VALUE!</v>
      </c>
      <c r="Z25" s="163">
        <v>1</v>
      </c>
      <c r="AA25" s="163">
        <v>64.96200857307025</v>
      </c>
      <c r="AB25" s="163">
        <v>0.47441169590722154</v>
      </c>
      <c r="AC25" s="163">
        <v>0.1032033599178334</v>
      </c>
      <c r="AD25" s="3"/>
      <c r="AE25" s="3"/>
      <c r="AF25" s="3"/>
      <c r="AG25" s="3"/>
      <c r="AH25" s="3"/>
      <c r="AI25" s="1"/>
      <c r="AJ25" s="1"/>
      <c r="AK25" s="1"/>
    </row>
    <row r="26" spans="1:37" x14ac:dyDescent="0.2">
      <c r="A26" s="53"/>
      <c r="B26" s="52"/>
      <c r="C26" s="53"/>
      <c r="D26" s="53"/>
      <c r="E26" s="53"/>
      <c r="F26" s="53"/>
      <c r="G26" s="3"/>
      <c r="H26" s="3"/>
      <c r="I26" s="3"/>
      <c r="J26" s="3"/>
      <c r="K26" s="3"/>
      <c r="L26" s="3"/>
      <c r="M26" s="3"/>
      <c r="N26" s="3"/>
      <c r="O26" s="159" t="e">
        <f t="shared" si="4"/>
        <v>#VALUE!</v>
      </c>
      <c r="P26" s="211" t="e">
        <f t="shared" si="5"/>
        <v>#N/A</v>
      </c>
      <c r="Q26" s="159" t="e">
        <f t="shared" si="6"/>
        <v>#DIV/0!</v>
      </c>
      <c r="R26" s="159" t="e">
        <f t="shared" si="7"/>
        <v>#DIV/0!</v>
      </c>
      <c r="S26" s="159" t="e">
        <f t="shared" si="8"/>
        <v>#DIV/0!</v>
      </c>
      <c r="T26" s="152" t="e">
        <f t="shared" si="9"/>
        <v>#DIV/0!</v>
      </c>
      <c r="U26" s="160" t="e">
        <f t="shared" si="15"/>
        <v>#VALUE!</v>
      </c>
      <c r="V26" s="152" t="e">
        <f t="shared" si="10"/>
        <v>#DIV/0!</v>
      </c>
      <c r="W26" s="160" t="e">
        <f t="shared" si="11"/>
        <v>#VALUE!</v>
      </c>
      <c r="X26" s="152" t="e">
        <f t="shared" si="12"/>
        <v>#DIV/0!</v>
      </c>
      <c r="Y26" s="160" t="e">
        <f t="shared" si="13"/>
        <v>#VALUE!</v>
      </c>
      <c r="Z26" s="163">
        <v>2</v>
      </c>
      <c r="AA26" s="163">
        <v>84.735375375576723</v>
      </c>
      <c r="AB26" s="163">
        <v>8.1224337994435558</v>
      </c>
      <c r="AC26" s="163">
        <v>1.7669515023438278</v>
      </c>
      <c r="AD26" s="3"/>
      <c r="AE26" s="3"/>
      <c r="AF26" s="3"/>
      <c r="AG26" s="3"/>
      <c r="AH26" s="3"/>
      <c r="AI26" s="1"/>
      <c r="AJ26" s="1"/>
      <c r="AK26" s="1"/>
    </row>
    <row r="27" spans="1:37" x14ac:dyDescent="0.2">
      <c r="A27" s="53"/>
      <c r="B27" s="52"/>
      <c r="C27" s="53"/>
      <c r="D27" s="53"/>
      <c r="E27" s="53"/>
      <c r="F27" s="53"/>
      <c r="G27" s="3"/>
      <c r="H27" s="3"/>
      <c r="I27" s="3"/>
      <c r="J27" s="3"/>
      <c r="K27" s="3"/>
      <c r="L27" s="3"/>
      <c r="M27" s="3"/>
      <c r="N27" s="3"/>
      <c r="O27" s="159" t="e">
        <f t="shared" si="4"/>
        <v>#VALUE!</v>
      </c>
      <c r="P27" s="211" t="e">
        <f t="shared" si="5"/>
        <v>#N/A</v>
      </c>
      <c r="Q27" s="159" t="e">
        <f t="shared" si="6"/>
        <v>#DIV/0!</v>
      </c>
      <c r="R27" s="159" t="e">
        <f t="shared" si="7"/>
        <v>#DIV/0!</v>
      </c>
      <c r="S27" s="159" t="e">
        <f t="shared" si="8"/>
        <v>#DIV/0!</v>
      </c>
      <c r="T27" s="152" t="e">
        <f t="shared" si="9"/>
        <v>#DIV/0!</v>
      </c>
      <c r="U27" s="160" t="e">
        <f t="shared" si="15"/>
        <v>#VALUE!</v>
      </c>
      <c r="V27" s="152" t="e">
        <f t="shared" si="10"/>
        <v>#DIV/0!</v>
      </c>
      <c r="W27" s="160" t="e">
        <f t="shared" si="11"/>
        <v>#VALUE!</v>
      </c>
      <c r="X27" s="152" t="e">
        <f t="shared" si="12"/>
        <v>#DIV/0!</v>
      </c>
      <c r="Y27" s="160" t="e">
        <f t="shared" si="13"/>
        <v>#VALUE!</v>
      </c>
      <c r="Z27" s="163">
        <v>3</v>
      </c>
      <c r="AA27" s="163">
        <v>72.398960486332342</v>
      </c>
      <c r="AB27" s="163">
        <v>-3.7728515527469852</v>
      </c>
      <c r="AC27" s="163">
        <v>-0.82074485109416684</v>
      </c>
      <c r="AD27" s="3"/>
      <c r="AE27" s="3"/>
      <c r="AF27" s="3"/>
      <c r="AG27" s="3"/>
      <c r="AH27" s="3"/>
      <c r="AI27" s="1"/>
      <c r="AJ27" s="1"/>
      <c r="AK27" s="1"/>
    </row>
    <row r="28" spans="1:37" x14ac:dyDescent="0.2">
      <c r="A28" s="53"/>
      <c r="B28" s="52"/>
      <c r="C28" s="53"/>
      <c r="D28" s="53"/>
      <c r="E28" s="53"/>
      <c r="F28" s="53"/>
      <c r="G28" s="3"/>
      <c r="H28" s="3"/>
      <c r="I28" s="53"/>
      <c r="J28" s="3"/>
      <c r="K28" s="3"/>
      <c r="L28" s="3"/>
      <c r="M28" s="163"/>
      <c r="N28" s="163"/>
      <c r="O28" s="159" t="e">
        <f t="shared" si="4"/>
        <v>#VALUE!</v>
      </c>
      <c r="P28" s="211" t="e">
        <f t="shared" si="5"/>
        <v>#N/A</v>
      </c>
      <c r="Q28" s="159" t="e">
        <f t="shared" si="6"/>
        <v>#DIV/0!</v>
      </c>
      <c r="R28" s="159" t="e">
        <f t="shared" si="7"/>
        <v>#DIV/0!</v>
      </c>
      <c r="S28" s="159" t="e">
        <f t="shared" si="8"/>
        <v>#DIV/0!</v>
      </c>
      <c r="T28" s="152" t="e">
        <f t="shared" si="9"/>
        <v>#DIV/0!</v>
      </c>
      <c r="U28" s="160" t="e">
        <f t="shared" si="15"/>
        <v>#VALUE!</v>
      </c>
      <c r="V28" s="152" t="e">
        <f t="shared" si="10"/>
        <v>#DIV/0!</v>
      </c>
      <c r="W28" s="160" t="e">
        <f t="shared" si="11"/>
        <v>#VALUE!</v>
      </c>
      <c r="X28" s="152" t="e">
        <f t="shared" si="12"/>
        <v>#DIV/0!</v>
      </c>
      <c r="Y28" s="160" t="e">
        <f t="shared" si="13"/>
        <v>#VALUE!</v>
      </c>
      <c r="Z28" s="163">
        <v>4</v>
      </c>
      <c r="AA28" s="163">
        <v>83.967989608254186</v>
      </c>
      <c r="AB28" s="163">
        <v>3.5389412932821216</v>
      </c>
      <c r="AC28" s="163">
        <v>0.76986009234077568</v>
      </c>
      <c r="AD28" s="3"/>
      <c r="AE28" s="3"/>
      <c r="AF28" s="3"/>
      <c r="AG28" s="3"/>
      <c r="AH28" s="3"/>
      <c r="AI28" s="1"/>
      <c r="AJ28" s="1"/>
      <c r="AK28" s="1"/>
    </row>
    <row r="29" spans="1:37" x14ac:dyDescent="0.2">
      <c r="A29" s="53"/>
      <c r="B29" s="52"/>
      <c r="C29" s="53"/>
      <c r="D29" s="53"/>
      <c r="E29" s="53"/>
      <c r="F29" s="53"/>
      <c r="G29" s="3"/>
      <c r="H29" s="3" t="s">
        <v>94</v>
      </c>
      <c r="I29" s="190" t="e">
        <f>10^$I$13</f>
        <v>#DIV/0!</v>
      </c>
      <c r="J29" s="3" t="s">
        <v>95</v>
      </c>
      <c r="K29" s="3" t="s">
        <v>96</v>
      </c>
      <c r="L29" s="151" t="e">
        <f>+I12</f>
        <v>#VALUE!</v>
      </c>
      <c r="M29" s="163"/>
      <c r="N29" s="163"/>
      <c r="O29" s="159" t="e">
        <f t="shared" si="4"/>
        <v>#VALUE!</v>
      </c>
      <c r="P29" s="211" t="e">
        <f t="shared" si="5"/>
        <v>#N/A</v>
      </c>
      <c r="Q29" s="159" t="e">
        <f t="shared" si="6"/>
        <v>#DIV/0!</v>
      </c>
      <c r="R29" s="159" t="e">
        <f t="shared" si="7"/>
        <v>#DIV/0!</v>
      </c>
      <c r="S29" s="159" t="e">
        <f t="shared" si="8"/>
        <v>#DIV/0!</v>
      </c>
      <c r="T29" s="152" t="e">
        <f t="shared" si="9"/>
        <v>#DIV/0!</v>
      </c>
      <c r="U29" s="160" t="e">
        <f t="shared" si="15"/>
        <v>#VALUE!</v>
      </c>
      <c r="V29" s="152" t="e">
        <f t="shared" si="10"/>
        <v>#DIV/0!</v>
      </c>
      <c r="W29" s="160" t="e">
        <f t="shared" si="11"/>
        <v>#VALUE!</v>
      </c>
      <c r="X29" s="152" t="e">
        <f t="shared" si="12"/>
        <v>#DIV/0!</v>
      </c>
      <c r="Y29" s="160" t="e">
        <f t="shared" si="13"/>
        <v>#VALUE!</v>
      </c>
      <c r="Z29" s="163">
        <v>5</v>
      </c>
      <c r="AA29" s="163">
        <v>80.249513651623147</v>
      </c>
      <c r="AB29" s="163">
        <v>-3.074627132090697</v>
      </c>
      <c r="AC29" s="163">
        <v>-0.66885334671080132</v>
      </c>
      <c r="AD29" s="3"/>
      <c r="AE29" s="3"/>
      <c r="AF29" s="3"/>
      <c r="AG29" s="3"/>
      <c r="AH29" s="3"/>
      <c r="AI29" s="1"/>
      <c r="AJ29" s="1"/>
      <c r="AK29" s="1"/>
    </row>
    <row r="30" spans="1:37" ht="15.75" x14ac:dyDescent="0.2">
      <c r="A30" s="154"/>
      <c r="B30" s="154"/>
      <c r="C30" s="160"/>
      <c r="D30" s="3"/>
      <c r="E30" s="3"/>
      <c r="F30" s="3"/>
      <c r="G30" s="3"/>
      <c r="H30" s="3"/>
      <c r="I30" s="3"/>
      <c r="J30" s="3"/>
      <c r="K30" s="3"/>
      <c r="L30" s="3"/>
      <c r="M30" s="163"/>
      <c r="N30" s="163"/>
      <c r="O30" s="159" t="e">
        <f t="shared" si="4"/>
        <v>#VALUE!</v>
      </c>
      <c r="P30" s="211" t="e">
        <f t="shared" si="5"/>
        <v>#N/A</v>
      </c>
      <c r="Q30" s="159" t="e">
        <f t="shared" si="6"/>
        <v>#DIV/0!</v>
      </c>
      <c r="R30" s="159" t="e">
        <f t="shared" si="7"/>
        <v>#DIV/0!</v>
      </c>
      <c r="S30" s="159" t="e">
        <f t="shared" si="8"/>
        <v>#DIV/0!</v>
      </c>
      <c r="T30" s="152" t="e">
        <f t="shared" si="9"/>
        <v>#DIV/0!</v>
      </c>
      <c r="U30" s="160" t="e">
        <f t="shared" si="15"/>
        <v>#VALUE!</v>
      </c>
      <c r="V30" s="152" t="e">
        <f t="shared" si="10"/>
        <v>#DIV/0!</v>
      </c>
      <c r="W30" s="160" t="e">
        <f t="shared" si="11"/>
        <v>#VALUE!</v>
      </c>
      <c r="X30" s="152" t="e">
        <f t="shared" si="12"/>
        <v>#DIV/0!</v>
      </c>
      <c r="Y30" s="160" t="e">
        <f t="shared" si="13"/>
        <v>#VALUE!</v>
      </c>
      <c r="Z30" s="163">
        <v>6</v>
      </c>
      <c r="AA30" s="163">
        <v>78.183475047293271</v>
      </c>
      <c r="AB30" s="163">
        <v>-4.5407034997025164</v>
      </c>
      <c r="AC30" s="163">
        <v>-0.98778310400595504</v>
      </c>
      <c r="AD30" s="3"/>
      <c r="AE30" s="3"/>
      <c r="AF30" s="3"/>
      <c r="AG30" s="3"/>
      <c r="AH30" s="3"/>
      <c r="AI30" s="1"/>
      <c r="AJ30" s="1"/>
      <c r="AK30" s="1"/>
    </row>
    <row r="31" spans="1:37" ht="16.5" thickBot="1" x14ac:dyDescent="0.25">
      <c r="A31" s="154"/>
      <c r="B31" s="154"/>
      <c r="C31" s="160"/>
      <c r="D31" s="3"/>
      <c r="E31" s="3"/>
      <c r="F31" s="3"/>
      <c r="G31" s="3"/>
      <c r="H31" s="3"/>
      <c r="I31" s="3"/>
      <c r="J31" s="3"/>
      <c r="K31" s="3"/>
      <c r="L31" s="3"/>
      <c r="M31" s="163"/>
      <c r="N31" s="163"/>
      <c r="O31" s="159" t="e">
        <f t="shared" si="4"/>
        <v>#VALUE!</v>
      </c>
      <c r="P31" s="211" t="e">
        <f t="shared" si="5"/>
        <v>#N/A</v>
      </c>
      <c r="Q31" s="159" t="e">
        <f t="shared" si="6"/>
        <v>#DIV/0!</v>
      </c>
      <c r="R31" s="159" t="e">
        <f t="shared" si="7"/>
        <v>#DIV/0!</v>
      </c>
      <c r="S31" s="159" t="e">
        <f t="shared" si="8"/>
        <v>#DIV/0!</v>
      </c>
      <c r="T31" s="152" t="e">
        <f t="shared" si="9"/>
        <v>#DIV/0!</v>
      </c>
      <c r="U31" s="160" t="e">
        <f t="shared" si="15"/>
        <v>#VALUE!</v>
      </c>
      <c r="V31" s="152" t="e">
        <f t="shared" si="10"/>
        <v>#DIV/0!</v>
      </c>
      <c r="W31" s="160" t="e">
        <f t="shared" si="11"/>
        <v>#VALUE!</v>
      </c>
      <c r="X31" s="152" t="e">
        <f t="shared" si="12"/>
        <v>#DIV/0!</v>
      </c>
      <c r="Y31" s="160" t="e">
        <f t="shared" si="13"/>
        <v>#VALUE!</v>
      </c>
      <c r="Z31" s="163">
        <v>7</v>
      </c>
      <c r="AA31" s="163">
        <v>58.292048895967945</v>
      </c>
      <c r="AB31" s="163">
        <v>5.5384635753090379</v>
      </c>
      <c r="AC31" s="163">
        <v>1.2048354934870995</v>
      </c>
      <c r="AD31" s="3"/>
      <c r="AE31" s="3"/>
      <c r="AF31" s="3"/>
      <c r="AG31" s="3"/>
      <c r="AH31" s="3"/>
      <c r="AI31" s="1"/>
      <c r="AJ31" s="1"/>
      <c r="AK31" s="1"/>
    </row>
    <row r="32" spans="1:37" ht="16.5" thickBot="1" x14ac:dyDescent="0.25">
      <c r="A32" s="154"/>
      <c r="B32" s="154"/>
      <c r="C32" s="160"/>
      <c r="D32" s="3"/>
      <c r="E32" s="3"/>
      <c r="F32" s="3"/>
      <c r="G32" s="3"/>
      <c r="H32" s="174" t="s">
        <v>33</v>
      </c>
      <c r="I32" s="191" t="s">
        <v>97</v>
      </c>
      <c r="J32" s="191" t="s">
        <v>98</v>
      </c>
      <c r="K32" s="191"/>
      <c r="L32" s="192">
        <v>0.95</v>
      </c>
      <c r="M32" s="163"/>
      <c r="N32" s="163"/>
      <c r="O32" s="159" t="e">
        <f t="shared" si="4"/>
        <v>#VALUE!</v>
      </c>
      <c r="P32" s="211" t="e">
        <f t="shared" si="5"/>
        <v>#N/A</v>
      </c>
      <c r="Q32" s="159" t="e">
        <f t="shared" si="6"/>
        <v>#DIV/0!</v>
      </c>
      <c r="R32" s="159" t="e">
        <f t="shared" si="7"/>
        <v>#DIV/0!</v>
      </c>
      <c r="S32" s="159" t="e">
        <f t="shared" si="8"/>
        <v>#DIV/0!</v>
      </c>
      <c r="T32" s="152" t="e">
        <f t="shared" si="9"/>
        <v>#DIV/0!</v>
      </c>
      <c r="U32" s="160" t="e">
        <f t="shared" si="15"/>
        <v>#VALUE!</v>
      </c>
      <c r="V32" s="152" t="e">
        <f t="shared" si="10"/>
        <v>#DIV/0!</v>
      </c>
      <c r="W32" s="160" t="e">
        <f t="shared" si="11"/>
        <v>#VALUE!</v>
      </c>
      <c r="X32" s="152" t="e">
        <f t="shared" si="12"/>
        <v>#DIV/0!</v>
      </c>
      <c r="Y32" s="160" t="e">
        <f t="shared" si="13"/>
        <v>#VALUE!</v>
      </c>
      <c r="Z32" s="163">
        <v>8</v>
      </c>
      <c r="AA32" s="163">
        <v>76.17685964853554</v>
      </c>
      <c r="AB32" s="163">
        <v>-1.6616650429208448</v>
      </c>
      <c r="AC32" s="163">
        <v>-0.36147805158871843</v>
      </c>
      <c r="AD32" s="3"/>
      <c r="AE32" s="3"/>
      <c r="AF32" s="3"/>
      <c r="AG32" s="3"/>
      <c r="AH32" s="3"/>
      <c r="AI32" s="1"/>
      <c r="AJ32" s="1"/>
      <c r="AK32" s="1"/>
    </row>
    <row r="33" spans="1:37" ht="15.75" x14ac:dyDescent="0.2">
      <c r="A33" s="154"/>
      <c r="B33" s="154"/>
      <c r="C33" s="160"/>
      <c r="D33" s="3"/>
      <c r="E33" s="3"/>
      <c r="F33" s="3"/>
      <c r="G33" s="3"/>
      <c r="H33" s="158">
        <v>1</v>
      </c>
      <c r="I33" s="63">
        <v>12.706</v>
      </c>
      <c r="J33" s="63">
        <v>199.5</v>
      </c>
      <c r="K33" s="63"/>
      <c r="L33" s="164"/>
      <c r="M33" s="63"/>
      <c r="N33" s="63"/>
      <c r="O33" s="159" t="e">
        <f t="shared" si="4"/>
        <v>#VALUE!</v>
      </c>
      <c r="P33" s="211" t="e">
        <f t="shared" si="5"/>
        <v>#N/A</v>
      </c>
      <c r="Q33" s="159" t="e">
        <f t="shared" si="6"/>
        <v>#DIV/0!</v>
      </c>
      <c r="R33" s="159" t="e">
        <f t="shared" si="7"/>
        <v>#DIV/0!</v>
      </c>
      <c r="S33" s="159" t="e">
        <f t="shared" si="8"/>
        <v>#DIV/0!</v>
      </c>
      <c r="T33" s="152" t="e">
        <f t="shared" si="9"/>
        <v>#DIV/0!</v>
      </c>
      <c r="U33" s="160" t="e">
        <f t="shared" si="15"/>
        <v>#VALUE!</v>
      </c>
      <c r="V33" s="152" t="e">
        <f t="shared" si="10"/>
        <v>#DIV/0!</v>
      </c>
      <c r="W33" s="160" t="e">
        <f t="shared" si="11"/>
        <v>#VALUE!</v>
      </c>
      <c r="X33" s="152" t="e">
        <f t="shared" si="12"/>
        <v>#DIV/0!</v>
      </c>
      <c r="Y33" s="160" t="e">
        <f t="shared" si="13"/>
        <v>#VALUE!</v>
      </c>
      <c r="Z33" s="163">
        <v>9</v>
      </c>
      <c r="AA33" s="163">
        <v>66.37832722773372</v>
      </c>
      <c r="AB33" s="163">
        <v>1.0806764711593644</v>
      </c>
      <c r="AC33" s="163">
        <v>0.23508999413371393</v>
      </c>
      <c r="AD33" s="3"/>
      <c r="AE33" s="3"/>
      <c r="AF33" s="3"/>
      <c r="AG33" s="3"/>
      <c r="AH33" s="3"/>
      <c r="AI33" s="1"/>
      <c r="AJ33" s="1"/>
      <c r="AK33" s="1"/>
    </row>
    <row r="34" spans="1:37" ht="16.5" thickBot="1" x14ac:dyDescent="0.25">
      <c r="A34" s="154"/>
      <c r="B34" s="154"/>
      <c r="C34" s="160"/>
      <c r="D34" s="3"/>
      <c r="E34" s="3"/>
      <c r="F34" s="3"/>
      <c r="G34" s="3"/>
      <c r="H34" s="158">
        <v>2</v>
      </c>
      <c r="I34" s="63">
        <v>4.3029999999999999</v>
      </c>
      <c r="J34" s="63">
        <v>19</v>
      </c>
      <c r="K34" s="63"/>
      <c r="L34" s="164"/>
      <c r="M34" s="63"/>
      <c r="N34" s="63"/>
      <c r="O34" s="159" t="e">
        <f t="shared" si="4"/>
        <v>#VALUE!</v>
      </c>
      <c r="P34" s="211" t="e">
        <f t="shared" ref="P34:P65" si="16">SQRT(2*$I$16*$K$24)*SQRT((1/$I$1)+((O34-$I$10)^2/$I$7))</f>
        <v>#N/A</v>
      </c>
      <c r="Q34" s="159" t="e">
        <f t="shared" si="6"/>
        <v>#DIV/0!</v>
      </c>
      <c r="R34" s="159" t="e">
        <f t="shared" si="7"/>
        <v>#DIV/0!</v>
      </c>
      <c r="S34" s="159" t="e">
        <f t="shared" si="8"/>
        <v>#DIV/0!</v>
      </c>
      <c r="T34" s="152" t="e">
        <f t="shared" si="9"/>
        <v>#DIV/0!</v>
      </c>
      <c r="U34" s="160" t="e">
        <f t="shared" si="15"/>
        <v>#VALUE!</v>
      </c>
      <c r="V34" s="152" t="e">
        <f t="shared" si="10"/>
        <v>#DIV/0!</v>
      </c>
      <c r="W34" s="160" t="e">
        <f t="shared" si="11"/>
        <v>#VALUE!</v>
      </c>
      <c r="X34" s="152" t="e">
        <f t="shared" si="12"/>
        <v>#DIV/0!</v>
      </c>
      <c r="Y34" s="160" t="e">
        <f t="shared" si="13"/>
        <v>#VALUE!</v>
      </c>
      <c r="Z34" s="166">
        <v>10</v>
      </c>
      <c r="AA34" s="166">
        <v>71.750027598991394</v>
      </c>
      <c r="AB34" s="166">
        <v>-5.705079607640414</v>
      </c>
      <c r="AC34" s="166">
        <v>-1.2410810888236428</v>
      </c>
      <c r="AD34" s="3"/>
      <c r="AE34" s="3"/>
      <c r="AF34" s="3"/>
      <c r="AG34" s="3"/>
      <c r="AH34" s="3"/>
      <c r="AI34" s="1"/>
      <c r="AJ34" s="1"/>
      <c r="AK34" s="1"/>
    </row>
    <row r="35" spans="1:37" ht="15.75" x14ac:dyDescent="0.2">
      <c r="A35" s="154"/>
      <c r="B35" s="154"/>
      <c r="C35" s="160"/>
      <c r="D35" s="3"/>
      <c r="E35" s="3"/>
      <c r="F35" s="3"/>
      <c r="G35" s="3"/>
      <c r="H35" s="158">
        <v>3</v>
      </c>
      <c r="I35" s="63">
        <v>3.1819999999999999</v>
      </c>
      <c r="J35" s="63">
        <v>9.5500000000000007</v>
      </c>
      <c r="K35" s="63"/>
      <c r="L35" s="164"/>
      <c r="M35" s="63"/>
      <c r="N35" s="63"/>
      <c r="O35" s="159" t="e">
        <f t="shared" si="4"/>
        <v>#VALUE!</v>
      </c>
      <c r="P35" s="211" t="e">
        <f t="shared" si="16"/>
        <v>#N/A</v>
      </c>
      <c r="Q35" s="159" t="e">
        <f t="shared" si="6"/>
        <v>#DIV/0!</v>
      </c>
      <c r="R35" s="159" t="e">
        <f t="shared" si="7"/>
        <v>#DIV/0!</v>
      </c>
      <c r="S35" s="159" t="e">
        <f t="shared" si="8"/>
        <v>#DIV/0!</v>
      </c>
      <c r="T35" s="152" t="e">
        <f t="shared" si="9"/>
        <v>#DIV/0!</v>
      </c>
      <c r="U35" s="160" t="e">
        <f t="shared" si="15"/>
        <v>#VALUE!</v>
      </c>
      <c r="V35" s="152" t="e">
        <f t="shared" si="10"/>
        <v>#DIV/0!</v>
      </c>
      <c r="W35" s="160" t="e">
        <f t="shared" si="11"/>
        <v>#VALUE!</v>
      </c>
      <c r="X35" s="152" t="e">
        <f t="shared" si="12"/>
        <v>#DIV/0!</v>
      </c>
      <c r="Y35" s="160" t="e">
        <f t="shared" si="13"/>
        <v>#VALUE!</v>
      </c>
      <c r="Z35" s="163">
        <v>11</v>
      </c>
      <c r="AA35" s="163">
        <v>1.8219740757524479</v>
      </c>
      <c r="AB35" s="163">
        <v>-2.3572384393459211E-2</v>
      </c>
      <c r="AC35" s="163">
        <v>-2.1105589333618084</v>
      </c>
      <c r="AD35" s="3"/>
      <c r="AE35" s="3"/>
      <c r="AF35" s="3"/>
      <c r="AG35" s="3"/>
      <c r="AH35" s="3"/>
      <c r="AI35" s="1"/>
      <c r="AJ35" s="1"/>
      <c r="AK35" s="1"/>
    </row>
    <row r="36" spans="1:37" ht="16.5" thickBot="1" x14ac:dyDescent="0.25">
      <c r="A36" s="154"/>
      <c r="B36" s="154"/>
      <c r="C36" s="160"/>
      <c r="D36" s="3"/>
      <c r="E36" s="3"/>
      <c r="F36" s="3"/>
      <c r="G36" s="3"/>
      <c r="H36" s="158">
        <v>4</v>
      </c>
      <c r="I36" s="63">
        <v>2.7764000000000002</v>
      </c>
      <c r="J36" s="63">
        <v>6.94</v>
      </c>
      <c r="K36" s="63"/>
      <c r="L36" s="164"/>
      <c r="M36" s="63"/>
      <c r="N36" s="63"/>
      <c r="O36" s="159" t="e">
        <f t="shared" si="4"/>
        <v>#VALUE!</v>
      </c>
      <c r="P36" s="211" t="e">
        <f t="shared" si="16"/>
        <v>#N/A</v>
      </c>
      <c r="Q36" s="159" t="e">
        <f t="shared" si="6"/>
        <v>#DIV/0!</v>
      </c>
      <c r="R36" s="159" t="e">
        <f t="shared" si="7"/>
        <v>#DIV/0!</v>
      </c>
      <c r="S36" s="159" t="e">
        <f t="shared" si="8"/>
        <v>#DIV/0!</v>
      </c>
      <c r="T36" s="152" t="e">
        <f t="shared" si="9"/>
        <v>#DIV/0!</v>
      </c>
      <c r="U36" s="160" t="e">
        <f t="shared" si="15"/>
        <v>#VALUE!</v>
      </c>
      <c r="V36" s="152" t="e">
        <f t="shared" si="10"/>
        <v>#DIV/0!</v>
      </c>
      <c r="W36" s="160" t="e">
        <f t="shared" si="11"/>
        <v>#VALUE!</v>
      </c>
      <c r="X36" s="152" t="e">
        <f t="shared" si="12"/>
        <v>#DIV/0!</v>
      </c>
      <c r="Y36" s="160" t="e">
        <f t="shared" si="13"/>
        <v>#VALUE!</v>
      </c>
      <c r="Z36" s="166">
        <v>12</v>
      </c>
      <c r="AA36" s="166">
        <v>1.7418458667896419</v>
      </c>
      <c r="AB36" s="166">
        <v>5.198026089093144E-3</v>
      </c>
      <c r="AC36" s="166">
        <v>0.46540647798138757</v>
      </c>
      <c r="AD36" s="3"/>
      <c r="AE36" s="3"/>
      <c r="AF36" s="3"/>
      <c r="AG36" s="3"/>
      <c r="AH36" s="3"/>
      <c r="AI36" s="1"/>
      <c r="AJ36" s="1"/>
      <c r="AK36" s="1"/>
    </row>
    <row r="37" spans="1:37" ht="15.75" x14ac:dyDescent="0.2">
      <c r="A37" s="154"/>
      <c r="B37" s="154"/>
      <c r="C37" s="160"/>
      <c r="D37" s="3"/>
      <c r="E37" s="3"/>
      <c r="F37" s="3"/>
      <c r="G37" s="3"/>
      <c r="H37" s="158">
        <v>5</v>
      </c>
      <c r="I37" s="63">
        <v>2.5706000000000002</v>
      </c>
      <c r="J37" s="63">
        <v>5.79</v>
      </c>
      <c r="K37" s="63"/>
      <c r="L37" s="164"/>
      <c r="M37" s="63"/>
      <c r="N37" s="63"/>
      <c r="O37" s="159" t="e">
        <f t="shared" si="4"/>
        <v>#VALUE!</v>
      </c>
      <c r="P37" s="211" t="e">
        <f t="shared" si="16"/>
        <v>#N/A</v>
      </c>
      <c r="Q37" s="159" t="e">
        <f t="shared" si="6"/>
        <v>#DIV/0!</v>
      </c>
      <c r="R37" s="159" t="e">
        <f t="shared" si="7"/>
        <v>#DIV/0!</v>
      </c>
      <c r="S37" s="159" t="e">
        <f t="shared" si="8"/>
        <v>#DIV/0!</v>
      </c>
      <c r="T37" s="152" t="e">
        <f t="shared" si="9"/>
        <v>#DIV/0!</v>
      </c>
      <c r="U37" s="160" t="e">
        <f t="shared" si="15"/>
        <v>#VALUE!</v>
      </c>
      <c r="V37" s="152" t="e">
        <f t="shared" si="10"/>
        <v>#DIV/0!</v>
      </c>
      <c r="W37" s="160" t="e">
        <f t="shared" si="11"/>
        <v>#VALUE!</v>
      </c>
      <c r="X37" s="152" t="e">
        <f t="shared" si="12"/>
        <v>#DIV/0!</v>
      </c>
      <c r="Y37" s="160" t="e">
        <f t="shared" si="13"/>
        <v>#VALUE!</v>
      </c>
      <c r="Z37" s="3"/>
      <c r="AA37" s="63"/>
      <c r="AB37" s="63"/>
      <c r="AC37" s="63"/>
      <c r="AD37" s="63"/>
      <c r="AE37" s="63"/>
      <c r="AF37" s="63"/>
      <c r="AG37" s="63"/>
      <c r="AH37" s="63"/>
      <c r="AI37" s="1"/>
      <c r="AJ37" s="1"/>
      <c r="AK37" s="1"/>
    </row>
    <row r="38" spans="1:37" x14ac:dyDescent="0.2">
      <c r="A38" s="160"/>
      <c r="B38" s="63"/>
      <c r="C38" s="160"/>
      <c r="D38" s="3"/>
      <c r="E38" s="3"/>
      <c r="F38" s="3"/>
      <c r="G38" s="3"/>
      <c r="H38" s="158">
        <v>6</v>
      </c>
      <c r="I38" s="63">
        <v>2.4468999999999999</v>
      </c>
      <c r="J38" s="63">
        <v>5.14</v>
      </c>
      <c r="K38" s="63"/>
      <c r="L38" s="164"/>
      <c r="M38" s="3"/>
      <c r="N38" s="3"/>
      <c r="O38" s="159" t="e">
        <f t="shared" si="4"/>
        <v>#VALUE!</v>
      </c>
      <c r="P38" s="211" t="e">
        <f t="shared" si="16"/>
        <v>#N/A</v>
      </c>
      <c r="Q38" s="159" t="e">
        <f t="shared" si="6"/>
        <v>#DIV/0!</v>
      </c>
      <c r="R38" s="159" t="e">
        <f t="shared" si="7"/>
        <v>#DIV/0!</v>
      </c>
      <c r="S38" s="159" t="e">
        <f t="shared" si="8"/>
        <v>#DIV/0!</v>
      </c>
      <c r="T38" s="152" t="e">
        <f t="shared" si="9"/>
        <v>#DIV/0!</v>
      </c>
      <c r="U38" s="160" t="e">
        <f t="shared" si="15"/>
        <v>#VALUE!</v>
      </c>
      <c r="V38" s="152" t="e">
        <f t="shared" si="10"/>
        <v>#DIV/0!</v>
      </c>
      <c r="W38" s="160" t="e">
        <f t="shared" si="11"/>
        <v>#VALUE!</v>
      </c>
      <c r="X38" s="152" t="e">
        <f t="shared" si="12"/>
        <v>#DIV/0!</v>
      </c>
      <c r="Y38" s="160" t="e">
        <f t="shared" si="13"/>
        <v>#VALUE!</v>
      </c>
      <c r="Z38" s="3"/>
      <c r="AA38" s="63"/>
      <c r="AB38" s="63"/>
      <c r="AC38" s="63"/>
      <c r="AD38" s="63"/>
      <c r="AE38" s="63"/>
      <c r="AF38" s="63"/>
      <c r="AG38" s="63"/>
      <c r="AH38" s="63"/>
      <c r="AI38" s="1"/>
      <c r="AJ38" s="1"/>
      <c r="AK38" s="1"/>
    </row>
    <row r="39" spans="1:37" x14ac:dyDescent="0.2">
      <c r="A39" s="160"/>
      <c r="B39" s="63"/>
      <c r="C39" s="160"/>
      <c r="D39" s="3"/>
      <c r="E39" s="3"/>
      <c r="F39" s="3"/>
      <c r="G39" s="3"/>
      <c r="H39" s="158">
        <v>7</v>
      </c>
      <c r="I39" s="63">
        <v>2.3645999999999998</v>
      </c>
      <c r="J39" s="63">
        <v>4.74</v>
      </c>
      <c r="K39" s="63"/>
      <c r="L39" s="164"/>
      <c r="M39" s="3"/>
      <c r="N39" s="3"/>
      <c r="O39" s="159" t="e">
        <f t="shared" si="4"/>
        <v>#VALUE!</v>
      </c>
      <c r="P39" s="211" t="e">
        <f t="shared" si="16"/>
        <v>#N/A</v>
      </c>
      <c r="Q39" s="159" t="e">
        <f t="shared" si="6"/>
        <v>#DIV/0!</v>
      </c>
      <c r="R39" s="159" t="e">
        <f t="shared" si="7"/>
        <v>#DIV/0!</v>
      </c>
      <c r="S39" s="159" t="e">
        <f t="shared" si="8"/>
        <v>#DIV/0!</v>
      </c>
      <c r="T39" s="152" t="e">
        <f t="shared" si="9"/>
        <v>#DIV/0!</v>
      </c>
      <c r="U39" s="160" t="e">
        <f t="shared" si="15"/>
        <v>#VALUE!</v>
      </c>
      <c r="V39" s="152" t="e">
        <f t="shared" si="10"/>
        <v>#DIV/0!</v>
      </c>
      <c r="W39" s="160" t="e">
        <f t="shared" si="11"/>
        <v>#VALUE!</v>
      </c>
      <c r="X39" s="152" t="e">
        <f t="shared" si="12"/>
        <v>#DIV/0!</v>
      </c>
      <c r="Y39" s="160" t="e">
        <f t="shared" si="13"/>
        <v>#VALUE!</v>
      </c>
      <c r="Z39" s="3"/>
      <c r="AA39" s="63"/>
      <c r="AB39" s="63"/>
      <c r="AC39" s="63"/>
      <c r="AD39" s="63"/>
      <c r="AE39" s="63"/>
      <c r="AF39" s="63"/>
      <c r="AG39" s="63"/>
      <c r="AH39" s="63"/>
      <c r="AI39" s="1"/>
      <c r="AJ39" s="1"/>
      <c r="AK39" s="1"/>
    </row>
    <row r="40" spans="1:37" x14ac:dyDescent="0.2">
      <c r="A40" s="63"/>
      <c r="B40" s="63"/>
      <c r="C40" s="63"/>
      <c r="D40" s="3"/>
      <c r="E40" s="3"/>
      <c r="F40" s="3"/>
      <c r="G40" s="3"/>
      <c r="H40" s="158">
        <v>8</v>
      </c>
      <c r="I40" s="63">
        <v>2.306</v>
      </c>
      <c r="J40" s="63">
        <v>4.46</v>
      </c>
      <c r="K40" s="63"/>
      <c r="L40" s="164"/>
      <c r="M40" s="3"/>
      <c r="N40" s="3"/>
      <c r="O40" s="159" t="e">
        <f t="shared" si="4"/>
        <v>#VALUE!</v>
      </c>
      <c r="P40" s="211" t="e">
        <f t="shared" si="16"/>
        <v>#N/A</v>
      </c>
      <c r="Q40" s="159" t="e">
        <f t="shared" si="6"/>
        <v>#DIV/0!</v>
      </c>
      <c r="R40" s="159" t="e">
        <f t="shared" si="7"/>
        <v>#DIV/0!</v>
      </c>
      <c r="S40" s="159" t="e">
        <f t="shared" si="8"/>
        <v>#DIV/0!</v>
      </c>
      <c r="T40" s="152" t="e">
        <f t="shared" si="9"/>
        <v>#DIV/0!</v>
      </c>
      <c r="U40" s="160" t="e">
        <f t="shared" si="15"/>
        <v>#VALUE!</v>
      </c>
      <c r="V40" s="152" t="e">
        <f t="shared" si="10"/>
        <v>#DIV/0!</v>
      </c>
      <c r="W40" s="160" t="e">
        <f t="shared" si="11"/>
        <v>#VALUE!</v>
      </c>
      <c r="X40" s="152" t="e">
        <f t="shared" si="12"/>
        <v>#DIV/0!</v>
      </c>
      <c r="Y40" s="160" t="e">
        <f t="shared" si="13"/>
        <v>#VALUE!</v>
      </c>
      <c r="Z40" s="3"/>
      <c r="AA40" s="3"/>
      <c r="AB40" s="63"/>
      <c r="AC40" s="63"/>
      <c r="AD40" s="63"/>
      <c r="AE40" s="63"/>
      <c r="AF40" s="63"/>
      <c r="AG40" s="63"/>
      <c r="AH40" s="63"/>
      <c r="AI40" s="1"/>
      <c r="AJ40" s="1"/>
      <c r="AK40" s="1"/>
    </row>
    <row r="41" spans="1:37" x14ac:dyDescent="0.2">
      <c r="A41" s="3"/>
      <c r="B41" s="3"/>
      <c r="C41" s="3"/>
      <c r="D41" s="3"/>
      <c r="E41" s="3"/>
      <c r="F41" s="3"/>
      <c r="G41" s="3"/>
      <c r="H41" s="158">
        <v>9</v>
      </c>
      <c r="I41" s="63">
        <v>2.2622</v>
      </c>
      <c r="J41" s="63">
        <v>4.26</v>
      </c>
      <c r="K41" s="63"/>
      <c r="L41" s="164"/>
      <c r="M41" s="3"/>
      <c r="N41" s="3"/>
      <c r="O41" s="159" t="e">
        <f t="shared" si="4"/>
        <v>#VALUE!</v>
      </c>
      <c r="P41" s="211" t="e">
        <f t="shared" si="16"/>
        <v>#N/A</v>
      </c>
      <c r="Q41" s="159" t="e">
        <f t="shared" si="6"/>
        <v>#DIV/0!</v>
      </c>
      <c r="R41" s="159" t="e">
        <f t="shared" si="7"/>
        <v>#DIV/0!</v>
      </c>
      <c r="S41" s="159" t="e">
        <f t="shared" si="8"/>
        <v>#DIV/0!</v>
      </c>
      <c r="T41" s="152" t="e">
        <f t="shared" si="9"/>
        <v>#DIV/0!</v>
      </c>
      <c r="U41" s="160" t="e">
        <f t="shared" si="15"/>
        <v>#VALUE!</v>
      </c>
      <c r="V41" s="152" t="e">
        <f t="shared" si="10"/>
        <v>#DIV/0!</v>
      </c>
      <c r="W41" s="160" t="e">
        <f t="shared" si="11"/>
        <v>#VALUE!</v>
      </c>
      <c r="X41" s="152" t="e">
        <f t="shared" si="12"/>
        <v>#DIV/0!</v>
      </c>
      <c r="Y41" s="160" t="e">
        <f t="shared" si="13"/>
        <v>#VALUE!</v>
      </c>
      <c r="Z41" s="3"/>
      <c r="AA41" s="53"/>
      <c r="AB41" s="63"/>
      <c r="AC41" s="63"/>
      <c r="AD41" s="63"/>
      <c r="AE41" s="63"/>
      <c r="AF41" s="63"/>
      <c r="AG41" s="63"/>
      <c r="AH41" s="63"/>
      <c r="AI41" s="1"/>
      <c r="AJ41" s="1"/>
      <c r="AK41" s="1"/>
    </row>
    <row r="42" spans="1:37" x14ac:dyDescent="0.2">
      <c r="A42" s="3"/>
      <c r="B42" s="3"/>
      <c r="C42" s="3"/>
      <c r="D42" s="3"/>
      <c r="E42" s="3"/>
      <c r="F42" s="3"/>
      <c r="G42" s="3"/>
      <c r="H42" s="158">
        <v>10</v>
      </c>
      <c r="I42" s="63">
        <v>2.2281</v>
      </c>
      <c r="J42" s="63">
        <v>4.0999999999999996</v>
      </c>
      <c r="K42" s="63"/>
      <c r="L42" s="164"/>
      <c r="M42" s="3"/>
      <c r="N42" s="3"/>
      <c r="O42" s="159" t="e">
        <f t="shared" si="4"/>
        <v>#VALUE!</v>
      </c>
      <c r="P42" s="211" t="e">
        <f t="shared" si="16"/>
        <v>#N/A</v>
      </c>
      <c r="Q42" s="159" t="e">
        <f t="shared" si="6"/>
        <v>#DIV/0!</v>
      </c>
      <c r="R42" s="159" t="e">
        <f t="shared" si="7"/>
        <v>#DIV/0!</v>
      </c>
      <c r="S42" s="159" t="e">
        <f t="shared" si="8"/>
        <v>#DIV/0!</v>
      </c>
      <c r="T42" s="152" t="e">
        <f t="shared" si="9"/>
        <v>#DIV/0!</v>
      </c>
      <c r="U42" s="160" t="e">
        <f t="shared" si="15"/>
        <v>#VALUE!</v>
      </c>
      <c r="V42" s="152" t="e">
        <f t="shared" si="10"/>
        <v>#DIV/0!</v>
      </c>
      <c r="W42" s="160" t="e">
        <f t="shared" si="11"/>
        <v>#VALUE!</v>
      </c>
      <c r="X42" s="152" t="e">
        <f t="shared" si="12"/>
        <v>#DIV/0!</v>
      </c>
      <c r="Y42" s="160" t="e">
        <f t="shared" si="13"/>
        <v>#VALUE!</v>
      </c>
      <c r="Z42" s="53"/>
      <c r="AA42" s="53"/>
      <c r="AB42" s="63"/>
      <c r="AC42" s="63"/>
      <c r="AD42" s="63"/>
      <c r="AE42" s="63"/>
      <c r="AF42" s="63"/>
      <c r="AG42" s="63"/>
      <c r="AH42" s="63"/>
      <c r="AI42" s="1"/>
      <c r="AJ42" s="1"/>
      <c r="AK42" s="1"/>
    </row>
    <row r="43" spans="1:37" x14ac:dyDescent="0.2">
      <c r="A43" s="3"/>
      <c r="B43" s="3"/>
      <c r="C43" s="3"/>
      <c r="D43" s="3"/>
      <c r="E43" s="3"/>
      <c r="F43" s="3"/>
      <c r="G43" s="3"/>
      <c r="H43" s="158">
        <v>11</v>
      </c>
      <c r="I43" s="63">
        <v>2.2010000000000001</v>
      </c>
      <c r="J43" s="63">
        <v>3.98</v>
      </c>
      <c r="K43" s="63"/>
      <c r="L43" s="164"/>
      <c r="M43" s="3"/>
      <c r="N43" s="3"/>
      <c r="O43" s="159" t="e">
        <f t="shared" si="4"/>
        <v>#VALUE!</v>
      </c>
      <c r="P43" s="211" t="e">
        <f t="shared" si="16"/>
        <v>#N/A</v>
      </c>
      <c r="Q43" s="159" t="e">
        <f t="shared" si="6"/>
        <v>#DIV/0!</v>
      </c>
      <c r="R43" s="159" t="e">
        <f t="shared" si="7"/>
        <v>#DIV/0!</v>
      </c>
      <c r="S43" s="159" t="e">
        <f t="shared" si="8"/>
        <v>#DIV/0!</v>
      </c>
      <c r="T43" s="152" t="e">
        <f t="shared" si="9"/>
        <v>#DIV/0!</v>
      </c>
      <c r="U43" s="160" t="e">
        <f t="shared" si="15"/>
        <v>#VALUE!</v>
      </c>
      <c r="V43" s="152" t="e">
        <f t="shared" si="10"/>
        <v>#DIV/0!</v>
      </c>
      <c r="W43" s="160" t="e">
        <f t="shared" si="11"/>
        <v>#VALUE!</v>
      </c>
      <c r="X43" s="152" t="e">
        <f t="shared" si="12"/>
        <v>#DIV/0!</v>
      </c>
      <c r="Y43" s="160" t="e">
        <f t="shared" si="13"/>
        <v>#VALUE!</v>
      </c>
      <c r="Z43" s="53"/>
      <c r="AA43" s="53"/>
      <c r="AB43" s="63"/>
      <c r="AC43" s="63"/>
      <c r="AD43" s="63"/>
      <c r="AE43" s="63"/>
      <c r="AF43" s="63"/>
      <c r="AG43" s="63"/>
      <c r="AH43" s="63"/>
      <c r="AI43" s="1"/>
      <c r="AJ43" s="1"/>
      <c r="AK43" s="1"/>
    </row>
    <row r="44" spans="1:37" x14ac:dyDescent="0.2">
      <c r="A44" s="3"/>
      <c r="B44" s="3"/>
      <c r="C44" s="3"/>
      <c r="D44" s="3"/>
      <c r="E44" s="3"/>
      <c r="F44" s="3"/>
      <c r="G44" s="3"/>
      <c r="H44" s="158">
        <v>12</v>
      </c>
      <c r="I44" s="63">
        <v>2.1787999999999998</v>
      </c>
      <c r="J44" s="63">
        <v>2.89</v>
      </c>
      <c r="K44" s="63"/>
      <c r="L44" s="164"/>
      <c r="M44" s="3"/>
      <c r="N44" s="3"/>
      <c r="O44" s="159" t="e">
        <f t="shared" si="4"/>
        <v>#VALUE!</v>
      </c>
      <c r="P44" s="211" t="e">
        <f t="shared" si="16"/>
        <v>#N/A</v>
      </c>
      <c r="Q44" s="159" t="e">
        <f t="shared" si="6"/>
        <v>#DIV/0!</v>
      </c>
      <c r="R44" s="159" t="e">
        <f t="shared" si="7"/>
        <v>#DIV/0!</v>
      </c>
      <c r="S44" s="159" t="e">
        <f t="shared" si="8"/>
        <v>#DIV/0!</v>
      </c>
      <c r="T44" s="152" t="e">
        <f t="shared" si="9"/>
        <v>#DIV/0!</v>
      </c>
      <c r="U44" s="160" t="e">
        <f t="shared" si="15"/>
        <v>#VALUE!</v>
      </c>
      <c r="V44" s="152" t="e">
        <f t="shared" si="10"/>
        <v>#DIV/0!</v>
      </c>
      <c r="W44" s="160" t="e">
        <f t="shared" si="11"/>
        <v>#VALUE!</v>
      </c>
      <c r="X44" s="152" t="e">
        <f t="shared" si="12"/>
        <v>#DIV/0!</v>
      </c>
      <c r="Y44" s="160" t="e">
        <f t="shared" si="13"/>
        <v>#VALUE!</v>
      </c>
      <c r="Z44" s="53"/>
      <c r="AA44" s="53"/>
      <c r="AB44" s="63"/>
      <c r="AC44" s="63"/>
      <c r="AD44" s="63"/>
      <c r="AE44" s="63"/>
      <c r="AF44" s="63"/>
      <c r="AG44" s="63"/>
      <c r="AH44" s="63"/>
      <c r="AI44" s="1"/>
      <c r="AJ44" s="1"/>
      <c r="AK44" s="1"/>
    </row>
    <row r="45" spans="1:37" x14ac:dyDescent="0.2">
      <c r="A45" s="3"/>
      <c r="B45" s="3"/>
      <c r="C45" s="3"/>
      <c r="D45" s="3"/>
      <c r="E45" s="3"/>
      <c r="F45" s="3"/>
      <c r="G45" s="3"/>
      <c r="H45" s="158">
        <v>13</v>
      </c>
      <c r="I45" s="63">
        <v>2.1604000000000001</v>
      </c>
      <c r="J45" s="63">
        <v>3.81</v>
      </c>
      <c r="K45" s="63"/>
      <c r="L45" s="164"/>
      <c r="M45" s="3"/>
      <c r="N45" s="3"/>
      <c r="O45" s="159" t="e">
        <f t="shared" si="4"/>
        <v>#VALUE!</v>
      </c>
      <c r="P45" s="211" t="e">
        <f t="shared" si="16"/>
        <v>#N/A</v>
      </c>
      <c r="Q45" s="159" t="e">
        <f t="shared" si="6"/>
        <v>#DIV/0!</v>
      </c>
      <c r="R45" s="159" t="e">
        <f t="shared" si="7"/>
        <v>#DIV/0!</v>
      </c>
      <c r="S45" s="159" t="e">
        <f t="shared" si="8"/>
        <v>#DIV/0!</v>
      </c>
      <c r="T45" s="152" t="e">
        <f t="shared" si="9"/>
        <v>#DIV/0!</v>
      </c>
      <c r="U45" s="160" t="e">
        <f t="shared" si="15"/>
        <v>#VALUE!</v>
      </c>
      <c r="V45" s="152" t="e">
        <f t="shared" si="10"/>
        <v>#DIV/0!</v>
      </c>
      <c r="W45" s="160" t="e">
        <f t="shared" si="11"/>
        <v>#VALUE!</v>
      </c>
      <c r="X45" s="152" t="e">
        <f t="shared" si="12"/>
        <v>#DIV/0!</v>
      </c>
      <c r="Y45" s="160" t="e">
        <f t="shared" si="13"/>
        <v>#VALUE!</v>
      </c>
      <c r="Z45" s="53"/>
      <c r="AA45" s="53"/>
      <c r="AB45" s="63"/>
      <c r="AC45" s="63"/>
      <c r="AD45" s="63"/>
      <c r="AE45" s="63"/>
      <c r="AF45" s="63"/>
      <c r="AG45" s="63"/>
      <c r="AH45" s="63"/>
      <c r="AI45" s="1"/>
      <c r="AJ45" s="1"/>
      <c r="AK45" s="1"/>
    </row>
    <row r="46" spans="1:37" x14ac:dyDescent="0.2">
      <c r="A46" s="3"/>
      <c r="B46" s="3"/>
      <c r="C46" s="3"/>
      <c r="D46" s="3"/>
      <c r="E46" s="3"/>
      <c r="F46" s="3"/>
      <c r="G46" s="3"/>
      <c r="H46" s="158">
        <v>14</v>
      </c>
      <c r="I46" s="63">
        <v>2.1448</v>
      </c>
      <c r="J46" s="63">
        <v>3.74</v>
      </c>
      <c r="K46" s="63"/>
      <c r="L46" s="164"/>
      <c r="M46" s="3"/>
      <c r="N46" s="3"/>
      <c r="O46" s="159" t="e">
        <f t="shared" si="4"/>
        <v>#VALUE!</v>
      </c>
      <c r="P46" s="211" t="e">
        <f t="shared" si="16"/>
        <v>#N/A</v>
      </c>
      <c r="Q46" s="159" t="e">
        <f t="shared" si="6"/>
        <v>#DIV/0!</v>
      </c>
      <c r="R46" s="159" t="e">
        <f t="shared" si="7"/>
        <v>#DIV/0!</v>
      </c>
      <c r="S46" s="159" t="e">
        <f t="shared" si="8"/>
        <v>#DIV/0!</v>
      </c>
      <c r="T46" s="152" t="e">
        <f t="shared" si="9"/>
        <v>#DIV/0!</v>
      </c>
      <c r="U46" s="160" t="e">
        <f t="shared" si="15"/>
        <v>#VALUE!</v>
      </c>
      <c r="V46" s="152" t="e">
        <f t="shared" si="10"/>
        <v>#DIV/0!</v>
      </c>
      <c r="W46" s="160" t="e">
        <f t="shared" si="11"/>
        <v>#VALUE!</v>
      </c>
      <c r="X46" s="152" t="e">
        <f t="shared" si="12"/>
        <v>#DIV/0!</v>
      </c>
      <c r="Y46" s="160" t="e">
        <f t="shared" si="13"/>
        <v>#VALUE!</v>
      </c>
      <c r="Z46" s="3"/>
      <c r="AA46" s="3"/>
      <c r="AB46" s="63"/>
      <c r="AC46" s="63"/>
      <c r="AD46" s="63"/>
      <c r="AE46" s="63"/>
      <c r="AF46" s="63"/>
      <c r="AG46" s="63"/>
      <c r="AH46" s="63"/>
      <c r="AI46" s="1"/>
      <c r="AJ46" s="1"/>
      <c r="AK46" s="1"/>
    </row>
    <row r="47" spans="1:37" x14ac:dyDescent="0.2">
      <c r="A47" s="3"/>
      <c r="B47" s="3"/>
      <c r="C47" s="3"/>
      <c r="D47" s="3"/>
      <c r="E47" s="3"/>
      <c r="F47" s="3"/>
      <c r="G47" s="3"/>
      <c r="H47" s="158">
        <v>15</v>
      </c>
      <c r="I47" s="63">
        <v>2.1315</v>
      </c>
      <c r="J47" s="63">
        <v>3.68</v>
      </c>
      <c r="K47" s="63"/>
      <c r="L47" s="164"/>
      <c r="M47" s="3"/>
      <c r="N47" s="3"/>
      <c r="O47" s="159" t="e">
        <f t="shared" si="4"/>
        <v>#VALUE!</v>
      </c>
      <c r="P47" s="211" t="e">
        <f t="shared" si="16"/>
        <v>#N/A</v>
      </c>
      <c r="Q47" s="159" t="e">
        <f t="shared" si="6"/>
        <v>#DIV/0!</v>
      </c>
      <c r="R47" s="159" t="e">
        <f t="shared" si="7"/>
        <v>#DIV/0!</v>
      </c>
      <c r="S47" s="159" t="e">
        <f t="shared" si="8"/>
        <v>#DIV/0!</v>
      </c>
      <c r="T47" s="152" t="e">
        <f t="shared" si="9"/>
        <v>#DIV/0!</v>
      </c>
      <c r="U47" s="160" t="e">
        <f t="shared" si="15"/>
        <v>#VALUE!</v>
      </c>
      <c r="V47" s="152" t="e">
        <f t="shared" si="10"/>
        <v>#DIV/0!</v>
      </c>
      <c r="W47" s="160" t="e">
        <f t="shared" si="11"/>
        <v>#VALUE!</v>
      </c>
      <c r="X47" s="152" t="e">
        <f t="shared" si="12"/>
        <v>#DIV/0!</v>
      </c>
      <c r="Y47" s="160" t="e">
        <f t="shared" si="13"/>
        <v>#VALUE!</v>
      </c>
      <c r="Z47" s="53"/>
      <c r="AA47" s="3"/>
      <c r="AB47" s="63"/>
      <c r="AC47" s="63"/>
      <c r="AD47" s="63"/>
      <c r="AE47" s="63"/>
      <c r="AF47" s="63"/>
      <c r="AG47" s="63"/>
      <c r="AH47" s="63"/>
      <c r="AI47" s="1"/>
      <c r="AJ47" s="1"/>
      <c r="AK47" s="1"/>
    </row>
    <row r="48" spans="1:37" x14ac:dyDescent="0.2">
      <c r="A48" s="3"/>
      <c r="B48" s="3"/>
      <c r="C48" s="3"/>
      <c r="D48" s="3"/>
      <c r="E48" s="3"/>
      <c r="F48" s="3"/>
      <c r="G48" s="3"/>
      <c r="H48" s="158">
        <v>16</v>
      </c>
      <c r="I48" s="63">
        <v>2.1198999999999999</v>
      </c>
      <c r="J48" s="63">
        <v>3.63</v>
      </c>
      <c r="K48" s="63"/>
      <c r="L48" s="164"/>
      <c r="M48" s="3"/>
      <c r="N48" s="3"/>
      <c r="O48" s="159" t="e">
        <f t="shared" si="4"/>
        <v>#VALUE!</v>
      </c>
      <c r="P48" s="211" t="e">
        <f t="shared" si="16"/>
        <v>#N/A</v>
      </c>
      <c r="Q48" s="159" t="e">
        <f t="shared" si="6"/>
        <v>#DIV/0!</v>
      </c>
      <c r="R48" s="159" t="e">
        <f t="shared" si="7"/>
        <v>#DIV/0!</v>
      </c>
      <c r="S48" s="159" t="e">
        <f t="shared" si="8"/>
        <v>#DIV/0!</v>
      </c>
      <c r="T48" s="152" t="e">
        <f t="shared" si="9"/>
        <v>#DIV/0!</v>
      </c>
      <c r="U48" s="160" t="e">
        <f t="shared" si="15"/>
        <v>#VALUE!</v>
      </c>
      <c r="V48" s="152" t="e">
        <f t="shared" si="10"/>
        <v>#DIV/0!</v>
      </c>
      <c r="W48" s="160" t="e">
        <f t="shared" si="11"/>
        <v>#VALUE!</v>
      </c>
      <c r="X48" s="152" t="e">
        <f t="shared" si="12"/>
        <v>#DIV/0!</v>
      </c>
      <c r="Y48" s="160" t="e">
        <f t="shared" si="13"/>
        <v>#VALUE!</v>
      </c>
      <c r="Z48" s="53"/>
      <c r="AA48" s="3"/>
      <c r="AB48" s="63"/>
      <c r="AC48" s="63"/>
      <c r="AD48" s="63"/>
      <c r="AE48" s="63"/>
      <c r="AF48" s="63"/>
      <c r="AG48" s="63"/>
      <c r="AH48" s="63"/>
      <c r="AI48" s="1"/>
      <c r="AJ48" s="1"/>
      <c r="AK48" s="1"/>
    </row>
    <row r="49" spans="1:37" x14ac:dyDescent="0.2">
      <c r="A49" s="3"/>
      <c r="B49" s="3"/>
      <c r="C49" s="3"/>
      <c r="D49" s="3"/>
      <c r="E49" s="3"/>
      <c r="F49" s="3"/>
      <c r="G49" s="3"/>
      <c r="H49" s="158">
        <v>17</v>
      </c>
      <c r="I49" s="63">
        <v>2.1097999999999999</v>
      </c>
      <c r="J49" s="63">
        <v>3.59</v>
      </c>
      <c r="K49" s="63"/>
      <c r="L49" s="164"/>
      <c r="M49" s="3"/>
      <c r="N49" s="3"/>
      <c r="O49" s="159" t="e">
        <f t="shared" si="4"/>
        <v>#VALUE!</v>
      </c>
      <c r="P49" s="211" t="e">
        <f t="shared" si="16"/>
        <v>#N/A</v>
      </c>
      <c r="Q49" s="159" t="e">
        <f t="shared" si="6"/>
        <v>#DIV/0!</v>
      </c>
      <c r="R49" s="159" t="e">
        <f t="shared" si="7"/>
        <v>#DIV/0!</v>
      </c>
      <c r="S49" s="159" t="e">
        <f t="shared" si="8"/>
        <v>#DIV/0!</v>
      </c>
      <c r="T49" s="152" t="e">
        <f t="shared" si="9"/>
        <v>#DIV/0!</v>
      </c>
      <c r="U49" s="160" t="e">
        <f t="shared" si="15"/>
        <v>#VALUE!</v>
      </c>
      <c r="V49" s="152" t="e">
        <f t="shared" si="10"/>
        <v>#DIV/0!</v>
      </c>
      <c r="W49" s="160" t="e">
        <f t="shared" si="11"/>
        <v>#VALUE!</v>
      </c>
      <c r="X49" s="152" t="e">
        <f t="shared" si="12"/>
        <v>#DIV/0!</v>
      </c>
      <c r="Y49" s="160" t="e">
        <f t="shared" si="13"/>
        <v>#VALUE!</v>
      </c>
      <c r="Z49" s="53"/>
      <c r="AA49" s="3"/>
      <c r="AB49" s="63"/>
      <c r="AC49" s="63"/>
      <c r="AD49" s="63"/>
      <c r="AE49" s="63"/>
      <c r="AF49" s="63"/>
      <c r="AG49" s="63"/>
      <c r="AH49" s="63"/>
      <c r="AI49" s="1"/>
      <c r="AJ49" s="1"/>
      <c r="AK49" s="1"/>
    </row>
    <row r="50" spans="1:37" x14ac:dyDescent="0.2">
      <c r="A50" s="3"/>
      <c r="B50" s="3"/>
      <c r="C50" s="3"/>
      <c r="D50" s="3"/>
      <c r="E50" s="3"/>
      <c r="F50" s="3"/>
      <c r="G50" s="3"/>
      <c r="H50" s="158">
        <v>18</v>
      </c>
      <c r="I50" s="63">
        <v>2.1009000000000002</v>
      </c>
      <c r="J50" s="63">
        <v>3.55</v>
      </c>
      <c r="K50" s="63"/>
      <c r="L50" s="164"/>
      <c r="M50" s="3"/>
      <c r="N50" s="3"/>
      <c r="O50" s="159" t="e">
        <f t="shared" si="4"/>
        <v>#VALUE!</v>
      </c>
      <c r="P50" s="211" t="e">
        <f t="shared" si="16"/>
        <v>#N/A</v>
      </c>
      <c r="Q50" s="159" t="e">
        <f t="shared" si="6"/>
        <v>#DIV/0!</v>
      </c>
      <c r="R50" s="159" t="e">
        <f t="shared" si="7"/>
        <v>#DIV/0!</v>
      </c>
      <c r="S50" s="159" t="e">
        <f t="shared" si="8"/>
        <v>#DIV/0!</v>
      </c>
      <c r="T50" s="152" t="e">
        <f t="shared" si="9"/>
        <v>#DIV/0!</v>
      </c>
      <c r="U50" s="160" t="e">
        <f t="shared" si="15"/>
        <v>#VALUE!</v>
      </c>
      <c r="V50" s="152" t="e">
        <f t="shared" si="10"/>
        <v>#DIV/0!</v>
      </c>
      <c r="W50" s="160" t="e">
        <f t="shared" si="11"/>
        <v>#VALUE!</v>
      </c>
      <c r="X50" s="152" t="e">
        <f t="shared" si="12"/>
        <v>#DIV/0!</v>
      </c>
      <c r="Y50" s="160" t="e">
        <f t="shared" si="13"/>
        <v>#VALUE!</v>
      </c>
      <c r="Z50" s="53"/>
      <c r="AA50" s="3"/>
      <c r="AB50" s="63"/>
      <c r="AC50" s="63"/>
      <c r="AD50" s="63"/>
      <c r="AE50" s="63"/>
      <c r="AF50" s="63"/>
      <c r="AG50" s="63"/>
      <c r="AH50" s="63"/>
      <c r="AI50" s="1"/>
      <c r="AJ50" s="1"/>
      <c r="AK50" s="1"/>
    </row>
    <row r="51" spans="1:37" x14ac:dyDescent="0.2">
      <c r="A51" s="3"/>
      <c r="B51" s="3"/>
      <c r="C51" s="3"/>
      <c r="D51" s="3"/>
      <c r="E51" s="3"/>
      <c r="F51" s="3"/>
      <c r="G51" s="3"/>
      <c r="H51" s="158">
        <v>19</v>
      </c>
      <c r="I51" s="63">
        <v>2.093</v>
      </c>
      <c r="J51" s="63">
        <v>3.52</v>
      </c>
      <c r="K51" s="63"/>
      <c r="L51" s="164"/>
      <c r="M51" s="3"/>
      <c r="N51" s="3"/>
      <c r="O51" s="159" t="e">
        <f t="shared" si="4"/>
        <v>#VALUE!</v>
      </c>
      <c r="P51" s="211" t="e">
        <f t="shared" si="16"/>
        <v>#N/A</v>
      </c>
      <c r="Q51" s="159" t="e">
        <f t="shared" si="6"/>
        <v>#DIV/0!</v>
      </c>
      <c r="R51" s="159" t="e">
        <f t="shared" si="7"/>
        <v>#DIV/0!</v>
      </c>
      <c r="S51" s="159" t="e">
        <f t="shared" si="8"/>
        <v>#DIV/0!</v>
      </c>
      <c r="T51" s="152" t="e">
        <f t="shared" si="9"/>
        <v>#DIV/0!</v>
      </c>
      <c r="U51" s="160" t="e">
        <f t="shared" si="15"/>
        <v>#VALUE!</v>
      </c>
      <c r="V51" s="152" t="e">
        <f t="shared" si="10"/>
        <v>#DIV/0!</v>
      </c>
      <c r="W51" s="160" t="e">
        <f t="shared" si="11"/>
        <v>#VALUE!</v>
      </c>
      <c r="X51" s="152" t="e">
        <f t="shared" si="12"/>
        <v>#DIV/0!</v>
      </c>
      <c r="Y51" s="160" t="e">
        <f t="shared" si="13"/>
        <v>#VALUE!</v>
      </c>
      <c r="Z51" s="53"/>
      <c r="AA51" s="3"/>
      <c r="AB51" s="63"/>
      <c r="AC51" s="63"/>
      <c r="AD51" s="63"/>
      <c r="AE51" s="63"/>
      <c r="AF51" s="63"/>
      <c r="AG51" s="63"/>
      <c r="AH51" s="63"/>
      <c r="AI51" s="1"/>
      <c r="AJ51" s="1"/>
      <c r="AK51" s="1"/>
    </row>
    <row r="52" spans="1:37" x14ac:dyDescent="0.2">
      <c r="A52" s="3"/>
      <c r="B52" s="3"/>
      <c r="C52" s="3"/>
      <c r="D52" s="3"/>
      <c r="E52" s="3"/>
      <c r="F52" s="3"/>
      <c r="G52" s="3"/>
      <c r="H52" s="158">
        <v>20</v>
      </c>
      <c r="I52" s="63">
        <v>2.0859999999999999</v>
      </c>
      <c r="J52" s="63">
        <v>3.49</v>
      </c>
      <c r="K52" s="63"/>
      <c r="L52" s="164"/>
      <c r="M52" s="3"/>
      <c r="N52" s="3"/>
      <c r="O52" s="159" t="e">
        <f t="shared" si="4"/>
        <v>#VALUE!</v>
      </c>
      <c r="P52" s="211" t="e">
        <f t="shared" si="16"/>
        <v>#N/A</v>
      </c>
      <c r="Q52" s="159" t="e">
        <f t="shared" si="6"/>
        <v>#DIV/0!</v>
      </c>
      <c r="R52" s="159" t="e">
        <f t="shared" si="7"/>
        <v>#DIV/0!</v>
      </c>
      <c r="S52" s="159" t="e">
        <f t="shared" si="8"/>
        <v>#DIV/0!</v>
      </c>
      <c r="T52" s="152" t="e">
        <f t="shared" si="9"/>
        <v>#DIV/0!</v>
      </c>
      <c r="U52" s="160" t="e">
        <f t="shared" si="15"/>
        <v>#VALUE!</v>
      </c>
      <c r="V52" s="152" t="e">
        <f t="shared" si="10"/>
        <v>#DIV/0!</v>
      </c>
      <c r="W52" s="160" t="e">
        <f t="shared" si="11"/>
        <v>#VALUE!</v>
      </c>
      <c r="X52" s="152" t="e">
        <f t="shared" si="12"/>
        <v>#DIV/0!</v>
      </c>
      <c r="Y52" s="160" t="e">
        <f t="shared" si="13"/>
        <v>#VALUE!</v>
      </c>
      <c r="Z52" s="53"/>
      <c r="AA52" s="3"/>
      <c r="AB52" s="63"/>
      <c r="AC52" s="63"/>
      <c r="AD52" s="63"/>
      <c r="AE52" s="63"/>
      <c r="AF52" s="63"/>
      <c r="AG52" s="63"/>
      <c r="AH52" s="63"/>
      <c r="AI52" s="1"/>
      <c r="AJ52" s="1"/>
      <c r="AK52" s="1"/>
    </row>
    <row r="53" spans="1:37" x14ac:dyDescent="0.2">
      <c r="A53" s="3"/>
      <c r="B53" s="3"/>
      <c r="C53" s="3"/>
      <c r="D53" s="3"/>
      <c r="E53" s="3"/>
      <c r="F53" s="3"/>
      <c r="G53" s="3"/>
      <c r="H53" s="158">
        <v>21</v>
      </c>
      <c r="I53" s="63">
        <v>2.0796000000000001</v>
      </c>
      <c r="J53" s="63">
        <v>3.47</v>
      </c>
      <c r="K53" s="63"/>
      <c r="L53" s="164"/>
      <c r="M53" s="3"/>
      <c r="N53" s="3"/>
      <c r="O53" s="159" t="e">
        <f t="shared" si="4"/>
        <v>#VALUE!</v>
      </c>
      <c r="P53" s="211" t="e">
        <f t="shared" si="16"/>
        <v>#N/A</v>
      </c>
      <c r="Q53" s="159" t="e">
        <f t="shared" si="6"/>
        <v>#DIV/0!</v>
      </c>
      <c r="R53" s="159" t="e">
        <f t="shared" si="7"/>
        <v>#DIV/0!</v>
      </c>
      <c r="S53" s="159" t="e">
        <f t="shared" si="8"/>
        <v>#DIV/0!</v>
      </c>
      <c r="T53" s="152" t="e">
        <f t="shared" si="9"/>
        <v>#DIV/0!</v>
      </c>
      <c r="U53" s="160" t="e">
        <f t="shared" si="15"/>
        <v>#VALUE!</v>
      </c>
      <c r="V53" s="152" t="e">
        <f t="shared" si="10"/>
        <v>#DIV/0!</v>
      </c>
      <c r="W53" s="160" t="e">
        <f t="shared" si="11"/>
        <v>#VALUE!</v>
      </c>
      <c r="X53" s="152" t="e">
        <f t="shared" si="12"/>
        <v>#DIV/0!</v>
      </c>
      <c r="Y53" s="160" t="e">
        <f t="shared" si="13"/>
        <v>#VALUE!</v>
      </c>
      <c r="Z53" s="53"/>
      <c r="AA53" s="3"/>
      <c r="AB53" s="63"/>
      <c r="AC53" s="63"/>
      <c r="AD53" s="63"/>
      <c r="AE53" s="63"/>
      <c r="AF53" s="63"/>
      <c r="AG53" s="63"/>
      <c r="AH53" s="63"/>
      <c r="AI53" s="1"/>
      <c r="AJ53" s="1"/>
      <c r="AK53" s="1"/>
    </row>
    <row r="54" spans="1:37" x14ac:dyDescent="0.2">
      <c r="A54" s="3"/>
      <c r="B54" s="3"/>
      <c r="C54" s="3"/>
      <c r="D54" s="3"/>
      <c r="E54" s="3"/>
      <c r="F54" s="3"/>
      <c r="G54" s="3"/>
      <c r="H54" s="158">
        <v>22</v>
      </c>
      <c r="I54" s="63">
        <v>2.0739000000000001</v>
      </c>
      <c r="J54" s="63">
        <v>3.44</v>
      </c>
      <c r="K54" s="63"/>
      <c r="L54" s="164"/>
      <c r="M54" s="3"/>
      <c r="N54" s="3"/>
      <c r="O54" s="159" t="e">
        <f t="shared" si="4"/>
        <v>#VALUE!</v>
      </c>
      <c r="P54" s="211" t="e">
        <f t="shared" si="16"/>
        <v>#N/A</v>
      </c>
      <c r="Q54" s="159" t="e">
        <f t="shared" si="6"/>
        <v>#DIV/0!</v>
      </c>
      <c r="R54" s="159" t="e">
        <f t="shared" si="7"/>
        <v>#DIV/0!</v>
      </c>
      <c r="S54" s="159" t="e">
        <f t="shared" si="8"/>
        <v>#DIV/0!</v>
      </c>
      <c r="T54" s="152" t="e">
        <f t="shared" si="9"/>
        <v>#DIV/0!</v>
      </c>
      <c r="U54" s="160" t="e">
        <f t="shared" si="15"/>
        <v>#VALUE!</v>
      </c>
      <c r="V54" s="152" t="e">
        <f t="shared" si="10"/>
        <v>#DIV/0!</v>
      </c>
      <c r="W54" s="160" t="e">
        <f t="shared" si="11"/>
        <v>#VALUE!</v>
      </c>
      <c r="X54" s="152" t="e">
        <f t="shared" si="12"/>
        <v>#DIV/0!</v>
      </c>
      <c r="Y54" s="160" t="e">
        <f t="shared" si="13"/>
        <v>#VALUE!</v>
      </c>
      <c r="Z54" s="53"/>
      <c r="AA54" s="193"/>
      <c r="AB54" s="63"/>
      <c r="AC54" s="63"/>
      <c r="AD54" s="63"/>
      <c r="AE54" s="63"/>
      <c r="AF54" s="63"/>
      <c r="AG54" s="63"/>
      <c r="AH54" s="63"/>
      <c r="AI54" s="1"/>
      <c r="AJ54" s="1"/>
      <c r="AK54" s="1"/>
    </row>
    <row r="55" spans="1:37" x14ac:dyDescent="0.2">
      <c r="A55" s="3"/>
      <c r="B55" s="3"/>
      <c r="C55" s="3"/>
      <c r="D55" s="3"/>
      <c r="E55" s="3"/>
      <c r="F55" s="3"/>
      <c r="G55" s="3"/>
      <c r="H55" s="158">
        <v>23</v>
      </c>
      <c r="I55" s="63">
        <v>2.069</v>
      </c>
      <c r="J55" s="63">
        <v>3.42</v>
      </c>
      <c r="K55" s="63"/>
      <c r="L55" s="164"/>
      <c r="M55" s="3"/>
      <c r="N55" s="3"/>
      <c r="O55" s="159" t="e">
        <f t="shared" si="4"/>
        <v>#VALUE!</v>
      </c>
      <c r="P55" s="211" t="e">
        <f t="shared" si="16"/>
        <v>#N/A</v>
      </c>
      <c r="Q55" s="159" t="e">
        <f t="shared" si="6"/>
        <v>#DIV/0!</v>
      </c>
      <c r="R55" s="159" t="e">
        <f t="shared" si="7"/>
        <v>#DIV/0!</v>
      </c>
      <c r="S55" s="159" t="e">
        <f t="shared" si="8"/>
        <v>#DIV/0!</v>
      </c>
      <c r="T55" s="152" t="e">
        <f t="shared" si="9"/>
        <v>#DIV/0!</v>
      </c>
      <c r="U55" s="160" t="e">
        <f t="shared" si="15"/>
        <v>#VALUE!</v>
      </c>
      <c r="V55" s="152" t="e">
        <f t="shared" si="10"/>
        <v>#DIV/0!</v>
      </c>
      <c r="W55" s="160" t="e">
        <f t="shared" si="11"/>
        <v>#VALUE!</v>
      </c>
      <c r="X55" s="152" t="e">
        <f t="shared" si="12"/>
        <v>#DIV/0!</v>
      </c>
      <c r="Y55" s="160" t="e">
        <f t="shared" si="13"/>
        <v>#VALUE!</v>
      </c>
      <c r="Z55" s="3"/>
      <c r="AA55" s="3"/>
      <c r="AB55" s="63"/>
      <c r="AC55" s="63"/>
      <c r="AD55" s="63"/>
      <c r="AE55" s="63"/>
      <c r="AF55" s="63"/>
      <c r="AG55" s="63"/>
      <c r="AH55" s="63"/>
      <c r="AI55" s="1"/>
      <c r="AJ55" s="1"/>
      <c r="AK55" s="1"/>
    </row>
    <row r="56" spans="1:37" x14ac:dyDescent="0.2">
      <c r="A56" s="3"/>
      <c r="B56" s="3"/>
      <c r="C56" s="3"/>
      <c r="D56" s="3"/>
      <c r="E56" s="3"/>
      <c r="F56" s="3"/>
      <c r="G56" s="3"/>
      <c r="H56" s="158">
        <v>24</v>
      </c>
      <c r="I56" s="63">
        <v>2.0640000000000001</v>
      </c>
      <c r="J56" s="63">
        <v>3.4</v>
      </c>
      <c r="K56" s="63"/>
      <c r="L56" s="164"/>
      <c r="M56" s="3"/>
      <c r="N56" s="3"/>
      <c r="O56" s="159" t="e">
        <f t="shared" si="4"/>
        <v>#VALUE!</v>
      </c>
      <c r="P56" s="211" t="e">
        <f t="shared" si="16"/>
        <v>#N/A</v>
      </c>
      <c r="Q56" s="159" t="e">
        <f t="shared" si="6"/>
        <v>#DIV/0!</v>
      </c>
      <c r="R56" s="159" t="e">
        <f t="shared" si="7"/>
        <v>#DIV/0!</v>
      </c>
      <c r="S56" s="159" t="e">
        <f t="shared" si="8"/>
        <v>#DIV/0!</v>
      </c>
      <c r="T56" s="152" t="e">
        <f t="shared" si="9"/>
        <v>#DIV/0!</v>
      </c>
      <c r="U56" s="160" t="e">
        <f t="shared" si="15"/>
        <v>#VALUE!</v>
      </c>
      <c r="V56" s="152" t="e">
        <f t="shared" si="10"/>
        <v>#DIV/0!</v>
      </c>
      <c r="W56" s="160" t="e">
        <f t="shared" si="11"/>
        <v>#VALUE!</v>
      </c>
      <c r="X56" s="152" t="e">
        <f t="shared" si="12"/>
        <v>#DIV/0!</v>
      </c>
      <c r="Y56" s="160" t="e">
        <f t="shared" si="13"/>
        <v>#VALUE!</v>
      </c>
      <c r="Z56" s="3"/>
      <c r="AA56" s="3"/>
      <c r="AB56" s="63"/>
      <c r="AC56" s="63"/>
      <c r="AD56" s="63"/>
      <c r="AE56" s="63"/>
      <c r="AF56" s="63"/>
      <c r="AG56" s="63"/>
      <c r="AH56" s="63"/>
      <c r="AI56" s="1"/>
      <c r="AJ56" s="1"/>
      <c r="AK56" s="1"/>
    </row>
    <row r="57" spans="1:37" x14ac:dyDescent="0.2">
      <c r="A57" s="3"/>
      <c r="B57" s="3"/>
      <c r="C57" s="3"/>
      <c r="D57" s="3"/>
      <c r="E57" s="3"/>
      <c r="F57" s="3"/>
      <c r="G57" s="3"/>
      <c r="H57" s="158">
        <v>25</v>
      </c>
      <c r="I57" s="63">
        <v>2.06</v>
      </c>
      <c r="J57" s="63">
        <v>3.39</v>
      </c>
      <c r="K57" s="63"/>
      <c r="L57" s="164"/>
      <c r="M57" s="3"/>
      <c r="N57" s="3"/>
      <c r="O57" s="159" t="e">
        <f t="shared" si="4"/>
        <v>#VALUE!</v>
      </c>
      <c r="P57" s="211" t="e">
        <f t="shared" si="16"/>
        <v>#N/A</v>
      </c>
      <c r="Q57" s="159" t="e">
        <f t="shared" si="6"/>
        <v>#DIV/0!</v>
      </c>
      <c r="R57" s="159" t="e">
        <f t="shared" si="7"/>
        <v>#DIV/0!</v>
      </c>
      <c r="S57" s="159" t="e">
        <f t="shared" si="8"/>
        <v>#DIV/0!</v>
      </c>
      <c r="T57" s="152" t="e">
        <f t="shared" si="9"/>
        <v>#DIV/0!</v>
      </c>
      <c r="U57" s="160" t="e">
        <f t="shared" si="15"/>
        <v>#VALUE!</v>
      </c>
      <c r="V57" s="152" t="e">
        <f t="shared" si="10"/>
        <v>#DIV/0!</v>
      </c>
      <c r="W57" s="160" t="e">
        <f t="shared" si="11"/>
        <v>#VALUE!</v>
      </c>
      <c r="X57" s="152" t="e">
        <f t="shared" si="12"/>
        <v>#DIV/0!</v>
      </c>
      <c r="Y57" s="160" t="e">
        <f t="shared" si="13"/>
        <v>#VALUE!</v>
      </c>
      <c r="Z57" s="3"/>
      <c r="AA57" s="3"/>
      <c r="AB57" s="63"/>
      <c r="AC57" s="63"/>
      <c r="AD57" s="63"/>
      <c r="AE57" s="63"/>
      <c r="AF57" s="63"/>
      <c r="AG57" s="63"/>
      <c r="AH57" s="63"/>
      <c r="AI57" s="1"/>
      <c r="AJ57" s="1"/>
      <c r="AK57" s="1"/>
    </row>
    <row r="58" spans="1:37" x14ac:dyDescent="0.2">
      <c r="A58" s="3"/>
      <c r="B58" s="3"/>
      <c r="C58" s="3"/>
      <c r="D58" s="3"/>
      <c r="E58" s="3"/>
      <c r="F58" s="3"/>
      <c r="G58" s="3"/>
      <c r="H58" s="158">
        <v>26</v>
      </c>
      <c r="I58" s="63">
        <v>2.056</v>
      </c>
      <c r="J58" s="63">
        <v>3.37</v>
      </c>
      <c r="K58" s="63"/>
      <c r="L58" s="164"/>
      <c r="M58" s="3"/>
      <c r="N58" s="3"/>
      <c r="O58" s="159" t="e">
        <f t="shared" si="4"/>
        <v>#VALUE!</v>
      </c>
      <c r="P58" s="211" t="e">
        <f t="shared" si="16"/>
        <v>#N/A</v>
      </c>
      <c r="Q58" s="159" t="e">
        <f t="shared" si="6"/>
        <v>#DIV/0!</v>
      </c>
      <c r="R58" s="159" t="e">
        <f t="shared" si="7"/>
        <v>#DIV/0!</v>
      </c>
      <c r="S58" s="159" t="e">
        <f t="shared" si="8"/>
        <v>#DIV/0!</v>
      </c>
      <c r="T58" s="152" t="e">
        <f t="shared" si="9"/>
        <v>#DIV/0!</v>
      </c>
      <c r="U58" s="160" t="e">
        <f t="shared" si="15"/>
        <v>#VALUE!</v>
      </c>
      <c r="V58" s="152" t="e">
        <f t="shared" si="10"/>
        <v>#DIV/0!</v>
      </c>
      <c r="W58" s="160" t="e">
        <f t="shared" si="11"/>
        <v>#VALUE!</v>
      </c>
      <c r="X58" s="152" t="e">
        <f t="shared" si="12"/>
        <v>#DIV/0!</v>
      </c>
      <c r="Y58" s="160" t="e">
        <f t="shared" si="13"/>
        <v>#VALUE!</v>
      </c>
      <c r="Z58" s="3"/>
      <c r="AA58" s="194"/>
      <c r="AB58" s="63"/>
      <c r="AC58" s="63"/>
      <c r="AD58" s="63"/>
      <c r="AE58" s="63"/>
      <c r="AF58" s="63"/>
      <c r="AG58" s="63"/>
      <c r="AH58" s="63"/>
      <c r="AI58" s="1"/>
      <c r="AJ58" s="1"/>
      <c r="AK58" s="1"/>
    </row>
    <row r="59" spans="1:37" x14ac:dyDescent="0.2">
      <c r="A59" s="3"/>
      <c r="B59" s="3"/>
      <c r="C59" s="3"/>
      <c r="D59" s="3"/>
      <c r="E59" s="3"/>
      <c r="F59" s="3"/>
      <c r="G59" s="3"/>
      <c r="H59" s="158">
        <v>27</v>
      </c>
      <c r="I59" s="63">
        <v>2.052</v>
      </c>
      <c r="J59" s="63">
        <v>3.35</v>
      </c>
      <c r="K59" s="63"/>
      <c r="L59" s="164"/>
      <c r="M59" s="3"/>
      <c r="N59" s="3"/>
      <c r="O59" s="159" t="e">
        <f t="shared" si="4"/>
        <v>#VALUE!</v>
      </c>
      <c r="P59" s="211" t="e">
        <f t="shared" si="16"/>
        <v>#N/A</v>
      </c>
      <c r="Q59" s="159" t="e">
        <f t="shared" si="6"/>
        <v>#DIV/0!</v>
      </c>
      <c r="R59" s="159" t="e">
        <f t="shared" si="7"/>
        <v>#DIV/0!</v>
      </c>
      <c r="S59" s="159" t="e">
        <f t="shared" si="8"/>
        <v>#DIV/0!</v>
      </c>
      <c r="T59" s="152" t="e">
        <f t="shared" si="9"/>
        <v>#DIV/0!</v>
      </c>
      <c r="U59" s="160" t="e">
        <f t="shared" si="15"/>
        <v>#VALUE!</v>
      </c>
      <c r="V59" s="152" t="e">
        <f t="shared" si="10"/>
        <v>#DIV/0!</v>
      </c>
      <c r="W59" s="160" t="e">
        <f t="shared" si="11"/>
        <v>#VALUE!</v>
      </c>
      <c r="X59" s="152" t="e">
        <f t="shared" si="12"/>
        <v>#DIV/0!</v>
      </c>
      <c r="Y59" s="160" t="e">
        <f t="shared" si="13"/>
        <v>#VALUE!</v>
      </c>
      <c r="Z59" s="3"/>
      <c r="AA59" s="194"/>
      <c r="AB59" s="63"/>
      <c r="AC59" s="63"/>
      <c r="AD59" s="63"/>
      <c r="AE59" s="63"/>
      <c r="AF59" s="63"/>
      <c r="AG59" s="63"/>
      <c r="AH59" s="63"/>
      <c r="AI59" s="1"/>
      <c r="AJ59" s="1"/>
      <c r="AK59" s="1"/>
    </row>
    <row r="60" spans="1:37" x14ac:dyDescent="0.2">
      <c r="A60" s="3"/>
      <c r="B60" s="3"/>
      <c r="C60" s="3"/>
      <c r="D60" s="3"/>
      <c r="E60" s="3"/>
      <c r="F60" s="3"/>
      <c r="G60" s="3"/>
      <c r="H60" s="158">
        <v>28</v>
      </c>
      <c r="I60" s="63">
        <v>2.048</v>
      </c>
      <c r="J60" s="63">
        <v>3.34</v>
      </c>
      <c r="K60" s="63"/>
      <c r="L60" s="164"/>
      <c r="M60" s="3"/>
      <c r="N60" s="3"/>
      <c r="O60" s="159" t="e">
        <f t="shared" si="4"/>
        <v>#VALUE!</v>
      </c>
      <c r="P60" s="211" t="e">
        <f t="shared" si="16"/>
        <v>#N/A</v>
      </c>
      <c r="Q60" s="159" t="e">
        <f t="shared" si="6"/>
        <v>#DIV/0!</v>
      </c>
      <c r="R60" s="159" t="e">
        <f t="shared" si="7"/>
        <v>#DIV/0!</v>
      </c>
      <c r="S60" s="159" t="e">
        <f t="shared" si="8"/>
        <v>#DIV/0!</v>
      </c>
      <c r="T60" s="152" t="e">
        <f t="shared" si="9"/>
        <v>#DIV/0!</v>
      </c>
      <c r="U60" s="160" t="e">
        <f t="shared" si="15"/>
        <v>#VALUE!</v>
      </c>
      <c r="V60" s="152" t="e">
        <f t="shared" si="10"/>
        <v>#DIV/0!</v>
      </c>
      <c r="W60" s="160" t="e">
        <f t="shared" si="11"/>
        <v>#VALUE!</v>
      </c>
      <c r="X60" s="152" t="e">
        <f t="shared" si="12"/>
        <v>#DIV/0!</v>
      </c>
      <c r="Y60" s="160" t="e">
        <f t="shared" si="13"/>
        <v>#VALUE!</v>
      </c>
      <c r="Z60" s="3"/>
      <c r="AA60" s="3"/>
      <c r="AB60" s="63"/>
      <c r="AC60" s="63"/>
      <c r="AD60" s="63"/>
      <c r="AE60" s="63"/>
      <c r="AF60" s="63"/>
      <c r="AG60" s="63"/>
      <c r="AH60" s="63"/>
      <c r="AI60" s="1"/>
      <c r="AJ60" s="1"/>
      <c r="AK60" s="1"/>
    </row>
    <row r="61" spans="1:37" x14ac:dyDescent="0.2">
      <c r="A61" s="3"/>
      <c r="B61" s="3"/>
      <c r="C61" s="3"/>
      <c r="D61" s="3"/>
      <c r="E61" s="3"/>
      <c r="F61" s="3"/>
      <c r="G61" s="3"/>
      <c r="H61" s="158">
        <v>29</v>
      </c>
      <c r="I61" s="63">
        <v>2.0449999999999999</v>
      </c>
      <c r="J61" s="63">
        <v>3.33</v>
      </c>
      <c r="K61" s="63"/>
      <c r="L61" s="164"/>
      <c r="M61" s="3"/>
      <c r="N61" s="3"/>
      <c r="O61" s="159" t="e">
        <f t="shared" si="4"/>
        <v>#VALUE!</v>
      </c>
      <c r="P61" s="211" t="e">
        <f t="shared" si="16"/>
        <v>#N/A</v>
      </c>
      <c r="Q61" s="159" t="e">
        <f t="shared" si="6"/>
        <v>#DIV/0!</v>
      </c>
      <c r="R61" s="159" t="e">
        <f t="shared" si="7"/>
        <v>#DIV/0!</v>
      </c>
      <c r="S61" s="159" t="e">
        <f t="shared" si="8"/>
        <v>#DIV/0!</v>
      </c>
      <c r="T61" s="152" t="e">
        <f t="shared" si="9"/>
        <v>#DIV/0!</v>
      </c>
      <c r="U61" s="160" t="e">
        <f t="shared" si="15"/>
        <v>#VALUE!</v>
      </c>
      <c r="V61" s="152" t="e">
        <f t="shared" si="10"/>
        <v>#DIV/0!</v>
      </c>
      <c r="W61" s="160" t="e">
        <f t="shared" si="11"/>
        <v>#VALUE!</v>
      </c>
      <c r="X61" s="152" t="e">
        <f t="shared" si="12"/>
        <v>#DIV/0!</v>
      </c>
      <c r="Y61" s="160" t="e">
        <f t="shared" si="13"/>
        <v>#VALUE!</v>
      </c>
      <c r="Z61" s="3"/>
      <c r="AA61" s="3"/>
      <c r="AB61" s="63"/>
      <c r="AC61" s="63"/>
      <c r="AD61" s="63"/>
      <c r="AE61" s="63"/>
      <c r="AF61" s="63"/>
      <c r="AG61" s="63"/>
      <c r="AH61" s="63"/>
      <c r="AI61" s="1"/>
      <c r="AJ61" s="1"/>
      <c r="AK61" s="1"/>
    </row>
    <row r="62" spans="1:37" x14ac:dyDescent="0.2">
      <c r="A62" s="3"/>
      <c r="B62" s="3"/>
      <c r="C62" s="3"/>
      <c r="D62" s="3"/>
      <c r="E62" s="3"/>
      <c r="F62" s="3"/>
      <c r="G62" s="3"/>
      <c r="H62" s="158">
        <v>30</v>
      </c>
      <c r="I62" s="63">
        <v>2.0419999999999998</v>
      </c>
      <c r="J62" s="63">
        <v>3.32</v>
      </c>
      <c r="K62" s="63"/>
      <c r="L62" s="164"/>
      <c r="M62" s="3"/>
      <c r="N62" s="3"/>
      <c r="O62" s="159" t="e">
        <f t="shared" si="4"/>
        <v>#VALUE!</v>
      </c>
      <c r="P62" s="211" t="e">
        <f t="shared" si="16"/>
        <v>#N/A</v>
      </c>
      <c r="Q62" s="159" t="e">
        <f t="shared" si="6"/>
        <v>#DIV/0!</v>
      </c>
      <c r="R62" s="159" t="e">
        <f t="shared" si="7"/>
        <v>#DIV/0!</v>
      </c>
      <c r="S62" s="159" t="e">
        <f t="shared" si="8"/>
        <v>#DIV/0!</v>
      </c>
      <c r="T62" s="152" t="e">
        <f t="shared" si="9"/>
        <v>#DIV/0!</v>
      </c>
      <c r="U62" s="160" t="e">
        <f t="shared" si="15"/>
        <v>#VALUE!</v>
      </c>
      <c r="V62" s="152" t="e">
        <f t="shared" si="10"/>
        <v>#DIV/0!</v>
      </c>
      <c r="W62" s="160" t="e">
        <f t="shared" si="11"/>
        <v>#VALUE!</v>
      </c>
      <c r="X62" s="152" t="e">
        <f t="shared" si="12"/>
        <v>#DIV/0!</v>
      </c>
      <c r="Y62" s="160" t="e">
        <f t="shared" si="13"/>
        <v>#VALUE!</v>
      </c>
      <c r="Z62" s="3"/>
      <c r="AA62" s="151"/>
      <c r="AB62" s="63"/>
      <c r="AC62" s="63"/>
      <c r="AD62" s="63"/>
      <c r="AE62" s="63"/>
      <c r="AF62" s="63"/>
      <c r="AG62" s="63"/>
      <c r="AH62" s="63"/>
      <c r="AI62" s="1"/>
      <c r="AJ62" s="1"/>
      <c r="AK62" s="1"/>
    </row>
    <row r="63" spans="1:37" x14ac:dyDescent="0.2">
      <c r="A63" s="3"/>
      <c r="B63" s="3"/>
      <c r="C63" s="3"/>
      <c r="D63" s="3"/>
      <c r="E63" s="3"/>
      <c r="F63" s="3"/>
      <c r="G63" s="3"/>
      <c r="H63" s="158">
        <v>31</v>
      </c>
      <c r="I63" s="63">
        <v>2.0209999999999999</v>
      </c>
      <c r="J63" s="63">
        <v>3.23</v>
      </c>
      <c r="K63" s="63"/>
      <c r="L63" s="164"/>
      <c r="M63" s="3"/>
      <c r="N63" s="3"/>
      <c r="O63" s="159" t="e">
        <f t="shared" si="4"/>
        <v>#VALUE!</v>
      </c>
      <c r="P63" s="211" t="e">
        <f t="shared" si="16"/>
        <v>#N/A</v>
      </c>
      <c r="Q63" s="159" t="e">
        <f t="shared" si="6"/>
        <v>#DIV/0!</v>
      </c>
      <c r="R63" s="159" t="e">
        <f t="shared" si="7"/>
        <v>#DIV/0!</v>
      </c>
      <c r="S63" s="159" t="e">
        <f t="shared" si="8"/>
        <v>#DIV/0!</v>
      </c>
      <c r="T63" s="152" t="e">
        <f t="shared" si="9"/>
        <v>#DIV/0!</v>
      </c>
      <c r="U63" s="160" t="e">
        <f t="shared" si="15"/>
        <v>#VALUE!</v>
      </c>
      <c r="V63" s="152" t="e">
        <f t="shared" si="10"/>
        <v>#DIV/0!</v>
      </c>
      <c r="W63" s="160" t="e">
        <f t="shared" si="11"/>
        <v>#VALUE!</v>
      </c>
      <c r="X63" s="152" t="e">
        <f t="shared" si="12"/>
        <v>#DIV/0!</v>
      </c>
      <c r="Y63" s="160" t="e">
        <f t="shared" si="13"/>
        <v>#VALUE!</v>
      </c>
      <c r="Z63" s="3"/>
      <c r="AA63" s="3"/>
      <c r="AB63" s="63"/>
      <c r="AC63" s="63"/>
      <c r="AD63" s="63"/>
      <c r="AE63" s="63"/>
      <c r="AF63" s="63"/>
      <c r="AG63" s="63"/>
      <c r="AH63" s="63"/>
      <c r="AI63" s="1"/>
      <c r="AJ63" s="1"/>
      <c r="AK63" s="1"/>
    </row>
    <row r="64" spans="1:37" x14ac:dyDescent="0.2">
      <c r="A64" s="3"/>
      <c r="B64" s="3"/>
      <c r="C64" s="3"/>
      <c r="D64" s="3"/>
      <c r="E64" s="3"/>
      <c r="F64" s="3"/>
      <c r="G64" s="3"/>
      <c r="H64" s="158">
        <v>40</v>
      </c>
      <c r="I64" s="63">
        <v>2.0209999999999999</v>
      </c>
      <c r="J64" s="63">
        <v>3.23</v>
      </c>
      <c r="K64" s="63"/>
      <c r="L64" s="164"/>
      <c r="M64" s="3"/>
      <c r="N64" s="3"/>
      <c r="O64" s="159" t="e">
        <f t="shared" si="4"/>
        <v>#VALUE!</v>
      </c>
      <c r="P64" s="211" t="e">
        <f t="shared" si="16"/>
        <v>#N/A</v>
      </c>
      <c r="Q64" s="159" t="e">
        <f t="shared" si="6"/>
        <v>#DIV/0!</v>
      </c>
      <c r="R64" s="159" t="e">
        <f t="shared" si="7"/>
        <v>#DIV/0!</v>
      </c>
      <c r="S64" s="159" t="e">
        <f t="shared" si="8"/>
        <v>#DIV/0!</v>
      </c>
      <c r="T64" s="152" t="e">
        <f t="shared" si="9"/>
        <v>#DIV/0!</v>
      </c>
      <c r="U64" s="160" t="e">
        <f t="shared" si="15"/>
        <v>#VALUE!</v>
      </c>
      <c r="V64" s="152" t="e">
        <f t="shared" si="10"/>
        <v>#DIV/0!</v>
      </c>
      <c r="W64" s="160" t="e">
        <f t="shared" si="11"/>
        <v>#VALUE!</v>
      </c>
      <c r="X64" s="152" t="e">
        <f t="shared" si="12"/>
        <v>#DIV/0!</v>
      </c>
      <c r="Y64" s="160" t="e">
        <f t="shared" si="13"/>
        <v>#VALUE!</v>
      </c>
      <c r="Z64" s="3"/>
      <c r="AA64" s="3"/>
      <c r="AB64" s="63"/>
      <c r="AC64" s="63"/>
      <c r="AD64" s="63"/>
      <c r="AE64" s="63"/>
      <c r="AF64" s="63"/>
      <c r="AG64" s="63"/>
      <c r="AH64" s="63"/>
      <c r="AI64" s="1"/>
      <c r="AJ64" s="1"/>
      <c r="AK64" s="1"/>
    </row>
    <row r="65" spans="1:37" x14ac:dyDescent="0.2">
      <c r="A65" s="3"/>
      <c r="B65" s="3"/>
      <c r="C65" s="3"/>
      <c r="D65" s="3"/>
      <c r="E65" s="3"/>
      <c r="F65" s="3"/>
      <c r="G65" s="3"/>
      <c r="H65" s="158">
        <v>41</v>
      </c>
      <c r="I65" s="63">
        <v>2</v>
      </c>
      <c r="J65" s="63">
        <v>3.15</v>
      </c>
      <c r="K65" s="63"/>
      <c r="L65" s="164"/>
      <c r="M65" s="3"/>
      <c r="N65" s="3"/>
      <c r="O65" s="159" t="e">
        <f t="shared" si="4"/>
        <v>#VALUE!</v>
      </c>
      <c r="P65" s="211" t="e">
        <f t="shared" si="16"/>
        <v>#N/A</v>
      </c>
      <c r="Q65" s="159" t="e">
        <f t="shared" si="6"/>
        <v>#DIV/0!</v>
      </c>
      <c r="R65" s="159" t="e">
        <f t="shared" si="7"/>
        <v>#DIV/0!</v>
      </c>
      <c r="S65" s="159" t="e">
        <f t="shared" si="8"/>
        <v>#DIV/0!</v>
      </c>
      <c r="T65" s="152" t="e">
        <f t="shared" si="9"/>
        <v>#DIV/0!</v>
      </c>
      <c r="U65" s="160" t="e">
        <f t="shared" si="15"/>
        <v>#VALUE!</v>
      </c>
      <c r="V65" s="152" t="e">
        <f t="shared" si="10"/>
        <v>#DIV/0!</v>
      </c>
      <c r="W65" s="160" t="e">
        <f t="shared" si="11"/>
        <v>#VALUE!</v>
      </c>
      <c r="X65" s="152" t="e">
        <f t="shared" si="12"/>
        <v>#DIV/0!</v>
      </c>
      <c r="Y65" s="160" t="e">
        <f t="shared" si="13"/>
        <v>#VALUE!</v>
      </c>
      <c r="Z65" s="3"/>
      <c r="AA65" s="3"/>
      <c r="AB65" s="63"/>
      <c r="AC65" s="63"/>
      <c r="AD65" s="63"/>
      <c r="AE65" s="63"/>
      <c r="AF65" s="63"/>
      <c r="AG65" s="63"/>
      <c r="AH65" s="63"/>
      <c r="AI65" s="1"/>
      <c r="AJ65" s="1"/>
      <c r="AK65" s="1"/>
    </row>
    <row r="66" spans="1:37" x14ac:dyDescent="0.2">
      <c r="A66" s="3"/>
      <c r="B66" s="3"/>
      <c r="C66" s="3"/>
      <c r="D66" s="3"/>
      <c r="E66" s="3"/>
      <c r="F66" s="3"/>
      <c r="G66" s="3"/>
      <c r="H66" s="158">
        <v>60</v>
      </c>
      <c r="I66" s="63">
        <v>2</v>
      </c>
      <c r="J66" s="63">
        <v>3.15</v>
      </c>
      <c r="K66" s="63"/>
      <c r="L66" s="164"/>
      <c r="M66" s="3"/>
      <c r="N66" s="3"/>
      <c r="O66" s="159" t="e">
        <f t="shared" ref="O66:O102" si="17">LOG($I$19+($I$20-$I$19)*(ROW()-2)/100)</f>
        <v>#VALUE!</v>
      </c>
      <c r="P66" s="211" t="e">
        <f t="shared" ref="P66:P97" si="18">SQRT(2*$I$16*$K$24)*SQRT((1/$I$1)+((O66-$I$10)^2/$I$7))</f>
        <v>#N/A</v>
      </c>
      <c r="Q66" s="159" t="e">
        <f t="shared" ref="Q66:Q102" si="19">+$I$13+$I$12*O66</f>
        <v>#DIV/0!</v>
      </c>
      <c r="R66" s="159" t="e">
        <f t="shared" ref="R66:R102" si="20">+$I$13+$I$12*O66-P66</f>
        <v>#DIV/0!</v>
      </c>
      <c r="S66" s="159" t="e">
        <f t="shared" ref="S66:S102" si="21">+$I$13+$I$12*O66+P66</f>
        <v>#DIV/0!</v>
      </c>
      <c r="T66" s="152" t="e">
        <f t="shared" ref="T66:T102" si="22">10^Q66</f>
        <v>#DIV/0!</v>
      </c>
      <c r="U66" s="160" t="e">
        <f t="shared" si="15"/>
        <v>#VALUE!</v>
      </c>
      <c r="V66" s="152" t="e">
        <f t="shared" ref="V66:V102" si="23">10^R66</f>
        <v>#DIV/0!</v>
      </c>
      <c r="W66" s="160" t="e">
        <f t="shared" ref="W66:W102" si="24">10^$O66</f>
        <v>#VALUE!</v>
      </c>
      <c r="X66" s="152" t="e">
        <f t="shared" ref="X66:X102" si="25">10^S66</f>
        <v>#DIV/0!</v>
      </c>
      <c r="Y66" s="160" t="e">
        <f t="shared" ref="Y66:Y102" si="26">10^$O66</f>
        <v>#VALUE!</v>
      </c>
      <c r="Z66" s="3"/>
      <c r="AA66" s="63"/>
      <c r="AB66" s="63"/>
      <c r="AC66" s="63"/>
      <c r="AD66" s="63"/>
      <c r="AE66" s="63"/>
      <c r="AF66" s="63"/>
      <c r="AG66" s="63"/>
      <c r="AH66" s="63"/>
      <c r="AI66" s="1"/>
      <c r="AJ66" s="1"/>
      <c r="AK66" s="1"/>
    </row>
    <row r="67" spans="1:37" x14ac:dyDescent="0.2">
      <c r="A67" s="3"/>
      <c r="B67" s="3"/>
      <c r="C67" s="3"/>
      <c r="D67" s="3"/>
      <c r="E67" s="3"/>
      <c r="F67" s="3"/>
      <c r="G67" s="3"/>
      <c r="H67" s="158">
        <v>61</v>
      </c>
      <c r="I67" s="63">
        <v>1.98</v>
      </c>
      <c r="J67" s="63">
        <v>3.07</v>
      </c>
      <c r="K67" s="63"/>
      <c r="L67" s="164"/>
      <c r="M67" s="3"/>
      <c r="N67" s="3"/>
      <c r="O67" s="159" t="e">
        <f t="shared" si="17"/>
        <v>#VALUE!</v>
      </c>
      <c r="P67" s="211" t="e">
        <f t="shared" si="18"/>
        <v>#N/A</v>
      </c>
      <c r="Q67" s="159" t="e">
        <f t="shared" si="19"/>
        <v>#DIV/0!</v>
      </c>
      <c r="R67" s="159" t="e">
        <f t="shared" si="20"/>
        <v>#DIV/0!</v>
      </c>
      <c r="S67" s="159" t="e">
        <f t="shared" si="21"/>
        <v>#DIV/0!</v>
      </c>
      <c r="T67" s="152" t="e">
        <f t="shared" si="22"/>
        <v>#DIV/0!</v>
      </c>
      <c r="U67" s="160" t="e">
        <f t="shared" ref="U67:U102" si="27">10^O67</f>
        <v>#VALUE!</v>
      </c>
      <c r="V67" s="152" t="e">
        <f t="shared" si="23"/>
        <v>#DIV/0!</v>
      </c>
      <c r="W67" s="160" t="e">
        <f t="shared" si="24"/>
        <v>#VALUE!</v>
      </c>
      <c r="X67" s="152" t="e">
        <f t="shared" si="25"/>
        <v>#DIV/0!</v>
      </c>
      <c r="Y67" s="160" t="e">
        <f t="shared" si="26"/>
        <v>#VALUE!</v>
      </c>
      <c r="Z67" s="3"/>
      <c r="AA67" s="63"/>
      <c r="AB67" s="63"/>
      <c r="AC67" s="63"/>
      <c r="AD67" s="63"/>
      <c r="AE67" s="63"/>
      <c r="AF67" s="63"/>
      <c r="AG67" s="63"/>
      <c r="AH67" s="63"/>
      <c r="AI67" s="1"/>
      <c r="AJ67" s="1"/>
      <c r="AK67" s="1"/>
    </row>
    <row r="68" spans="1:37" x14ac:dyDescent="0.2">
      <c r="A68" s="3"/>
      <c r="B68" s="3"/>
      <c r="C68" s="3"/>
      <c r="D68" s="3"/>
      <c r="E68" s="3"/>
      <c r="F68" s="3"/>
      <c r="G68" s="3"/>
      <c r="H68" s="158">
        <v>120</v>
      </c>
      <c r="I68" s="63">
        <v>1.98</v>
      </c>
      <c r="J68" s="63">
        <v>3.07</v>
      </c>
      <c r="K68" s="63"/>
      <c r="L68" s="164"/>
      <c r="M68" s="3"/>
      <c r="N68" s="3"/>
      <c r="O68" s="159" t="e">
        <f t="shared" si="17"/>
        <v>#VALUE!</v>
      </c>
      <c r="P68" s="211" t="e">
        <f t="shared" si="18"/>
        <v>#N/A</v>
      </c>
      <c r="Q68" s="159" t="e">
        <f t="shared" si="19"/>
        <v>#DIV/0!</v>
      </c>
      <c r="R68" s="159" t="e">
        <f t="shared" si="20"/>
        <v>#DIV/0!</v>
      </c>
      <c r="S68" s="159" t="e">
        <f t="shared" si="21"/>
        <v>#DIV/0!</v>
      </c>
      <c r="T68" s="152" t="e">
        <f t="shared" si="22"/>
        <v>#DIV/0!</v>
      </c>
      <c r="U68" s="160" t="e">
        <f t="shared" si="27"/>
        <v>#VALUE!</v>
      </c>
      <c r="V68" s="152" t="e">
        <f t="shared" si="23"/>
        <v>#DIV/0!</v>
      </c>
      <c r="W68" s="160" t="e">
        <f t="shared" si="24"/>
        <v>#VALUE!</v>
      </c>
      <c r="X68" s="152" t="e">
        <f t="shared" si="25"/>
        <v>#DIV/0!</v>
      </c>
      <c r="Y68" s="160" t="e">
        <f t="shared" si="26"/>
        <v>#VALUE!</v>
      </c>
      <c r="Z68" s="3"/>
      <c r="AA68" s="63"/>
      <c r="AB68" s="63"/>
      <c r="AC68" s="63"/>
      <c r="AD68" s="63"/>
      <c r="AE68" s="63"/>
      <c r="AF68" s="63"/>
      <c r="AG68" s="63"/>
      <c r="AH68" s="63"/>
      <c r="AI68" s="1"/>
      <c r="AJ68" s="1"/>
      <c r="AK68" s="1"/>
    </row>
    <row r="69" spans="1:37" x14ac:dyDescent="0.2">
      <c r="A69" s="3"/>
      <c r="B69" s="3"/>
      <c r="C69" s="3"/>
      <c r="D69" s="3"/>
      <c r="E69" s="3"/>
      <c r="F69" s="3"/>
      <c r="G69" s="3"/>
      <c r="H69" s="158">
        <v>121</v>
      </c>
      <c r="I69" s="63">
        <v>1.96</v>
      </c>
      <c r="J69" s="63">
        <v>3</v>
      </c>
      <c r="K69" s="63"/>
      <c r="L69" s="164"/>
      <c r="M69" s="3"/>
      <c r="N69" s="3"/>
      <c r="O69" s="159" t="e">
        <f t="shared" si="17"/>
        <v>#VALUE!</v>
      </c>
      <c r="P69" s="211" t="e">
        <f t="shared" si="18"/>
        <v>#N/A</v>
      </c>
      <c r="Q69" s="159" t="e">
        <f t="shared" si="19"/>
        <v>#DIV/0!</v>
      </c>
      <c r="R69" s="159" t="e">
        <f t="shared" si="20"/>
        <v>#DIV/0!</v>
      </c>
      <c r="S69" s="159" t="e">
        <f t="shared" si="21"/>
        <v>#DIV/0!</v>
      </c>
      <c r="T69" s="152" t="e">
        <f t="shared" si="22"/>
        <v>#DIV/0!</v>
      </c>
      <c r="U69" s="160" t="e">
        <f t="shared" si="27"/>
        <v>#VALUE!</v>
      </c>
      <c r="V69" s="152" t="e">
        <f t="shared" si="23"/>
        <v>#DIV/0!</v>
      </c>
      <c r="W69" s="160" t="e">
        <f t="shared" si="24"/>
        <v>#VALUE!</v>
      </c>
      <c r="X69" s="152" t="e">
        <f t="shared" si="25"/>
        <v>#DIV/0!</v>
      </c>
      <c r="Y69" s="160" t="e">
        <f t="shared" si="26"/>
        <v>#VALUE!</v>
      </c>
      <c r="Z69" s="3"/>
      <c r="AA69" s="63"/>
      <c r="AB69" s="63"/>
      <c r="AC69" s="63"/>
      <c r="AD69" s="63"/>
      <c r="AE69" s="63"/>
      <c r="AF69" s="63"/>
      <c r="AG69" s="63"/>
      <c r="AH69" s="63"/>
      <c r="AI69" s="1"/>
      <c r="AJ69" s="1"/>
      <c r="AK69" s="1"/>
    </row>
    <row r="70" spans="1:37" ht="13.5" thickBot="1" x14ac:dyDescent="0.25">
      <c r="A70" s="3"/>
      <c r="B70" s="3"/>
      <c r="C70" s="3"/>
      <c r="D70" s="3"/>
      <c r="E70" s="3"/>
      <c r="F70" s="3"/>
      <c r="G70" s="3"/>
      <c r="H70" s="173"/>
      <c r="I70" s="188"/>
      <c r="J70" s="188"/>
      <c r="K70" s="188"/>
      <c r="L70" s="168"/>
      <c r="M70" s="3"/>
      <c r="N70" s="3"/>
      <c r="O70" s="159" t="e">
        <f t="shared" si="17"/>
        <v>#VALUE!</v>
      </c>
      <c r="P70" s="211" t="e">
        <f t="shared" si="18"/>
        <v>#N/A</v>
      </c>
      <c r="Q70" s="159" t="e">
        <f t="shared" si="19"/>
        <v>#DIV/0!</v>
      </c>
      <c r="R70" s="159" t="e">
        <f t="shared" si="20"/>
        <v>#DIV/0!</v>
      </c>
      <c r="S70" s="159" t="e">
        <f t="shared" si="21"/>
        <v>#DIV/0!</v>
      </c>
      <c r="T70" s="152" t="e">
        <f t="shared" si="22"/>
        <v>#DIV/0!</v>
      </c>
      <c r="U70" s="160" t="e">
        <f t="shared" si="27"/>
        <v>#VALUE!</v>
      </c>
      <c r="V70" s="152" t="e">
        <f t="shared" si="23"/>
        <v>#DIV/0!</v>
      </c>
      <c r="W70" s="160" t="e">
        <f t="shared" si="24"/>
        <v>#VALUE!</v>
      </c>
      <c r="X70" s="152" t="e">
        <f t="shared" si="25"/>
        <v>#DIV/0!</v>
      </c>
      <c r="Y70" s="160" t="e">
        <f t="shared" si="26"/>
        <v>#VALUE!</v>
      </c>
      <c r="Z70" s="3"/>
      <c r="AA70" s="63"/>
      <c r="AB70" s="63"/>
      <c r="AC70" s="63"/>
      <c r="AD70" s="63"/>
      <c r="AE70" s="63"/>
      <c r="AF70" s="63"/>
      <c r="AG70" s="63"/>
      <c r="AH70" s="63"/>
      <c r="AI70" s="1"/>
      <c r="AJ70" s="1"/>
      <c r="AK70" s="1"/>
    </row>
    <row r="71" spans="1:37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159" t="e">
        <f t="shared" si="17"/>
        <v>#VALUE!</v>
      </c>
      <c r="P71" s="211" t="e">
        <f t="shared" si="18"/>
        <v>#N/A</v>
      </c>
      <c r="Q71" s="159" t="e">
        <f t="shared" si="19"/>
        <v>#DIV/0!</v>
      </c>
      <c r="R71" s="159" t="e">
        <f t="shared" si="20"/>
        <v>#DIV/0!</v>
      </c>
      <c r="S71" s="159" t="e">
        <f t="shared" si="21"/>
        <v>#DIV/0!</v>
      </c>
      <c r="T71" s="152" t="e">
        <f t="shared" si="22"/>
        <v>#DIV/0!</v>
      </c>
      <c r="U71" s="160" t="e">
        <f t="shared" si="27"/>
        <v>#VALUE!</v>
      </c>
      <c r="V71" s="152" t="e">
        <f t="shared" si="23"/>
        <v>#DIV/0!</v>
      </c>
      <c r="W71" s="160" t="e">
        <f t="shared" si="24"/>
        <v>#VALUE!</v>
      </c>
      <c r="X71" s="152" t="e">
        <f t="shared" si="25"/>
        <v>#DIV/0!</v>
      </c>
      <c r="Y71" s="160" t="e">
        <f t="shared" si="26"/>
        <v>#VALUE!</v>
      </c>
      <c r="Z71" s="3"/>
      <c r="AA71" s="63"/>
      <c r="AB71" s="63"/>
      <c r="AC71" s="63"/>
      <c r="AD71" s="63"/>
      <c r="AE71" s="63"/>
      <c r="AF71" s="63"/>
      <c r="AG71" s="63"/>
      <c r="AH71" s="63"/>
      <c r="AI71" s="1"/>
      <c r="AJ71" s="1"/>
      <c r="AK71" s="1"/>
    </row>
    <row r="72" spans="1:37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159" t="e">
        <f t="shared" si="17"/>
        <v>#VALUE!</v>
      </c>
      <c r="P72" s="211" t="e">
        <f t="shared" si="18"/>
        <v>#N/A</v>
      </c>
      <c r="Q72" s="159" t="e">
        <f t="shared" si="19"/>
        <v>#DIV/0!</v>
      </c>
      <c r="R72" s="159" t="e">
        <f t="shared" si="20"/>
        <v>#DIV/0!</v>
      </c>
      <c r="S72" s="159" t="e">
        <f t="shared" si="21"/>
        <v>#DIV/0!</v>
      </c>
      <c r="T72" s="152" t="e">
        <f t="shared" si="22"/>
        <v>#DIV/0!</v>
      </c>
      <c r="U72" s="160" t="e">
        <f t="shared" si="27"/>
        <v>#VALUE!</v>
      </c>
      <c r="V72" s="152" t="e">
        <f t="shared" si="23"/>
        <v>#DIV/0!</v>
      </c>
      <c r="W72" s="160" t="e">
        <f t="shared" si="24"/>
        <v>#VALUE!</v>
      </c>
      <c r="X72" s="152" t="e">
        <f t="shared" si="25"/>
        <v>#DIV/0!</v>
      </c>
      <c r="Y72" s="160" t="e">
        <f t="shared" si="26"/>
        <v>#VALUE!</v>
      </c>
      <c r="Z72" s="3"/>
      <c r="AA72" s="63"/>
      <c r="AB72" s="63"/>
      <c r="AC72" s="63"/>
      <c r="AD72" s="63"/>
      <c r="AE72" s="63"/>
      <c r="AF72" s="63"/>
      <c r="AG72" s="63"/>
      <c r="AH72" s="63"/>
      <c r="AI72" s="1"/>
      <c r="AJ72" s="1"/>
      <c r="AK72" s="1"/>
    </row>
    <row r="73" spans="1:37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159" t="e">
        <f t="shared" si="17"/>
        <v>#VALUE!</v>
      </c>
      <c r="P73" s="211" t="e">
        <f t="shared" si="18"/>
        <v>#N/A</v>
      </c>
      <c r="Q73" s="159" t="e">
        <f t="shared" si="19"/>
        <v>#DIV/0!</v>
      </c>
      <c r="R73" s="159" t="e">
        <f t="shared" si="20"/>
        <v>#DIV/0!</v>
      </c>
      <c r="S73" s="159" t="e">
        <f t="shared" si="21"/>
        <v>#DIV/0!</v>
      </c>
      <c r="T73" s="152" t="e">
        <f t="shared" si="22"/>
        <v>#DIV/0!</v>
      </c>
      <c r="U73" s="160" t="e">
        <f t="shared" si="27"/>
        <v>#VALUE!</v>
      </c>
      <c r="V73" s="152" t="e">
        <f t="shared" si="23"/>
        <v>#DIV/0!</v>
      </c>
      <c r="W73" s="160" t="e">
        <f t="shared" si="24"/>
        <v>#VALUE!</v>
      </c>
      <c r="X73" s="152" t="e">
        <f t="shared" si="25"/>
        <v>#DIV/0!</v>
      </c>
      <c r="Y73" s="160" t="e">
        <f t="shared" si="26"/>
        <v>#VALUE!</v>
      </c>
      <c r="Z73" s="3"/>
      <c r="AA73" s="63"/>
      <c r="AB73" s="63"/>
      <c r="AC73" s="63"/>
      <c r="AD73" s="63"/>
      <c r="AE73" s="63"/>
      <c r="AF73" s="63"/>
      <c r="AG73" s="63"/>
      <c r="AH73" s="63"/>
      <c r="AI73" s="1"/>
      <c r="AJ73" s="1"/>
      <c r="AK73" s="1"/>
    </row>
    <row r="74" spans="1:37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159" t="e">
        <f t="shared" si="17"/>
        <v>#VALUE!</v>
      </c>
      <c r="P74" s="211" t="e">
        <f t="shared" si="18"/>
        <v>#N/A</v>
      </c>
      <c r="Q74" s="159" t="e">
        <f t="shared" si="19"/>
        <v>#DIV/0!</v>
      </c>
      <c r="R74" s="159" t="e">
        <f t="shared" si="20"/>
        <v>#DIV/0!</v>
      </c>
      <c r="S74" s="159" t="e">
        <f t="shared" si="21"/>
        <v>#DIV/0!</v>
      </c>
      <c r="T74" s="152" t="e">
        <f t="shared" si="22"/>
        <v>#DIV/0!</v>
      </c>
      <c r="U74" s="160" t="e">
        <f t="shared" si="27"/>
        <v>#VALUE!</v>
      </c>
      <c r="V74" s="152" t="e">
        <f t="shared" si="23"/>
        <v>#DIV/0!</v>
      </c>
      <c r="W74" s="160" t="e">
        <f t="shared" si="24"/>
        <v>#VALUE!</v>
      </c>
      <c r="X74" s="152" t="e">
        <f t="shared" si="25"/>
        <v>#DIV/0!</v>
      </c>
      <c r="Y74" s="160" t="e">
        <f t="shared" si="26"/>
        <v>#VALUE!</v>
      </c>
      <c r="Z74" s="3"/>
      <c r="AA74" s="63"/>
      <c r="AB74" s="63"/>
      <c r="AC74" s="63"/>
      <c r="AD74" s="63"/>
      <c r="AE74" s="63"/>
      <c r="AF74" s="63"/>
      <c r="AG74" s="63"/>
      <c r="AH74" s="63"/>
      <c r="AI74" s="1"/>
      <c r="AJ74" s="1"/>
      <c r="AK74" s="1"/>
    </row>
    <row r="75" spans="1:37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159" t="e">
        <f t="shared" si="17"/>
        <v>#VALUE!</v>
      </c>
      <c r="P75" s="211" t="e">
        <f t="shared" si="18"/>
        <v>#N/A</v>
      </c>
      <c r="Q75" s="159" t="e">
        <f t="shared" si="19"/>
        <v>#DIV/0!</v>
      </c>
      <c r="R75" s="159" t="e">
        <f t="shared" si="20"/>
        <v>#DIV/0!</v>
      </c>
      <c r="S75" s="159" t="e">
        <f t="shared" si="21"/>
        <v>#DIV/0!</v>
      </c>
      <c r="T75" s="152" t="e">
        <f t="shared" si="22"/>
        <v>#DIV/0!</v>
      </c>
      <c r="U75" s="160" t="e">
        <f t="shared" si="27"/>
        <v>#VALUE!</v>
      </c>
      <c r="V75" s="152" t="e">
        <f t="shared" si="23"/>
        <v>#DIV/0!</v>
      </c>
      <c r="W75" s="160" t="e">
        <f t="shared" si="24"/>
        <v>#VALUE!</v>
      </c>
      <c r="X75" s="152" t="e">
        <f t="shared" si="25"/>
        <v>#DIV/0!</v>
      </c>
      <c r="Y75" s="160" t="e">
        <f t="shared" si="26"/>
        <v>#VALUE!</v>
      </c>
      <c r="Z75" s="3"/>
      <c r="AA75" s="63"/>
      <c r="AB75" s="63"/>
      <c r="AC75" s="63"/>
      <c r="AD75" s="63"/>
      <c r="AE75" s="63"/>
      <c r="AF75" s="63"/>
      <c r="AG75" s="63"/>
      <c r="AH75" s="63"/>
      <c r="AI75" s="1"/>
      <c r="AJ75" s="1"/>
      <c r="AK75" s="1"/>
    </row>
    <row r="76" spans="1:37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159" t="e">
        <f t="shared" si="17"/>
        <v>#VALUE!</v>
      </c>
      <c r="P76" s="211" t="e">
        <f t="shared" si="18"/>
        <v>#N/A</v>
      </c>
      <c r="Q76" s="159" t="e">
        <f t="shared" si="19"/>
        <v>#DIV/0!</v>
      </c>
      <c r="R76" s="159" t="e">
        <f t="shared" si="20"/>
        <v>#DIV/0!</v>
      </c>
      <c r="S76" s="159" t="e">
        <f t="shared" si="21"/>
        <v>#DIV/0!</v>
      </c>
      <c r="T76" s="152" t="e">
        <f t="shared" si="22"/>
        <v>#DIV/0!</v>
      </c>
      <c r="U76" s="160" t="e">
        <f t="shared" si="27"/>
        <v>#VALUE!</v>
      </c>
      <c r="V76" s="152" t="e">
        <f t="shared" si="23"/>
        <v>#DIV/0!</v>
      </c>
      <c r="W76" s="160" t="e">
        <f t="shared" si="24"/>
        <v>#VALUE!</v>
      </c>
      <c r="X76" s="152" t="e">
        <f t="shared" si="25"/>
        <v>#DIV/0!</v>
      </c>
      <c r="Y76" s="160" t="e">
        <f t="shared" si="26"/>
        <v>#VALUE!</v>
      </c>
      <c r="Z76" s="3"/>
      <c r="AA76" s="63"/>
      <c r="AB76" s="63"/>
      <c r="AC76" s="63"/>
      <c r="AD76" s="63"/>
      <c r="AE76" s="63"/>
      <c r="AF76" s="63"/>
      <c r="AG76" s="63"/>
      <c r="AH76" s="63"/>
      <c r="AI76" s="1"/>
      <c r="AJ76" s="1"/>
      <c r="AK76" s="1"/>
    </row>
    <row r="77" spans="1:37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159" t="e">
        <f t="shared" si="17"/>
        <v>#VALUE!</v>
      </c>
      <c r="P77" s="211" t="e">
        <f t="shared" si="18"/>
        <v>#N/A</v>
      </c>
      <c r="Q77" s="159" t="e">
        <f t="shared" si="19"/>
        <v>#DIV/0!</v>
      </c>
      <c r="R77" s="159" t="e">
        <f t="shared" si="20"/>
        <v>#DIV/0!</v>
      </c>
      <c r="S77" s="159" t="e">
        <f t="shared" si="21"/>
        <v>#DIV/0!</v>
      </c>
      <c r="T77" s="152" t="e">
        <f t="shared" si="22"/>
        <v>#DIV/0!</v>
      </c>
      <c r="U77" s="160" t="e">
        <f t="shared" si="27"/>
        <v>#VALUE!</v>
      </c>
      <c r="V77" s="152" t="e">
        <f t="shared" si="23"/>
        <v>#DIV/0!</v>
      </c>
      <c r="W77" s="160" t="e">
        <f t="shared" si="24"/>
        <v>#VALUE!</v>
      </c>
      <c r="X77" s="152" t="e">
        <f t="shared" si="25"/>
        <v>#DIV/0!</v>
      </c>
      <c r="Y77" s="160" t="e">
        <f t="shared" si="26"/>
        <v>#VALUE!</v>
      </c>
      <c r="Z77" s="3"/>
      <c r="AA77" s="63"/>
      <c r="AB77" s="63"/>
      <c r="AC77" s="63"/>
      <c r="AD77" s="63"/>
      <c r="AE77" s="63"/>
      <c r="AF77" s="63"/>
      <c r="AG77" s="63"/>
      <c r="AH77" s="63"/>
      <c r="AI77" s="1"/>
      <c r="AJ77" s="1"/>
      <c r="AK77" s="1"/>
    </row>
    <row r="78" spans="1:37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159" t="e">
        <f t="shared" si="17"/>
        <v>#VALUE!</v>
      </c>
      <c r="P78" s="211" t="e">
        <f t="shared" si="18"/>
        <v>#N/A</v>
      </c>
      <c r="Q78" s="159" t="e">
        <f t="shared" si="19"/>
        <v>#DIV/0!</v>
      </c>
      <c r="R78" s="159" t="e">
        <f t="shared" si="20"/>
        <v>#DIV/0!</v>
      </c>
      <c r="S78" s="159" t="e">
        <f t="shared" si="21"/>
        <v>#DIV/0!</v>
      </c>
      <c r="T78" s="152" t="e">
        <f t="shared" si="22"/>
        <v>#DIV/0!</v>
      </c>
      <c r="U78" s="160" t="e">
        <f t="shared" si="27"/>
        <v>#VALUE!</v>
      </c>
      <c r="V78" s="152" t="e">
        <f t="shared" si="23"/>
        <v>#DIV/0!</v>
      </c>
      <c r="W78" s="160" t="e">
        <f t="shared" si="24"/>
        <v>#VALUE!</v>
      </c>
      <c r="X78" s="152" t="e">
        <f t="shared" si="25"/>
        <v>#DIV/0!</v>
      </c>
      <c r="Y78" s="160" t="e">
        <f t="shared" si="26"/>
        <v>#VALUE!</v>
      </c>
      <c r="Z78" s="3"/>
      <c r="AA78" s="63"/>
      <c r="AB78" s="63"/>
      <c r="AC78" s="63"/>
      <c r="AD78" s="63"/>
      <c r="AE78" s="63"/>
      <c r="AF78" s="63"/>
      <c r="AG78" s="63"/>
      <c r="AH78" s="63"/>
      <c r="AI78" s="1"/>
      <c r="AJ78" s="1"/>
      <c r="AK78" s="1"/>
    </row>
    <row r="79" spans="1:37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159" t="e">
        <f t="shared" si="17"/>
        <v>#VALUE!</v>
      </c>
      <c r="P79" s="211" t="e">
        <f t="shared" si="18"/>
        <v>#N/A</v>
      </c>
      <c r="Q79" s="159" t="e">
        <f t="shared" si="19"/>
        <v>#DIV/0!</v>
      </c>
      <c r="R79" s="159" t="e">
        <f t="shared" si="20"/>
        <v>#DIV/0!</v>
      </c>
      <c r="S79" s="159" t="e">
        <f t="shared" si="21"/>
        <v>#DIV/0!</v>
      </c>
      <c r="T79" s="152" t="e">
        <f t="shared" si="22"/>
        <v>#DIV/0!</v>
      </c>
      <c r="U79" s="160" t="e">
        <f t="shared" si="27"/>
        <v>#VALUE!</v>
      </c>
      <c r="V79" s="152" t="e">
        <f t="shared" si="23"/>
        <v>#DIV/0!</v>
      </c>
      <c r="W79" s="160" t="e">
        <f t="shared" si="24"/>
        <v>#VALUE!</v>
      </c>
      <c r="X79" s="152" t="e">
        <f t="shared" si="25"/>
        <v>#DIV/0!</v>
      </c>
      <c r="Y79" s="160" t="e">
        <f t="shared" si="26"/>
        <v>#VALUE!</v>
      </c>
      <c r="Z79" s="3"/>
      <c r="AA79" s="63"/>
      <c r="AB79" s="63"/>
      <c r="AC79" s="63"/>
      <c r="AD79" s="63"/>
      <c r="AE79" s="63"/>
      <c r="AF79" s="63"/>
      <c r="AG79" s="63"/>
      <c r="AH79" s="63"/>
      <c r="AI79" s="1"/>
      <c r="AJ79" s="1"/>
      <c r="AK79" s="1"/>
    </row>
    <row r="80" spans="1:37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159" t="e">
        <f t="shared" si="17"/>
        <v>#VALUE!</v>
      </c>
      <c r="P80" s="211" t="e">
        <f t="shared" si="18"/>
        <v>#N/A</v>
      </c>
      <c r="Q80" s="159" t="e">
        <f t="shared" si="19"/>
        <v>#DIV/0!</v>
      </c>
      <c r="R80" s="159" t="e">
        <f t="shared" si="20"/>
        <v>#DIV/0!</v>
      </c>
      <c r="S80" s="159" t="e">
        <f t="shared" si="21"/>
        <v>#DIV/0!</v>
      </c>
      <c r="T80" s="152" t="e">
        <f t="shared" si="22"/>
        <v>#DIV/0!</v>
      </c>
      <c r="U80" s="160" t="e">
        <f t="shared" si="27"/>
        <v>#VALUE!</v>
      </c>
      <c r="V80" s="152" t="e">
        <f t="shared" si="23"/>
        <v>#DIV/0!</v>
      </c>
      <c r="W80" s="160" t="e">
        <f t="shared" si="24"/>
        <v>#VALUE!</v>
      </c>
      <c r="X80" s="152" t="e">
        <f t="shared" si="25"/>
        <v>#DIV/0!</v>
      </c>
      <c r="Y80" s="160" t="e">
        <f t="shared" si="26"/>
        <v>#VALUE!</v>
      </c>
      <c r="Z80" s="3"/>
      <c r="AA80" s="63"/>
      <c r="AB80" s="63"/>
      <c r="AC80" s="63"/>
      <c r="AD80" s="63"/>
      <c r="AE80" s="63"/>
      <c r="AF80" s="63"/>
      <c r="AG80" s="63"/>
      <c r="AH80" s="63"/>
      <c r="AI80" s="1"/>
      <c r="AJ80" s="1"/>
      <c r="AK80" s="1"/>
    </row>
    <row r="81" spans="1:37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159" t="e">
        <f t="shared" si="17"/>
        <v>#VALUE!</v>
      </c>
      <c r="P81" s="211" t="e">
        <f t="shared" si="18"/>
        <v>#N/A</v>
      </c>
      <c r="Q81" s="159" t="e">
        <f t="shared" si="19"/>
        <v>#DIV/0!</v>
      </c>
      <c r="R81" s="159" t="e">
        <f t="shared" si="20"/>
        <v>#DIV/0!</v>
      </c>
      <c r="S81" s="159" t="e">
        <f t="shared" si="21"/>
        <v>#DIV/0!</v>
      </c>
      <c r="T81" s="152" t="e">
        <f t="shared" si="22"/>
        <v>#DIV/0!</v>
      </c>
      <c r="U81" s="160" t="e">
        <f t="shared" si="27"/>
        <v>#VALUE!</v>
      </c>
      <c r="V81" s="152" t="e">
        <f t="shared" si="23"/>
        <v>#DIV/0!</v>
      </c>
      <c r="W81" s="160" t="e">
        <f t="shared" si="24"/>
        <v>#VALUE!</v>
      </c>
      <c r="X81" s="152" t="e">
        <f t="shared" si="25"/>
        <v>#DIV/0!</v>
      </c>
      <c r="Y81" s="160" t="e">
        <f t="shared" si="26"/>
        <v>#VALUE!</v>
      </c>
      <c r="Z81" s="3"/>
      <c r="AA81" s="63"/>
      <c r="AB81" s="63"/>
      <c r="AC81" s="63"/>
      <c r="AD81" s="63"/>
      <c r="AE81" s="63"/>
      <c r="AF81" s="63"/>
      <c r="AG81" s="63"/>
      <c r="AH81" s="63"/>
      <c r="AI81" s="1"/>
      <c r="AJ81" s="1"/>
      <c r="AK81" s="1"/>
    </row>
    <row r="82" spans="1:37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159" t="e">
        <f t="shared" si="17"/>
        <v>#VALUE!</v>
      </c>
      <c r="P82" s="211" t="e">
        <f t="shared" si="18"/>
        <v>#N/A</v>
      </c>
      <c r="Q82" s="159" t="e">
        <f t="shared" si="19"/>
        <v>#DIV/0!</v>
      </c>
      <c r="R82" s="159" t="e">
        <f t="shared" si="20"/>
        <v>#DIV/0!</v>
      </c>
      <c r="S82" s="159" t="e">
        <f t="shared" si="21"/>
        <v>#DIV/0!</v>
      </c>
      <c r="T82" s="152" t="e">
        <f t="shared" si="22"/>
        <v>#DIV/0!</v>
      </c>
      <c r="U82" s="160" t="e">
        <f t="shared" si="27"/>
        <v>#VALUE!</v>
      </c>
      <c r="V82" s="152" t="e">
        <f t="shared" si="23"/>
        <v>#DIV/0!</v>
      </c>
      <c r="W82" s="160" t="e">
        <f t="shared" si="24"/>
        <v>#VALUE!</v>
      </c>
      <c r="X82" s="152" t="e">
        <f t="shared" si="25"/>
        <v>#DIV/0!</v>
      </c>
      <c r="Y82" s="160" t="e">
        <f t="shared" si="26"/>
        <v>#VALUE!</v>
      </c>
      <c r="Z82" s="3"/>
      <c r="AA82" s="63"/>
      <c r="AB82" s="63"/>
      <c r="AC82" s="63"/>
      <c r="AD82" s="63"/>
      <c r="AE82" s="63"/>
      <c r="AF82" s="63"/>
      <c r="AG82" s="63"/>
      <c r="AH82" s="63"/>
      <c r="AI82" s="1"/>
      <c r="AJ82" s="1"/>
      <c r="AK82" s="1"/>
    </row>
    <row r="83" spans="1:37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159" t="e">
        <f t="shared" si="17"/>
        <v>#VALUE!</v>
      </c>
      <c r="P83" s="211" t="e">
        <f t="shared" si="18"/>
        <v>#N/A</v>
      </c>
      <c r="Q83" s="159" t="e">
        <f t="shared" si="19"/>
        <v>#DIV/0!</v>
      </c>
      <c r="R83" s="159" t="e">
        <f t="shared" si="20"/>
        <v>#DIV/0!</v>
      </c>
      <c r="S83" s="159" t="e">
        <f t="shared" si="21"/>
        <v>#DIV/0!</v>
      </c>
      <c r="T83" s="152" t="e">
        <f t="shared" si="22"/>
        <v>#DIV/0!</v>
      </c>
      <c r="U83" s="160" t="e">
        <f t="shared" si="27"/>
        <v>#VALUE!</v>
      </c>
      <c r="V83" s="152" t="e">
        <f t="shared" si="23"/>
        <v>#DIV/0!</v>
      </c>
      <c r="W83" s="160" t="e">
        <f t="shared" si="24"/>
        <v>#VALUE!</v>
      </c>
      <c r="X83" s="152" t="e">
        <f t="shared" si="25"/>
        <v>#DIV/0!</v>
      </c>
      <c r="Y83" s="160" t="e">
        <f t="shared" si="26"/>
        <v>#VALUE!</v>
      </c>
      <c r="Z83" s="3"/>
      <c r="AA83" s="63"/>
      <c r="AB83" s="63"/>
      <c r="AC83" s="63"/>
      <c r="AD83" s="63"/>
      <c r="AE83" s="63"/>
      <c r="AF83" s="63"/>
      <c r="AG83" s="63"/>
      <c r="AH83" s="63"/>
      <c r="AI83" s="1"/>
      <c r="AJ83" s="1"/>
      <c r="AK83" s="1"/>
    </row>
    <row r="84" spans="1:37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159" t="e">
        <f t="shared" si="17"/>
        <v>#VALUE!</v>
      </c>
      <c r="P84" s="211" t="e">
        <f t="shared" si="18"/>
        <v>#N/A</v>
      </c>
      <c r="Q84" s="159" t="e">
        <f t="shared" si="19"/>
        <v>#DIV/0!</v>
      </c>
      <c r="R84" s="159" t="e">
        <f t="shared" si="20"/>
        <v>#DIV/0!</v>
      </c>
      <c r="S84" s="159" t="e">
        <f t="shared" si="21"/>
        <v>#DIV/0!</v>
      </c>
      <c r="T84" s="152" t="e">
        <f t="shared" si="22"/>
        <v>#DIV/0!</v>
      </c>
      <c r="U84" s="160" t="e">
        <f t="shared" si="27"/>
        <v>#VALUE!</v>
      </c>
      <c r="V84" s="152" t="e">
        <f t="shared" si="23"/>
        <v>#DIV/0!</v>
      </c>
      <c r="W84" s="160" t="e">
        <f t="shared" si="24"/>
        <v>#VALUE!</v>
      </c>
      <c r="X84" s="152" t="e">
        <f t="shared" si="25"/>
        <v>#DIV/0!</v>
      </c>
      <c r="Y84" s="160" t="e">
        <f t="shared" si="26"/>
        <v>#VALUE!</v>
      </c>
      <c r="Z84" s="3"/>
      <c r="AA84" s="63"/>
      <c r="AB84" s="63"/>
      <c r="AC84" s="63"/>
      <c r="AD84" s="63"/>
      <c r="AE84" s="63"/>
      <c r="AF84" s="63"/>
      <c r="AG84" s="63"/>
      <c r="AH84" s="63"/>
      <c r="AI84" s="1"/>
      <c r="AJ84" s="1"/>
      <c r="AK84" s="1"/>
    </row>
    <row r="85" spans="1:37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159" t="e">
        <f t="shared" si="17"/>
        <v>#VALUE!</v>
      </c>
      <c r="P85" s="211" t="e">
        <f t="shared" si="18"/>
        <v>#N/A</v>
      </c>
      <c r="Q85" s="159" t="e">
        <f t="shared" si="19"/>
        <v>#DIV/0!</v>
      </c>
      <c r="R85" s="159" t="e">
        <f t="shared" si="20"/>
        <v>#DIV/0!</v>
      </c>
      <c r="S85" s="159" t="e">
        <f t="shared" si="21"/>
        <v>#DIV/0!</v>
      </c>
      <c r="T85" s="152" t="e">
        <f t="shared" si="22"/>
        <v>#DIV/0!</v>
      </c>
      <c r="U85" s="160" t="e">
        <f t="shared" si="27"/>
        <v>#VALUE!</v>
      </c>
      <c r="V85" s="152" t="e">
        <f t="shared" si="23"/>
        <v>#DIV/0!</v>
      </c>
      <c r="W85" s="160" t="e">
        <f t="shared" si="24"/>
        <v>#VALUE!</v>
      </c>
      <c r="X85" s="152" t="e">
        <f t="shared" si="25"/>
        <v>#DIV/0!</v>
      </c>
      <c r="Y85" s="160" t="e">
        <f t="shared" si="26"/>
        <v>#VALUE!</v>
      </c>
      <c r="Z85" s="3"/>
      <c r="AA85" s="63"/>
      <c r="AB85" s="63"/>
      <c r="AC85" s="63"/>
      <c r="AD85" s="63"/>
      <c r="AE85" s="63"/>
      <c r="AF85" s="63"/>
      <c r="AG85" s="63"/>
      <c r="AH85" s="63"/>
      <c r="AI85" s="1"/>
      <c r="AJ85" s="1"/>
      <c r="AK85" s="1"/>
    </row>
    <row r="86" spans="1:37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159" t="e">
        <f t="shared" si="17"/>
        <v>#VALUE!</v>
      </c>
      <c r="P86" s="211" t="e">
        <f t="shared" si="18"/>
        <v>#N/A</v>
      </c>
      <c r="Q86" s="159" t="e">
        <f t="shared" si="19"/>
        <v>#DIV/0!</v>
      </c>
      <c r="R86" s="159" t="e">
        <f t="shared" si="20"/>
        <v>#DIV/0!</v>
      </c>
      <c r="S86" s="159" t="e">
        <f t="shared" si="21"/>
        <v>#DIV/0!</v>
      </c>
      <c r="T86" s="152" t="e">
        <f t="shared" si="22"/>
        <v>#DIV/0!</v>
      </c>
      <c r="U86" s="160" t="e">
        <f t="shared" si="27"/>
        <v>#VALUE!</v>
      </c>
      <c r="V86" s="152" t="e">
        <f t="shared" si="23"/>
        <v>#DIV/0!</v>
      </c>
      <c r="W86" s="160" t="e">
        <f t="shared" si="24"/>
        <v>#VALUE!</v>
      </c>
      <c r="X86" s="152" t="e">
        <f t="shared" si="25"/>
        <v>#DIV/0!</v>
      </c>
      <c r="Y86" s="160" t="e">
        <f t="shared" si="26"/>
        <v>#VALUE!</v>
      </c>
      <c r="Z86" s="3"/>
      <c r="AA86" s="63"/>
      <c r="AB86" s="63"/>
      <c r="AC86" s="63"/>
      <c r="AD86" s="63"/>
      <c r="AE86" s="63"/>
      <c r="AF86" s="63"/>
      <c r="AG86" s="63"/>
      <c r="AH86" s="63"/>
      <c r="AI86" s="1"/>
      <c r="AJ86" s="1"/>
      <c r="AK86" s="1"/>
    </row>
    <row r="87" spans="1:37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159" t="e">
        <f t="shared" si="17"/>
        <v>#VALUE!</v>
      </c>
      <c r="P87" s="211" t="e">
        <f t="shared" si="18"/>
        <v>#N/A</v>
      </c>
      <c r="Q87" s="159" t="e">
        <f t="shared" si="19"/>
        <v>#DIV/0!</v>
      </c>
      <c r="R87" s="159" t="e">
        <f t="shared" si="20"/>
        <v>#DIV/0!</v>
      </c>
      <c r="S87" s="159" t="e">
        <f t="shared" si="21"/>
        <v>#DIV/0!</v>
      </c>
      <c r="T87" s="152" t="e">
        <f t="shared" si="22"/>
        <v>#DIV/0!</v>
      </c>
      <c r="U87" s="160" t="e">
        <f t="shared" si="27"/>
        <v>#VALUE!</v>
      </c>
      <c r="V87" s="152" t="e">
        <f t="shared" si="23"/>
        <v>#DIV/0!</v>
      </c>
      <c r="W87" s="160" t="e">
        <f t="shared" si="24"/>
        <v>#VALUE!</v>
      </c>
      <c r="X87" s="152" t="e">
        <f t="shared" si="25"/>
        <v>#DIV/0!</v>
      </c>
      <c r="Y87" s="160" t="e">
        <f t="shared" si="26"/>
        <v>#VALUE!</v>
      </c>
      <c r="Z87" s="3"/>
      <c r="AA87" s="63"/>
      <c r="AB87" s="63"/>
      <c r="AC87" s="63"/>
      <c r="AD87" s="63"/>
      <c r="AE87" s="63"/>
      <c r="AF87" s="63"/>
      <c r="AG87" s="63"/>
      <c r="AH87" s="63"/>
      <c r="AI87" s="1"/>
      <c r="AJ87" s="1"/>
      <c r="AK87" s="1"/>
    </row>
    <row r="88" spans="1:37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159" t="e">
        <f t="shared" si="17"/>
        <v>#VALUE!</v>
      </c>
      <c r="P88" s="211" t="e">
        <f t="shared" si="18"/>
        <v>#N/A</v>
      </c>
      <c r="Q88" s="159" t="e">
        <f t="shared" si="19"/>
        <v>#DIV/0!</v>
      </c>
      <c r="R88" s="159" t="e">
        <f t="shared" si="20"/>
        <v>#DIV/0!</v>
      </c>
      <c r="S88" s="159" t="e">
        <f t="shared" si="21"/>
        <v>#DIV/0!</v>
      </c>
      <c r="T88" s="152" t="e">
        <f t="shared" si="22"/>
        <v>#DIV/0!</v>
      </c>
      <c r="U88" s="160" t="e">
        <f t="shared" si="27"/>
        <v>#VALUE!</v>
      </c>
      <c r="V88" s="152" t="e">
        <f t="shared" si="23"/>
        <v>#DIV/0!</v>
      </c>
      <c r="W88" s="160" t="e">
        <f t="shared" si="24"/>
        <v>#VALUE!</v>
      </c>
      <c r="X88" s="152" t="e">
        <f t="shared" si="25"/>
        <v>#DIV/0!</v>
      </c>
      <c r="Y88" s="160" t="e">
        <f t="shared" si="26"/>
        <v>#VALUE!</v>
      </c>
      <c r="Z88" s="3"/>
      <c r="AA88" s="63"/>
      <c r="AB88" s="63"/>
      <c r="AC88" s="63"/>
      <c r="AD88" s="63"/>
      <c r="AE88" s="63"/>
      <c r="AF88" s="63"/>
      <c r="AG88" s="63"/>
      <c r="AH88" s="63"/>
      <c r="AI88" s="1"/>
      <c r="AJ88" s="1"/>
      <c r="AK88" s="1"/>
    </row>
    <row r="89" spans="1:37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159" t="e">
        <f t="shared" si="17"/>
        <v>#VALUE!</v>
      </c>
      <c r="P89" s="211" t="e">
        <f t="shared" si="18"/>
        <v>#N/A</v>
      </c>
      <c r="Q89" s="159" t="e">
        <f t="shared" si="19"/>
        <v>#DIV/0!</v>
      </c>
      <c r="R89" s="159" t="e">
        <f t="shared" si="20"/>
        <v>#DIV/0!</v>
      </c>
      <c r="S89" s="159" t="e">
        <f t="shared" si="21"/>
        <v>#DIV/0!</v>
      </c>
      <c r="T89" s="152" t="e">
        <f t="shared" si="22"/>
        <v>#DIV/0!</v>
      </c>
      <c r="U89" s="160" t="e">
        <f t="shared" si="27"/>
        <v>#VALUE!</v>
      </c>
      <c r="V89" s="152" t="e">
        <f t="shared" si="23"/>
        <v>#DIV/0!</v>
      </c>
      <c r="W89" s="160" t="e">
        <f t="shared" si="24"/>
        <v>#VALUE!</v>
      </c>
      <c r="X89" s="152" t="e">
        <f t="shared" si="25"/>
        <v>#DIV/0!</v>
      </c>
      <c r="Y89" s="160" t="e">
        <f t="shared" si="26"/>
        <v>#VALUE!</v>
      </c>
      <c r="Z89" s="3"/>
      <c r="AA89" s="63"/>
      <c r="AB89" s="63"/>
      <c r="AC89" s="63"/>
      <c r="AD89" s="63"/>
      <c r="AE89" s="63"/>
      <c r="AF89" s="63"/>
      <c r="AG89" s="63"/>
      <c r="AH89" s="63"/>
      <c r="AI89" s="1"/>
      <c r="AJ89" s="1"/>
      <c r="AK89" s="1"/>
    </row>
    <row r="90" spans="1:37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159" t="e">
        <f t="shared" si="17"/>
        <v>#VALUE!</v>
      </c>
      <c r="P90" s="211" t="e">
        <f t="shared" si="18"/>
        <v>#N/A</v>
      </c>
      <c r="Q90" s="159" t="e">
        <f t="shared" si="19"/>
        <v>#DIV/0!</v>
      </c>
      <c r="R90" s="159" t="e">
        <f t="shared" si="20"/>
        <v>#DIV/0!</v>
      </c>
      <c r="S90" s="159" t="e">
        <f t="shared" si="21"/>
        <v>#DIV/0!</v>
      </c>
      <c r="T90" s="152" t="e">
        <f t="shared" si="22"/>
        <v>#DIV/0!</v>
      </c>
      <c r="U90" s="160" t="e">
        <f t="shared" si="27"/>
        <v>#VALUE!</v>
      </c>
      <c r="V90" s="152" t="e">
        <f t="shared" si="23"/>
        <v>#DIV/0!</v>
      </c>
      <c r="W90" s="160" t="e">
        <f t="shared" si="24"/>
        <v>#VALUE!</v>
      </c>
      <c r="X90" s="152" t="e">
        <f t="shared" si="25"/>
        <v>#DIV/0!</v>
      </c>
      <c r="Y90" s="160" t="e">
        <f t="shared" si="26"/>
        <v>#VALUE!</v>
      </c>
      <c r="Z90" s="3"/>
      <c r="AA90" s="63"/>
      <c r="AB90" s="63"/>
      <c r="AC90" s="63"/>
      <c r="AD90" s="63"/>
      <c r="AE90" s="63"/>
      <c r="AF90" s="63"/>
      <c r="AG90" s="63"/>
      <c r="AH90" s="63"/>
      <c r="AI90" s="1"/>
      <c r="AJ90" s="1"/>
      <c r="AK90" s="1"/>
    </row>
    <row r="91" spans="1:37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159" t="e">
        <f t="shared" si="17"/>
        <v>#VALUE!</v>
      </c>
      <c r="P91" s="211" t="e">
        <f t="shared" si="18"/>
        <v>#N/A</v>
      </c>
      <c r="Q91" s="159" t="e">
        <f t="shared" si="19"/>
        <v>#DIV/0!</v>
      </c>
      <c r="R91" s="159" t="e">
        <f t="shared" si="20"/>
        <v>#DIV/0!</v>
      </c>
      <c r="S91" s="159" t="e">
        <f t="shared" si="21"/>
        <v>#DIV/0!</v>
      </c>
      <c r="T91" s="152" t="e">
        <f t="shared" si="22"/>
        <v>#DIV/0!</v>
      </c>
      <c r="U91" s="160" t="e">
        <f t="shared" si="27"/>
        <v>#VALUE!</v>
      </c>
      <c r="V91" s="152" t="e">
        <f t="shared" si="23"/>
        <v>#DIV/0!</v>
      </c>
      <c r="W91" s="160" t="e">
        <f t="shared" si="24"/>
        <v>#VALUE!</v>
      </c>
      <c r="X91" s="152" t="e">
        <f t="shared" si="25"/>
        <v>#DIV/0!</v>
      </c>
      <c r="Y91" s="160" t="e">
        <f t="shared" si="26"/>
        <v>#VALUE!</v>
      </c>
      <c r="Z91" s="3"/>
      <c r="AA91" s="63"/>
      <c r="AB91" s="63"/>
      <c r="AC91" s="63"/>
      <c r="AD91" s="63"/>
      <c r="AE91" s="63"/>
      <c r="AF91" s="63"/>
      <c r="AG91" s="63"/>
      <c r="AH91" s="63"/>
      <c r="AI91" s="1"/>
      <c r="AJ91" s="1"/>
      <c r="AK91" s="1"/>
    </row>
    <row r="92" spans="1:37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159" t="e">
        <f t="shared" si="17"/>
        <v>#VALUE!</v>
      </c>
      <c r="P92" s="211" t="e">
        <f t="shared" si="18"/>
        <v>#N/A</v>
      </c>
      <c r="Q92" s="159" t="e">
        <f t="shared" si="19"/>
        <v>#DIV/0!</v>
      </c>
      <c r="R92" s="159" t="e">
        <f t="shared" si="20"/>
        <v>#DIV/0!</v>
      </c>
      <c r="S92" s="159" t="e">
        <f t="shared" si="21"/>
        <v>#DIV/0!</v>
      </c>
      <c r="T92" s="152" t="e">
        <f t="shared" si="22"/>
        <v>#DIV/0!</v>
      </c>
      <c r="U92" s="160" t="e">
        <f t="shared" si="27"/>
        <v>#VALUE!</v>
      </c>
      <c r="V92" s="152" t="e">
        <f t="shared" si="23"/>
        <v>#DIV/0!</v>
      </c>
      <c r="W92" s="160" t="e">
        <f t="shared" si="24"/>
        <v>#VALUE!</v>
      </c>
      <c r="X92" s="152" t="e">
        <f t="shared" si="25"/>
        <v>#DIV/0!</v>
      </c>
      <c r="Y92" s="160" t="e">
        <f t="shared" si="26"/>
        <v>#VALUE!</v>
      </c>
      <c r="Z92" s="3"/>
      <c r="AA92" s="63"/>
      <c r="AB92" s="63"/>
      <c r="AC92" s="63"/>
      <c r="AD92" s="63"/>
      <c r="AE92" s="63"/>
      <c r="AF92" s="63"/>
      <c r="AG92" s="63"/>
      <c r="AH92" s="63"/>
      <c r="AI92" s="1"/>
      <c r="AJ92" s="1"/>
      <c r="AK92" s="1"/>
    </row>
    <row r="93" spans="1:37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159" t="e">
        <f t="shared" si="17"/>
        <v>#VALUE!</v>
      </c>
      <c r="P93" s="211" t="e">
        <f t="shared" si="18"/>
        <v>#N/A</v>
      </c>
      <c r="Q93" s="159" t="e">
        <f t="shared" si="19"/>
        <v>#DIV/0!</v>
      </c>
      <c r="R93" s="159" t="e">
        <f t="shared" si="20"/>
        <v>#DIV/0!</v>
      </c>
      <c r="S93" s="159" t="e">
        <f t="shared" si="21"/>
        <v>#DIV/0!</v>
      </c>
      <c r="T93" s="152" t="e">
        <f t="shared" si="22"/>
        <v>#DIV/0!</v>
      </c>
      <c r="U93" s="160" t="e">
        <f t="shared" si="27"/>
        <v>#VALUE!</v>
      </c>
      <c r="V93" s="152" t="e">
        <f t="shared" si="23"/>
        <v>#DIV/0!</v>
      </c>
      <c r="W93" s="160" t="e">
        <f t="shared" si="24"/>
        <v>#VALUE!</v>
      </c>
      <c r="X93" s="152" t="e">
        <f t="shared" si="25"/>
        <v>#DIV/0!</v>
      </c>
      <c r="Y93" s="160" t="e">
        <f t="shared" si="26"/>
        <v>#VALUE!</v>
      </c>
      <c r="Z93" s="3"/>
      <c r="AA93" s="63"/>
      <c r="AB93" s="63"/>
      <c r="AC93" s="63"/>
      <c r="AD93" s="63"/>
      <c r="AE93" s="63"/>
      <c r="AF93" s="63"/>
      <c r="AG93" s="63"/>
      <c r="AH93" s="63"/>
      <c r="AI93" s="1"/>
      <c r="AJ93" s="1"/>
      <c r="AK93" s="1"/>
    </row>
    <row r="94" spans="1:37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159" t="e">
        <f t="shared" si="17"/>
        <v>#VALUE!</v>
      </c>
      <c r="P94" s="211" t="e">
        <f t="shared" si="18"/>
        <v>#N/A</v>
      </c>
      <c r="Q94" s="159" t="e">
        <f t="shared" si="19"/>
        <v>#DIV/0!</v>
      </c>
      <c r="R94" s="159" t="e">
        <f t="shared" si="20"/>
        <v>#DIV/0!</v>
      </c>
      <c r="S94" s="159" t="e">
        <f t="shared" si="21"/>
        <v>#DIV/0!</v>
      </c>
      <c r="T94" s="152" t="e">
        <f t="shared" si="22"/>
        <v>#DIV/0!</v>
      </c>
      <c r="U94" s="160" t="e">
        <f t="shared" si="27"/>
        <v>#VALUE!</v>
      </c>
      <c r="V94" s="152" t="e">
        <f t="shared" si="23"/>
        <v>#DIV/0!</v>
      </c>
      <c r="W94" s="160" t="e">
        <f t="shared" si="24"/>
        <v>#VALUE!</v>
      </c>
      <c r="X94" s="152" t="e">
        <f t="shared" si="25"/>
        <v>#DIV/0!</v>
      </c>
      <c r="Y94" s="160" t="e">
        <f t="shared" si="26"/>
        <v>#VALUE!</v>
      </c>
      <c r="Z94" s="3"/>
      <c r="AA94" s="63"/>
      <c r="AB94" s="63"/>
      <c r="AC94" s="63"/>
      <c r="AD94" s="63"/>
      <c r="AE94" s="63"/>
      <c r="AF94" s="63"/>
      <c r="AG94" s="63"/>
      <c r="AH94" s="63"/>
      <c r="AI94" s="1"/>
      <c r="AJ94" s="1"/>
      <c r="AK94" s="1"/>
    </row>
    <row r="95" spans="1:37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159" t="e">
        <f t="shared" si="17"/>
        <v>#VALUE!</v>
      </c>
      <c r="P95" s="211" t="e">
        <f t="shared" si="18"/>
        <v>#N/A</v>
      </c>
      <c r="Q95" s="159" t="e">
        <f t="shared" si="19"/>
        <v>#DIV/0!</v>
      </c>
      <c r="R95" s="159" t="e">
        <f t="shared" si="20"/>
        <v>#DIV/0!</v>
      </c>
      <c r="S95" s="159" t="e">
        <f t="shared" si="21"/>
        <v>#DIV/0!</v>
      </c>
      <c r="T95" s="152" t="e">
        <f t="shared" si="22"/>
        <v>#DIV/0!</v>
      </c>
      <c r="U95" s="160" t="e">
        <f t="shared" si="27"/>
        <v>#VALUE!</v>
      </c>
      <c r="V95" s="152" t="e">
        <f t="shared" si="23"/>
        <v>#DIV/0!</v>
      </c>
      <c r="W95" s="160" t="e">
        <f t="shared" si="24"/>
        <v>#VALUE!</v>
      </c>
      <c r="X95" s="152" t="e">
        <f t="shared" si="25"/>
        <v>#DIV/0!</v>
      </c>
      <c r="Y95" s="160" t="e">
        <f t="shared" si="26"/>
        <v>#VALUE!</v>
      </c>
      <c r="Z95" s="3"/>
      <c r="AA95" s="63"/>
      <c r="AB95" s="63"/>
      <c r="AC95" s="63"/>
      <c r="AD95" s="63"/>
      <c r="AE95" s="63"/>
      <c r="AF95" s="63"/>
      <c r="AG95" s="63"/>
      <c r="AH95" s="63"/>
      <c r="AI95" s="1"/>
      <c r="AJ95" s="1"/>
      <c r="AK95" s="1"/>
    </row>
    <row r="96" spans="1:37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159" t="e">
        <f t="shared" si="17"/>
        <v>#VALUE!</v>
      </c>
      <c r="P96" s="211" t="e">
        <f t="shared" si="18"/>
        <v>#N/A</v>
      </c>
      <c r="Q96" s="159" t="e">
        <f t="shared" si="19"/>
        <v>#DIV/0!</v>
      </c>
      <c r="R96" s="159" t="e">
        <f t="shared" si="20"/>
        <v>#DIV/0!</v>
      </c>
      <c r="S96" s="159" t="e">
        <f t="shared" si="21"/>
        <v>#DIV/0!</v>
      </c>
      <c r="T96" s="152" t="e">
        <f t="shared" si="22"/>
        <v>#DIV/0!</v>
      </c>
      <c r="U96" s="160" t="e">
        <f t="shared" si="27"/>
        <v>#VALUE!</v>
      </c>
      <c r="V96" s="152" t="e">
        <f t="shared" si="23"/>
        <v>#DIV/0!</v>
      </c>
      <c r="W96" s="160" t="e">
        <f t="shared" si="24"/>
        <v>#VALUE!</v>
      </c>
      <c r="X96" s="152" t="e">
        <f t="shared" si="25"/>
        <v>#DIV/0!</v>
      </c>
      <c r="Y96" s="160" t="e">
        <f t="shared" si="26"/>
        <v>#VALUE!</v>
      </c>
      <c r="Z96" s="3"/>
      <c r="AA96" s="63"/>
      <c r="AB96" s="63"/>
      <c r="AC96" s="63"/>
      <c r="AD96" s="63"/>
      <c r="AE96" s="63"/>
      <c r="AF96" s="63"/>
      <c r="AG96" s="63"/>
      <c r="AH96" s="63"/>
      <c r="AI96" s="1"/>
      <c r="AJ96" s="1"/>
      <c r="AK96" s="1"/>
    </row>
    <row r="97" spans="1:37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159" t="e">
        <f t="shared" si="17"/>
        <v>#VALUE!</v>
      </c>
      <c r="P97" s="211" t="e">
        <f t="shared" si="18"/>
        <v>#N/A</v>
      </c>
      <c r="Q97" s="159" t="e">
        <f t="shared" si="19"/>
        <v>#DIV/0!</v>
      </c>
      <c r="R97" s="159" t="e">
        <f t="shared" si="20"/>
        <v>#DIV/0!</v>
      </c>
      <c r="S97" s="159" t="e">
        <f t="shared" si="21"/>
        <v>#DIV/0!</v>
      </c>
      <c r="T97" s="152" t="e">
        <f t="shared" si="22"/>
        <v>#DIV/0!</v>
      </c>
      <c r="U97" s="160" t="e">
        <f t="shared" si="27"/>
        <v>#VALUE!</v>
      </c>
      <c r="V97" s="152" t="e">
        <f t="shared" si="23"/>
        <v>#DIV/0!</v>
      </c>
      <c r="W97" s="160" t="e">
        <f t="shared" si="24"/>
        <v>#VALUE!</v>
      </c>
      <c r="X97" s="152" t="e">
        <f t="shared" si="25"/>
        <v>#DIV/0!</v>
      </c>
      <c r="Y97" s="160" t="e">
        <f t="shared" si="26"/>
        <v>#VALUE!</v>
      </c>
      <c r="Z97" s="3"/>
      <c r="AA97" s="63"/>
      <c r="AB97" s="63"/>
      <c r="AC97" s="63"/>
      <c r="AD97" s="63"/>
      <c r="AE97" s="63"/>
      <c r="AF97" s="63"/>
      <c r="AG97" s="63"/>
      <c r="AH97" s="63"/>
      <c r="AI97" s="1"/>
      <c r="AJ97" s="1"/>
      <c r="AK97" s="1"/>
    </row>
    <row r="98" spans="1:37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159" t="e">
        <f t="shared" si="17"/>
        <v>#VALUE!</v>
      </c>
      <c r="P98" s="211" t="e">
        <f t="shared" ref="P98:P102" si="28">SQRT(2*$I$16*$K$24)*SQRT((1/$I$1)+((O98-$I$10)^2/$I$7))</f>
        <v>#N/A</v>
      </c>
      <c r="Q98" s="159" t="e">
        <f t="shared" si="19"/>
        <v>#DIV/0!</v>
      </c>
      <c r="R98" s="159" t="e">
        <f t="shared" si="20"/>
        <v>#DIV/0!</v>
      </c>
      <c r="S98" s="159" t="e">
        <f t="shared" si="21"/>
        <v>#DIV/0!</v>
      </c>
      <c r="T98" s="152" t="e">
        <f t="shared" si="22"/>
        <v>#DIV/0!</v>
      </c>
      <c r="U98" s="160" t="e">
        <f t="shared" si="27"/>
        <v>#VALUE!</v>
      </c>
      <c r="V98" s="152" t="e">
        <f t="shared" si="23"/>
        <v>#DIV/0!</v>
      </c>
      <c r="W98" s="160" t="e">
        <f t="shared" si="24"/>
        <v>#VALUE!</v>
      </c>
      <c r="X98" s="152" t="e">
        <f t="shared" si="25"/>
        <v>#DIV/0!</v>
      </c>
      <c r="Y98" s="160" t="e">
        <f t="shared" si="26"/>
        <v>#VALUE!</v>
      </c>
      <c r="Z98" s="3"/>
      <c r="AA98" s="63"/>
      <c r="AB98" s="63"/>
      <c r="AC98" s="63"/>
      <c r="AD98" s="63"/>
      <c r="AE98" s="63"/>
      <c r="AF98" s="63"/>
      <c r="AG98" s="63"/>
      <c r="AH98" s="63"/>
      <c r="AI98" s="1"/>
      <c r="AJ98" s="1"/>
      <c r="AK98" s="1"/>
    </row>
    <row r="99" spans="1:37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159" t="e">
        <f t="shared" si="17"/>
        <v>#VALUE!</v>
      </c>
      <c r="P99" s="211" t="e">
        <f t="shared" si="28"/>
        <v>#N/A</v>
      </c>
      <c r="Q99" s="159" t="e">
        <f t="shared" si="19"/>
        <v>#DIV/0!</v>
      </c>
      <c r="R99" s="159" t="e">
        <f t="shared" si="20"/>
        <v>#DIV/0!</v>
      </c>
      <c r="S99" s="159" t="e">
        <f t="shared" si="21"/>
        <v>#DIV/0!</v>
      </c>
      <c r="T99" s="152" t="e">
        <f t="shared" si="22"/>
        <v>#DIV/0!</v>
      </c>
      <c r="U99" s="160" t="e">
        <f t="shared" si="27"/>
        <v>#VALUE!</v>
      </c>
      <c r="V99" s="152" t="e">
        <f t="shared" si="23"/>
        <v>#DIV/0!</v>
      </c>
      <c r="W99" s="160" t="e">
        <f t="shared" si="24"/>
        <v>#VALUE!</v>
      </c>
      <c r="X99" s="152" t="e">
        <f t="shared" si="25"/>
        <v>#DIV/0!</v>
      </c>
      <c r="Y99" s="160" t="e">
        <f t="shared" si="26"/>
        <v>#VALUE!</v>
      </c>
      <c r="Z99" s="3"/>
      <c r="AA99" s="63"/>
      <c r="AB99" s="63"/>
      <c r="AC99" s="63"/>
      <c r="AD99" s="63"/>
      <c r="AE99" s="63"/>
      <c r="AF99" s="63"/>
      <c r="AG99" s="63"/>
      <c r="AH99" s="63"/>
      <c r="AI99" s="1"/>
      <c r="AJ99" s="1"/>
      <c r="AK99" s="1"/>
    </row>
    <row r="100" spans="1:37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159" t="e">
        <f t="shared" si="17"/>
        <v>#VALUE!</v>
      </c>
      <c r="P100" s="211" t="e">
        <f t="shared" si="28"/>
        <v>#N/A</v>
      </c>
      <c r="Q100" s="159" t="e">
        <f t="shared" si="19"/>
        <v>#DIV/0!</v>
      </c>
      <c r="R100" s="159" t="e">
        <f t="shared" si="20"/>
        <v>#DIV/0!</v>
      </c>
      <c r="S100" s="159" t="e">
        <f t="shared" si="21"/>
        <v>#DIV/0!</v>
      </c>
      <c r="T100" s="152" t="e">
        <f t="shared" si="22"/>
        <v>#DIV/0!</v>
      </c>
      <c r="U100" s="160" t="e">
        <f t="shared" si="27"/>
        <v>#VALUE!</v>
      </c>
      <c r="V100" s="152" t="e">
        <f t="shared" si="23"/>
        <v>#DIV/0!</v>
      </c>
      <c r="W100" s="160" t="e">
        <f t="shared" si="24"/>
        <v>#VALUE!</v>
      </c>
      <c r="X100" s="152" t="e">
        <f t="shared" si="25"/>
        <v>#DIV/0!</v>
      </c>
      <c r="Y100" s="160" t="e">
        <f t="shared" si="26"/>
        <v>#VALUE!</v>
      </c>
      <c r="Z100" s="3"/>
      <c r="AA100" s="63"/>
      <c r="AB100" s="63"/>
      <c r="AC100" s="63"/>
      <c r="AD100" s="63"/>
      <c r="AE100" s="63"/>
      <c r="AF100" s="63"/>
      <c r="AG100" s="63"/>
      <c r="AH100" s="63"/>
      <c r="AI100" s="1"/>
      <c r="AJ100" s="1"/>
      <c r="AK100" s="1"/>
    </row>
    <row r="101" spans="1:37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159" t="e">
        <f t="shared" si="17"/>
        <v>#VALUE!</v>
      </c>
      <c r="P101" s="211" t="e">
        <f t="shared" si="28"/>
        <v>#N/A</v>
      </c>
      <c r="Q101" s="159" t="e">
        <f t="shared" si="19"/>
        <v>#DIV/0!</v>
      </c>
      <c r="R101" s="159" t="e">
        <f t="shared" si="20"/>
        <v>#DIV/0!</v>
      </c>
      <c r="S101" s="159" t="e">
        <f t="shared" si="21"/>
        <v>#DIV/0!</v>
      </c>
      <c r="T101" s="152" t="e">
        <f t="shared" si="22"/>
        <v>#DIV/0!</v>
      </c>
      <c r="U101" s="160" t="e">
        <f t="shared" si="27"/>
        <v>#VALUE!</v>
      </c>
      <c r="V101" s="152" t="e">
        <f t="shared" si="23"/>
        <v>#DIV/0!</v>
      </c>
      <c r="W101" s="160" t="e">
        <f t="shared" si="24"/>
        <v>#VALUE!</v>
      </c>
      <c r="X101" s="152" t="e">
        <f t="shared" si="25"/>
        <v>#DIV/0!</v>
      </c>
      <c r="Y101" s="160" t="e">
        <f t="shared" si="26"/>
        <v>#VALUE!</v>
      </c>
      <c r="Z101" s="3"/>
      <c r="AA101" s="63"/>
      <c r="AB101" s="63"/>
      <c r="AC101" s="63"/>
      <c r="AD101" s="63"/>
      <c r="AE101" s="63"/>
      <c r="AF101" s="63"/>
      <c r="AG101" s="63"/>
      <c r="AH101" s="63"/>
      <c r="AI101" s="1"/>
      <c r="AJ101" s="1"/>
      <c r="AK101" s="1"/>
    </row>
    <row r="102" spans="1:37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159" t="e">
        <f t="shared" si="17"/>
        <v>#VALUE!</v>
      </c>
      <c r="P102" s="211" t="e">
        <f t="shared" si="28"/>
        <v>#N/A</v>
      </c>
      <c r="Q102" s="159" t="e">
        <f t="shared" si="19"/>
        <v>#DIV/0!</v>
      </c>
      <c r="R102" s="159" t="e">
        <f t="shared" si="20"/>
        <v>#DIV/0!</v>
      </c>
      <c r="S102" s="159" t="e">
        <f t="shared" si="21"/>
        <v>#DIV/0!</v>
      </c>
      <c r="T102" s="152" t="e">
        <f t="shared" si="22"/>
        <v>#DIV/0!</v>
      </c>
      <c r="U102" s="160" t="e">
        <f t="shared" si="27"/>
        <v>#VALUE!</v>
      </c>
      <c r="V102" s="152" t="e">
        <f t="shared" si="23"/>
        <v>#DIV/0!</v>
      </c>
      <c r="W102" s="160" t="e">
        <f t="shared" si="24"/>
        <v>#VALUE!</v>
      </c>
      <c r="X102" s="152" t="e">
        <f t="shared" si="25"/>
        <v>#DIV/0!</v>
      </c>
      <c r="Y102" s="160" t="e">
        <f t="shared" si="26"/>
        <v>#VALUE!</v>
      </c>
      <c r="Z102" s="3"/>
      <c r="AA102" s="63"/>
      <c r="AB102" s="63"/>
      <c r="AC102" s="63"/>
      <c r="AD102" s="63"/>
      <c r="AE102" s="63"/>
      <c r="AF102" s="63"/>
      <c r="AG102" s="63"/>
      <c r="AH102" s="63"/>
      <c r="AI102" s="1"/>
      <c r="AJ102" s="1"/>
      <c r="AK102" s="1"/>
    </row>
    <row r="103" spans="1:37" x14ac:dyDescent="0.2"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 x14ac:dyDescent="0.2"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 x14ac:dyDescent="0.2"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1:37" x14ac:dyDescent="0.2"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1:37" x14ac:dyDescent="0.2"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1:37" x14ac:dyDescent="0.2"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1:37" x14ac:dyDescent="0.2"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1:37" x14ac:dyDescent="0.2"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1:37" x14ac:dyDescent="0.2"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1:37" x14ac:dyDescent="0.2"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21:37" x14ac:dyDescent="0.2"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21:37" x14ac:dyDescent="0.2"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21:37" x14ac:dyDescent="0.2"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21:37" x14ac:dyDescent="0.2"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21:37" x14ac:dyDescent="0.2"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21:37" x14ac:dyDescent="0.2"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21:37" x14ac:dyDescent="0.2"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21:37" x14ac:dyDescent="0.2"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21:37" x14ac:dyDescent="0.2"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21:37" x14ac:dyDescent="0.2"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21:37" x14ac:dyDescent="0.2"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</sheetData>
  <mergeCells count="3">
    <mergeCell ref="T1:U1"/>
    <mergeCell ref="V1:W1"/>
    <mergeCell ref="X1:Y1"/>
  </mergeCells>
  <pageMargins left="0.75" right="0.75" top="1" bottom="1" header="0.5" footer="0.5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32"/>
  <sheetViews>
    <sheetView showGridLines="0" workbookViewId="0"/>
  </sheetViews>
  <sheetFormatPr defaultRowHeight="12.75" x14ac:dyDescent="0.2"/>
  <cols>
    <col min="1" max="1" width="9.140625" style="3"/>
    <col min="2" max="2" width="10.42578125" style="3" bestFit="1" customWidth="1"/>
    <col min="3" max="7" width="11.140625" style="3" customWidth="1"/>
    <col min="8" max="8" width="16" style="3" bestFit="1" customWidth="1"/>
    <col min="9" max="9" width="14" style="3" bestFit="1" customWidth="1"/>
    <col min="10" max="10" width="12" style="3" bestFit="1" customWidth="1"/>
    <col min="11" max="11" width="10.85546875" style="3" bestFit="1" customWidth="1"/>
    <col min="12" max="12" width="15.28515625" style="3" bestFit="1" customWidth="1"/>
    <col min="13" max="13" width="14.85546875" style="3" bestFit="1" customWidth="1"/>
    <col min="14" max="14" width="14.42578125" style="3" customWidth="1"/>
    <col min="15" max="15" width="13" style="3" customWidth="1"/>
    <col min="16" max="16384" width="9.140625" style="3"/>
  </cols>
  <sheetData>
    <row r="2" spans="1:13" ht="15.75" thickBo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5" x14ac:dyDescent="0.25">
      <c r="A3" s="2"/>
      <c r="B3" s="4" t="str">
        <f>+Results!B7</f>
        <v>Specimen</v>
      </c>
      <c r="C3" s="196" t="str">
        <f>+Results!C7</f>
        <v>Width</v>
      </c>
      <c r="D3" s="196" t="str">
        <f>+Results!D7</f>
        <v>Thickness</v>
      </c>
      <c r="E3" s="196" t="str">
        <f>+Results!E7</f>
        <v>Area</v>
      </c>
      <c r="F3" s="196" t="str">
        <f>+Results!N7</f>
        <v>Ini Emod</v>
      </c>
      <c r="G3" s="196" t="str">
        <f>+Results!O7</f>
        <v>E-mod</v>
      </c>
      <c r="H3" s="196" t="str">
        <f>+Results!R7</f>
        <v>Bending ratio</v>
      </c>
      <c r="I3" s="196" t="str">
        <f>+Results!G7</f>
        <v>Abs Max strain</v>
      </c>
      <c r="J3" s="196" t="str">
        <f>+Results!H7</f>
        <v>Strain Range</v>
      </c>
      <c r="K3" s="196" t="str">
        <f>+Results!I7</f>
        <v>Peak stress</v>
      </c>
      <c r="L3" s="197" t="str">
        <f>+Results!F7</f>
        <v>Cycles to failure</v>
      </c>
      <c r="M3" s="197" t="str">
        <f>+Results!S7</f>
        <v>Comments</v>
      </c>
    </row>
    <row r="4" spans="1:13" ht="15.75" thickBot="1" x14ac:dyDescent="0.3">
      <c r="A4" s="2"/>
      <c r="B4" s="5" t="str">
        <f>+Results!B8</f>
        <v>#</v>
      </c>
      <c r="C4" s="198" t="str">
        <f>+Results!C8</f>
        <v>(mm)</v>
      </c>
      <c r="D4" s="198" t="str">
        <f>+Results!D8</f>
        <v>(mm)</v>
      </c>
      <c r="E4" s="198" t="str">
        <f>+Results!E8</f>
        <v>(mm2)</v>
      </c>
      <c r="F4" s="198" t="str">
        <f>+Results!N8</f>
        <v>(GPa)</v>
      </c>
      <c r="G4" s="198" t="str">
        <f>+Results!O8</f>
        <v>(GPa)</v>
      </c>
      <c r="H4" s="198" t="str">
        <f>+Results!R8</f>
        <v>|E1+E2|/|E1+E2|</v>
      </c>
      <c r="I4" s="198" t="str">
        <f>+Results!G8</f>
        <v>(%)</v>
      </c>
      <c r="J4" s="198" t="str">
        <f>+Results!H8</f>
        <v>(%)</v>
      </c>
      <c r="K4" s="198" t="str">
        <f>+Results!I8</f>
        <v>(MPa)</v>
      </c>
      <c r="L4" s="199"/>
      <c r="M4" s="199"/>
    </row>
    <row r="5" spans="1:13" ht="15" x14ac:dyDescent="0.25">
      <c r="A5" s="2"/>
      <c r="B5" s="7" t="str">
        <f>+Results!B9</f>
        <v>EQA02-01</v>
      </c>
      <c r="C5" s="6">
        <f>+Results!C9</f>
        <v>25.01</v>
      </c>
      <c r="D5" s="6">
        <f>+Results!D9</f>
        <v>4.1500000000000004</v>
      </c>
      <c r="E5" s="6">
        <f>+Results!E9</f>
        <v>103.79150000000001</v>
      </c>
      <c r="F5" s="200">
        <f>+Results!N9</f>
        <v>0</v>
      </c>
      <c r="G5" s="200">
        <f>+Results!O9</f>
        <v>0</v>
      </c>
      <c r="H5" s="200" t="e">
        <f>+Results!R9</f>
        <v>#DIV/0!</v>
      </c>
      <c r="I5" s="8" t="str">
        <f>+Results!G9</f>
        <v>_</v>
      </c>
      <c r="J5" s="8" t="str">
        <f>+Results!H9</f>
        <v/>
      </c>
      <c r="K5" s="9" t="e">
        <f>+Results!I9</f>
        <v>#VALUE!</v>
      </c>
      <c r="L5" s="201">
        <f>+Results!F9</f>
        <v>1</v>
      </c>
      <c r="M5" s="201" t="str">
        <f>+Plan!M9</f>
        <v>Static</v>
      </c>
    </row>
    <row r="6" spans="1:13" ht="15" x14ac:dyDescent="0.25">
      <c r="A6" s="2"/>
      <c r="B6" s="7" t="str">
        <f>+Results!B10</f>
        <v>EQA02-02</v>
      </c>
      <c r="C6" s="8">
        <f>+Results!C10</f>
        <v>25.19</v>
      </c>
      <c r="D6" s="8">
        <f>+Results!D10</f>
        <v>4.3499999999999996</v>
      </c>
      <c r="E6" s="8">
        <f>+Results!E10</f>
        <v>109.5765</v>
      </c>
      <c r="F6" s="200">
        <f>+Results!N10</f>
        <v>0</v>
      </c>
      <c r="G6" s="200">
        <f>+Results!O10</f>
        <v>0</v>
      </c>
      <c r="H6" s="200" t="e">
        <f>+Results!R10</f>
        <v>#DIV/0!</v>
      </c>
      <c r="I6" s="8" t="str">
        <f>+Results!G10</f>
        <v>_</v>
      </c>
      <c r="J6" s="8" t="str">
        <f>+Results!H10</f>
        <v/>
      </c>
      <c r="K6" s="9" t="e">
        <f>+Results!I10</f>
        <v>#VALUE!</v>
      </c>
      <c r="L6" s="201">
        <f>+Results!F10</f>
        <v>1</v>
      </c>
      <c r="M6" s="201" t="str">
        <f>+Plan!M10</f>
        <v>Static</v>
      </c>
    </row>
    <row r="7" spans="1:13" ht="15" x14ac:dyDescent="0.25">
      <c r="A7" s="2"/>
      <c r="B7" s="7" t="str">
        <f>+Results!B11</f>
        <v>EQA02-03</v>
      </c>
      <c r="C7" s="8">
        <f>+Results!C11</f>
        <v>25.21</v>
      </c>
      <c r="D7" s="8">
        <f>+Results!D11</f>
        <v>4.3600000000000003</v>
      </c>
      <c r="E7" s="8">
        <f>+Results!E11</f>
        <v>109.91560000000001</v>
      </c>
      <c r="F7" s="200">
        <f>+Results!N11</f>
        <v>0</v>
      </c>
      <c r="G7" s="200">
        <f>+Results!O11</f>
        <v>0</v>
      </c>
      <c r="H7" s="200" t="e">
        <f>+Results!R11</f>
        <v>#DIV/0!</v>
      </c>
      <c r="I7" s="8">
        <f>+Results!G11</f>
        <v>1</v>
      </c>
      <c r="J7" s="8">
        <f>+Results!H11</f>
        <v>0.9</v>
      </c>
      <c r="K7" s="9">
        <f>+Results!I11</f>
        <v>0</v>
      </c>
      <c r="L7" s="201">
        <f>+Results!F11</f>
        <v>36156</v>
      </c>
      <c r="M7" s="201" t="str">
        <f>+Plan!M11</f>
        <v>Fatige</v>
      </c>
    </row>
    <row r="8" spans="1:13" ht="15" x14ac:dyDescent="0.25">
      <c r="A8" s="2"/>
      <c r="B8" s="7" t="str">
        <f>+Results!B12</f>
        <v>EQA02-04</v>
      </c>
      <c r="C8" s="8">
        <f>+Results!C12</f>
        <v>25.19</v>
      </c>
      <c r="D8" s="8">
        <f>+Results!D12</f>
        <v>4.25</v>
      </c>
      <c r="E8" s="8">
        <f>+Results!E12</f>
        <v>107.0575</v>
      </c>
      <c r="F8" s="200">
        <f>+Results!N12</f>
        <v>0</v>
      </c>
      <c r="G8" s="200">
        <f>+Results!O12</f>
        <v>0</v>
      </c>
      <c r="H8" s="200" t="e">
        <f>+Results!R12</f>
        <v>#DIV/0!</v>
      </c>
      <c r="I8" s="8">
        <f>+Results!G12</f>
        <v>0.9</v>
      </c>
      <c r="J8" s="8">
        <f>+Results!H12</f>
        <v>0.81</v>
      </c>
      <c r="K8" s="9">
        <f>+Results!I12</f>
        <v>0</v>
      </c>
      <c r="L8" s="201">
        <f>+Results!F12</f>
        <v>83871</v>
      </c>
      <c r="M8" s="201" t="str">
        <f>+Plan!M12</f>
        <v>Fatige</v>
      </c>
    </row>
    <row r="9" spans="1:13" ht="15" x14ac:dyDescent="0.25">
      <c r="A9" s="2"/>
      <c r="B9" s="7" t="str">
        <f>+Results!B13</f>
        <v>EQA02-05</v>
      </c>
      <c r="C9" s="8">
        <f>+Results!C13</f>
        <v>25.18</v>
      </c>
      <c r="D9" s="8">
        <f>+Results!D13</f>
        <v>4.21</v>
      </c>
      <c r="E9" s="8">
        <f>+Results!E13</f>
        <v>106.0078</v>
      </c>
      <c r="F9" s="200">
        <f>+Results!N13</f>
        <v>0</v>
      </c>
      <c r="G9" s="200">
        <f>+Results!O13</f>
        <v>0</v>
      </c>
      <c r="H9" s="200" t="e">
        <f>+Results!R13</f>
        <v>#DIV/0!</v>
      </c>
      <c r="I9" s="8">
        <f>+Results!G13</f>
        <v>0.8</v>
      </c>
      <c r="J9" s="8">
        <f>+Results!H13</f>
        <v>0.72000000000000008</v>
      </c>
      <c r="K9" s="9">
        <f>+Results!I13</f>
        <v>0</v>
      </c>
      <c r="L9" s="201">
        <f>+Results!F13</f>
        <v>130906</v>
      </c>
      <c r="M9" s="201" t="str">
        <f>+Plan!M13</f>
        <v>Fatige</v>
      </c>
    </row>
    <row r="10" spans="1:13" ht="15" x14ac:dyDescent="0.25">
      <c r="A10" s="2"/>
      <c r="B10" s="7" t="str">
        <f>+Results!B14</f>
        <v>EQA02-06</v>
      </c>
      <c r="C10" s="8">
        <f>+Results!C14</f>
        <v>25.2</v>
      </c>
      <c r="D10" s="8">
        <f>+Results!D14</f>
        <v>4.28</v>
      </c>
      <c r="E10" s="8">
        <f>+Results!E14</f>
        <v>107.85600000000001</v>
      </c>
      <c r="F10" s="200">
        <f>+Results!N14</f>
        <v>0</v>
      </c>
      <c r="G10" s="200">
        <f>+Results!O14</f>
        <v>0</v>
      </c>
      <c r="H10" s="200" t="e">
        <f>+Results!R14</f>
        <v>#DIV/0!</v>
      </c>
      <c r="I10" s="8">
        <f>+Results!G14</f>
        <v>1.1000000000000001</v>
      </c>
      <c r="J10" s="8">
        <f>+Results!H14</f>
        <v>0.9900000000000001</v>
      </c>
      <c r="K10" s="9">
        <f>+Results!I14</f>
        <v>0</v>
      </c>
      <c r="L10" s="201">
        <f>+Results!F14</f>
        <v>24379</v>
      </c>
      <c r="M10" s="201" t="str">
        <f>+Plan!M14</f>
        <v>Fatigue</v>
      </c>
    </row>
    <row r="11" spans="1:13" ht="15" x14ac:dyDescent="0.25">
      <c r="A11" s="2"/>
      <c r="B11" s="7" t="str">
        <f>+Results!B15</f>
        <v>EQA02-07</v>
      </c>
      <c r="C11" s="8">
        <f>+Results!C15</f>
        <v>25.19</v>
      </c>
      <c r="D11" s="8">
        <f>+Results!D15</f>
        <v>4.13</v>
      </c>
      <c r="E11" s="8">
        <f>+Results!E15</f>
        <v>104.0347</v>
      </c>
      <c r="F11" s="200">
        <f>+Results!N15</f>
        <v>0</v>
      </c>
      <c r="G11" s="200">
        <f>+Results!O15</f>
        <v>0</v>
      </c>
      <c r="H11" s="200" t="e">
        <f>+Results!R15</f>
        <v>#DIV/0!</v>
      </c>
      <c r="I11" s="8">
        <f>+Results!G15</f>
        <v>0</v>
      </c>
      <c r="J11" s="8">
        <f>+Results!H15</f>
        <v>0</v>
      </c>
      <c r="K11" s="9">
        <f>+Results!I15</f>
        <v>0</v>
      </c>
      <c r="L11" s="201">
        <f>+Results!F15</f>
        <v>0</v>
      </c>
      <c r="M11" s="201">
        <f>+Plan!M15</f>
        <v>0</v>
      </c>
    </row>
    <row r="12" spans="1:13" ht="15" x14ac:dyDescent="0.25">
      <c r="A12" s="2"/>
      <c r="B12" s="7" t="str">
        <f>+Results!B16</f>
        <v>EQA02-08</v>
      </c>
      <c r="C12" s="8">
        <f>+Results!C16</f>
        <v>25.26</v>
      </c>
      <c r="D12" s="8">
        <f>+Results!D16</f>
        <v>4.28</v>
      </c>
      <c r="E12" s="8">
        <f>+Results!E16</f>
        <v>108.11280000000001</v>
      </c>
      <c r="F12" s="200">
        <f>+Results!N16</f>
        <v>0</v>
      </c>
      <c r="G12" s="200">
        <f>+Results!O16</f>
        <v>0</v>
      </c>
      <c r="H12" s="200" t="e">
        <f>+Results!R16</f>
        <v>#DIV/0!</v>
      </c>
      <c r="I12" s="8">
        <f>+Results!G16</f>
        <v>0</v>
      </c>
      <c r="J12" s="8">
        <f>+Results!H16</f>
        <v>0</v>
      </c>
      <c r="K12" s="9">
        <f>+Results!I16</f>
        <v>0</v>
      </c>
      <c r="L12" s="201">
        <f>+Results!F16</f>
        <v>0</v>
      </c>
      <c r="M12" s="201">
        <f>+Plan!M16</f>
        <v>0</v>
      </c>
    </row>
    <row r="13" spans="1:13" ht="15" x14ac:dyDescent="0.25">
      <c r="A13" s="2"/>
      <c r="B13" s="7" t="str">
        <f>+Results!B17</f>
        <v>EQA02-09</v>
      </c>
      <c r="C13" s="8">
        <f>+Results!C17</f>
        <v>25.25</v>
      </c>
      <c r="D13" s="8">
        <f>+Results!D17</f>
        <v>4.2699999999999996</v>
      </c>
      <c r="E13" s="8">
        <f>+Results!E17</f>
        <v>107.8175</v>
      </c>
      <c r="F13" s="200">
        <f>+Results!N17</f>
        <v>0</v>
      </c>
      <c r="G13" s="200">
        <f>+Results!O17</f>
        <v>0</v>
      </c>
      <c r="H13" s="200" t="e">
        <f>+Results!R17</f>
        <v>#DIV/0!</v>
      </c>
      <c r="I13" s="8">
        <f>+Results!G17</f>
        <v>0.7</v>
      </c>
      <c r="J13" s="8">
        <f>+Results!H17</f>
        <v>0.63</v>
      </c>
      <c r="K13" s="9">
        <f>+Results!I17</f>
        <v>0</v>
      </c>
      <c r="L13" s="201">
        <f>+Results!F17</f>
        <v>255387</v>
      </c>
      <c r="M13" s="201" t="str">
        <f>+Plan!M17</f>
        <v>Fatigue</v>
      </c>
    </row>
    <row r="14" spans="1:13" ht="15" x14ac:dyDescent="0.25">
      <c r="A14" s="2"/>
      <c r="B14" s="7" t="str">
        <f>+Results!B18</f>
        <v>EQA02-10</v>
      </c>
      <c r="C14" s="8">
        <f>+Results!C18</f>
        <v>25.27</v>
      </c>
      <c r="D14" s="8">
        <f>+Results!D18</f>
        <v>4.2699999999999996</v>
      </c>
      <c r="E14" s="8">
        <f>+Results!E18</f>
        <v>107.90289999999999</v>
      </c>
      <c r="F14" s="200">
        <f>+Results!N18</f>
        <v>0</v>
      </c>
      <c r="G14" s="200">
        <f>+Results!O18</f>
        <v>0</v>
      </c>
      <c r="H14" s="200" t="e">
        <f>+Results!R18</f>
        <v>#DIV/0!</v>
      </c>
      <c r="I14" s="8">
        <f>+Results!G18</f>
        <v>0.6</v>
      </c>
      <c r="J14" s="8">
        <f>+Results!H18</f>
        <v>0.54</v>
      </c>
      <c r="K14" s="9">
        <f>+Results!I18</f>
        <v>0</v>
      </c>
      <c r="L14" s="201">
        <f>+Results!F18</f>
        <v>596316</v>
      </c>
      <c r="M14" s="201" t="str">
        <f>+Plan!M20</f>
        <v>Static</v>
      </c>
    </row>
    <row r="15" spans="1:13" ht="15" x14ac:dyDescent="0.25">
      <c r="A15" s="2"/>
      <c r="B15" s="7" t="str">
        <f>+Results!B19</f>
        <v>EQA02-11</v>
      </c>
      <c r="C15" s="8">
        <f>+Results!C19</f>
        <v>25.28</v>
      </c>
      <c r="D15" s="8">
        <f>+Results!D19</f>
        <v>4.09</v>
      </c>
      <c r="E15" s="8">
        <f>+Results!E19</f>
        <v>103.3952</v>
      </c>
      <c r="F15" s="200">
        <f>+Results!N19</f>
        <v>0</v>
      </c>
      <c r="G15" s="200">
        <f>+Results!O19</f>
        <v>0</v>
      </c>
      <c r="H15" s="200" t="e">
        <f>+Results!R19</f>
        <v>#DIV/0!</v>
      </c>
      <c r="I15" s="8">
        <f>+Results!G19</f>
        <v>0.55000000000000004</v>
      </c>
      <c r="J15" s="8">
        <f>+Results!H19</f>
        <v>0.49500000000000005</v>
      </c>
      <c r="K15" s="9">
        <f>+Results!I19</f>
        <v>0</v>
      </c>
      <c r="L15" s="201">
        <f>+Results!F19</f>
        <v>2500000</v>
      </c>
      <c r="M15" s="201">
        <f>+Plan!M21</f>
        <v>0</v>
      </c>
    </row>
    <row r="19" spans="2:14" ht="16.5" thickBot="1" x14ac:dyDescent="0.3">
      <c r="B19" s="68" t="s">
        <v>134</v>
      </c>
    </row>
    <row r="20" spans="2:14" ht="45.75" thickBot="1" x14ac:dyDescent="0.3">
      <c r="B20" s="212" t="s">
        <v>2</v>
      </c>
      <c r="C20" s="213" t="s">
        <v>135</v>
      </c>
      <c r="D20" s="213" t="s">
        <v>136</v>
      </c>
      <c r="E20" s="213" t="s">
        <v>137</v>
      </c>
      <c r="F20" s="213" t="s">
        <v>138</v>
      </c>
      <c r="G20" s="213" t="s">
        <v>139</v>
      </c>
      <c r="H20" s="213" t="s">
        <v>140</v>
      </c>
      <c r="I20" s="213" t="s">
        <v>141</v>
      </c>
      <c r="J20" s="213" t="s">
        <v>142</v>
      </c>
      <c r="K20" s="213" t="s">
        <v>143</v>
      </c>
      <c r="L20" s="214" t="s">
        <v>144</v>
      </c>
      <c r="M20" s="214" t="s">
        <v>108</v>
      </c>
      <c r="N20" s="215" t="s">
        <v>10</v>
      </c>
    </row>
    <row r="21" spans="2:14" ht="15" x14ac:dyDescent="0.25">
      <c r="B21" s="216"/>
      <c r="C21" s="6"/>
      <c r="D21" s="6"/>
      <c r="E21" s="6"/>
      <c r="F21" s="217"/>
      <c r="G21" s="217"/>
      <c r="H21" s="217"/>
      <c r="I21" s="6"/>
      <c r="J21" s="6"/>
      <c r="K21" s="6"/>
      <c r="L21" s="218"/>
      <c r="M21" s="218"/>
      <c r="N21" s="218"/>
    </row>
    <row r="22" spans="2:14" ht="15" x14ac:dyDescent="0.25">
      <c r="B22" s="7"/>
      <c r="C22" s="8"/>
      <c r="D22" s="8"/>
      <c r="E22" s="8"/>
      <c r="F22" s="200"/>
      <c r="G22" s="200"/>
      <c r="H22" s="200"/>
      <c r="I22" s="8"/>
      <c r="J22" s="8"/>
      <c r="K22" s="8"/>
      <c r="L22" s="201"/>
      <c r="M22" s="201"/>
      <c r="N22" s="201"/>
    </row>
    <row r="23" spans="2:14" ht="15" x14ac:dyDescent="0.25">
      <c r="B23" s="7"/>
      <c r="C23" s="8"/>
      <c r="D23" s="8"/>
      <c r="E23" s="8"/>
      <c r="F23" s="200"/>
      <c r="G23" s="200"/>
      <c r="H23" s="200"/>
      <c r="I23" s="8"/>
      <c r="J23" s="8"/>
      <c r="K23" s="8"/>
      <c r="L23" s="201"/>
      <c r="M23" s="201"/>
      <c r="N23" s="201"/>
    </row>
    <row r="24" spans="2:14" ht="15" x14ac:dyDescent="0.25">
      <c r="B24" s="7"/>
      <c r="C24" s="8"/>
      <c r="D24" s="8"/>
      <c r="E24" s="8"/>
      <c r="F24" s="200"/>
      <c r="G24" s="200"/>
      <c r="H24" s="200"/>
      <c r="I24" s="8"/>
      <c r="J24" s="8"/>
      <c r="K24" s="8"/>
      <c r="L24" s="201"/>
      <c r="M24" s="201"/>
      <c r="N24" s="201"/>
    </row>
    <row r="25" spans="2:14" ht="15" x14ac:dyDescent="0.25">
      <c r="B25" s="7"/>
      <c r="C25" s="8"/>
      <c r="D25" s="8"/>
      <c r="E25" s="8"/>
      <c r="F25" s="200"/>
      <c r="G25" s="200"/>
      <c r="H25" s="200"/>
      <c r="I25" s="8"/>
      <c r="J25" s="8"/>
      <c r="K25" s="8"/>
      <c r="L25" s="201"/>
      <c r="M25" s="201"/>
      <c r="N25" s="201"/>
    </row>
    <row r="26" spans="2:14" ht="15" x14ac:dyDescent="0.25">
      <c r="B26" s="7"/>
      <c r="C26" s="8"/>
      <c r="D26" s="8"/>
      <c r="E26" s="8"/>
      <c r="F26" s="200"/>
      <c r="G26" s="200"/>
      <c r="H26" s="200"/>
      <c r="I26" s="8"/>
      <c r="J26" s="8"/>
      <c r="K26" s="8"/>
      <c r="L26" s="201"/>
      <c r="M26" s="201"/>
      <c r="N26" s="201"/>
    </row>
    <row r="27" spans="2:14" ht="15" x14ac:dyDescent="0.25">
      <c r="B27" s="7"/>
      <c r="C27" s="8"/>
      <c r="D27" s="8"/>
      <c r="E27" s="8"/>
      <c r="F27" s="200"/>
      <c r="G27" s="200"/>
      <c r="H27" s="200"/>
      <c r="I27" s="8"/>
      <c r="J27" s="8"/>
      <c r="K27" s="8"/>
      <c r="L27" s="201"/>
      <c r="M27" s="201"/>
      <c r="N27" s="201"/>
    </row>
    <row r="28" spans="2:14" ht="15" x14ac:dyDescent="0.25">
      <c r="I28" s="219" t="s">
        <v>145</v>
      </c>
      <c r="J28" s="220"/>
      <c r="K28" s="220"/>
      <c r="L28" s="221"/>
    </row>
    <row r="29" spans="2:14" ht="15.75" thickBot="1" x14ac:dyDescent="0.3">
      <c r="I29" s="222" t="s">
        <v>146</v>
      </c>
      <c r="J29" s="223"/>
      <c r="K29" s="223"/>
      <c r="L29" s="224"/>
    </row>
    <row r="30" spans="2:14" x14ac:dyDescent="0.2">
      <c r="J30" s="3" t="str">
        <f>'ASTM E739 stat (Max Strain)'!J14</f>
        <v>(X=40534.6Y^-5.27)</v>
      </c>
    </row>
    <row r="31" spans="2:14" x14ac:dyDescent="0.2">
      <c r="K31" s="3" t="e">
        <f>'ASTM E739 stat (Strain Range)'!J14</f>
        <v>#VALUE!</v>
      </c>
    </row>
    <row r="32" spans="2:14" x14ac:dyDescent="0.2">
      <c r="L32" s="3" t="e">
        <f>'ASTM E739 stat (Max Stress)'!J14</f>
        <v>#DIV/0!</v>
      </c>
    </row>
  </sheetData>
  <pageMargins left="0.32" right="0.22" top="1" bottom="1" header="0.5" footer="0.5"/>
  <pageSetup paperSize="9" scale="91" orientation="landscape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Charts</vt:lpstr>
      </vt:variant>
      <vt:variant>
        <vt:i4>3</vt:i4>
      </vt:variant>
    </vt:vector>
  </HeadingPairs>
  <TitlesOfParts>
    <vt:vector size="9" baseType="lpstr">
      <vt:lpstr>Plan</vt:lpstr>
      <vt:lpstr>Results</vt:lpstr>
      <vt:lpstr>ASTM E739 stat (Max Strain)</vt:lpstr>
      <vt:lpstr>ASTM E739 stat (Strain Range)</vt:lpstr>
      <vt:lpstr>ASTM E739 stat (Max Stress)</vt:lpstr>
      <vt:lpstr>Report Tables</vt:lpstr>
      <vt:lpstr>Max Strain based</vt:lpstr>
      <vt:lpstr>Strain Range based</vt:lpstr>
      <vt:lpstr>Max Stress based</vt:lpstr>
    </vt:vector>
  </TitlesOfParts>
  <Company>Risø National Laboratory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PC-03402</dc:creator>
  <cp:lastModifiedBy>Povl Brøndsted</cp:lastModifiedBy>
  <cp:lastPrinted>2015-08-03T12:21:51Z</cp:lastPrinted>
  <dcterms:created xsi:type="dcterms:W3CDTF">2001-10-01T05:54:03Z</dcterms:created>
  <dcterms:modified xsi:type="dcterms:W3CDTF">2015-11-24T16:35:20Z</dcterms:modified>
</cp:coreProperties>
</file>