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37395" windowHeight="1972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D5" i="1" l="1"/>
  <c r="E5" i="1"/>
  <c r="F5" i="1"/>
  <c r="G5" i="1"/>
  <c r="D6" i="1"/>
  <c r="E6" i="1"/>
  <c r="F6" i="1"/>
  <c r="G6" i="1"/>
  <c r="D7" i="1"/>
  <c r="E7" i="1"/>
  <c r="F7" i="1"/>
  <c r="G7" i="1"/>
</calcChain>
</file>

<file path=xl/sharedStrings.xml><?xml version="1.0" encoding="utf-8"?>
<sst xmlns="http://schemas.openxmlformats.org/spreadsheetml/2006/main" count="15" uniqueCount="15">
  <si>
    <t>Specimen</t>
  </si>
  <si>
    <t>Width 
 [mm]</t>
  </si>
  <si>
    <t>Thickness 
 [mm]</t>
  </si>
  <si>
    <t>E-modulus 
 [GPa]</t>
  </si>
  <si>
    <t>Max stress 
 [MPa]</t>
  </si>
  <si>
    <t>Linear strain 
 [%]</t>
  </si>
  <si>
    <t>Uniform strain 
 [%]</t>
  </si>
  <si>
    <t>Estimated strain 
 [%]</t>
  </si>
  <si>
    <t>Comments</t>
  </si>
  <si>
    <t>EQA02-01</t>
  </si>
  <si>
    <t>EQA02-02</t>
  </si>
  <si>
    <t>EQA02-12</t>
  </si>
  <si>
    <t>Average</t>
  </si>
  <si>
    <t>Std dev.</t>
  </si>
  <si>
    <t>CV 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</si>
</sst>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>
      <selection activeCell="D5" sqref="D5:G7"/>
    </sheetView>
  </sheetViews>
  <sheetFormatPr defaultRowHeight="15" x14ac:dyDescent="0.25"/>
  <sheetData>
    <row r="1" spans="1:9" ht="45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</row>
    <row r="2" spans="1:9" x14ac:dyDescent="0.25">
      <c r="A2" t="s">
        <v>9</v>
      </c>
      <c r="B2">
        <v>25.01</v>
      </c>
      <c r="C2">
        <v>4.1500000000000004</v>
      </c>
      <c r="D2">
        <v>38.547363997514012</v>
      </c>
      <c r="E2">
        <v>1020.108043529576</v>
      </c>
      <c r="F2">
        <v>2.6463756214182754</v>
      </c>
      <c r="G2">
        <v>3.3066508660881695</v>
      </c>
      <c r="H2">
        <v>1.1777860409865943</v>
      </c>
    </row>
    <row r="3" spans="1:9" x14ac:dyDescent="0.25">
      <c r="A3" t="s">
        <v>10</v>
      </c>
      <c r="B3">
        <v>25.19</v>
      </c>
      <c r="C3">
        <v>4.3499999999999996</v>
      </c>
      <c r="D3">
        <v>37.661157883842797</v>
      </c>
      <c r="E3">
        <v>991.3368651125013</v>
      </c>
      <c r="F3">
        <v>2.6322527527434301</v>
      </c>
      <c r="G3">
        <v>3.1615617617621705</v>
      </c>
      <c r="H3">
        <v>1.5513559312486718</v>
      </c>
    </row>
    <row r="4" spans="1:9" x14ac:dyDescent="0.25">
      <c r="A4" t="s">
        <v>11</v>
      </c>
      <c r="B4">
        <v>25.26</v>
      </c>
      <c r="C4">
        <v>4.18</v>
      </c>
      <c r="D4">
        <v>38.974097552496502</v>
      </c>
      <c r="E4">
        <v>1009.0381468138063</v>
      </c>
      <c r="F4">
        <v>2.5889968214265218</v>
      </c>
      <c r="G4">
        <v>3.1353670111149441</v>
      </c>
      <c r="H4">
        <v>1.540575547435203</v>
      </c>
    </row>
    <row r="5" spans="1:9" x14ac:dyDescent="0.25">
      <c r="A5" t="s">
        <v>12</v>
      </c>
      <c r="D5">
        <f>AVERAGE(D2:D4)</f>
        <v>38.394206477951101</v>
      </c>
      <c r="E5">
        <f>AVERAGE(E2:E4)</f>
        <v>1006.8276851519612</v>
      </c>
      <c r="F5">
        <f>AVERAGE(F2:F4)</f>
        <v>2.6225417318627424</v>
      </c>
      <c r="G5">
        <f>AVERAGE(G2:G4)</f>
        <v>3.2011932129884282</v>
      </c>
    </row>
    <row r="6" spans="1:9" x14ac:dyDescent="0.25">
      <c r="A6" t="s">
        <v>13</v>
      </c>
      <c r="D6">
        <f>STDEV(D2:D4)</f>
        <v>0.66973544234281202</v>
      </c>
      <c r="E6">
        <f>STDEV(E2:E4)</f>
        <v>14.512400988315173</v>
      </c>
      <c r="F6">
        <f>STDEV(F2:F4)</f>
        <v>2.989664892646467E-2</v>
      </c>
      <c r="G6">
        <f>STDEV(G2:G4)</f>
        <v>9.2263365906228717E-2</v>
      </c>
    </row>
    <row r="7" spans="1:9" x14ac:dyDescent="0.25">
      <c r="A7" t="s">
        <v>14</v>
      </c>
      <c r="D7">
        <f>ABS((D6/D5)*100)</f>
        <v>1.7443658920973544</v>
      </c>
      <c r="E7">
        <f>ABS((E6/E5)*100)</f>
        <v>1.4413986824493017</v>
      </c>
      <c r="F7">
        <f>ABS((F6/F5)*100)</f>
        <v>1.1399875381670148</v>
      </c>
      <c r="G7">
        <f>ABS((G6/G5)*100)</f>
        <v>2.8821554891432988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DTU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Steffen Rasmussen</dc:creator>
  <cp:lastModifiedBy>Steffen Rasmussen</cp:lastModifiedBy>
  <dcterms:created xsi:type="dcterms:W3CDTF">2015-08-06T11:08:50Z</dcterms:created>
  <dcterms:modified xsi:type="dcterms:W3CDTF">2015-08-06T11:08:55Z</dcterms:modified>
</cp:coreProperties>
</file>