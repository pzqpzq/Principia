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tudk-my.sharepoint.com/personal/lapm_dtu_dk/Documents/01-DataSets/_EQA_FatigueData/"/>
    </mc:Choice>
  </mc:AlternateContent>
  <xr:revisionPtr revIDLastSave="0" documentId="11_FE9FFD48EDFB4C741673A98C55CAAEC13FC4FAE1" xr6:coauthVersionLast="47" xr6:coauthVersionMax="47" xr10:uidLastSave="{00000000-0000-0000-0000-000000000000}"/>
  <bookViews>
    <workbookView xWindow="-2625" yWindow="690" windowWidth="28800" windowHeight="15345" tabRatio="640" firstSheet="3" activeTab="8" xr2:uid="{00000000-000D-0000-FFFF-FFFF00000000}"/>
  </bookViews>
  <sheets>
    <sheet name="Plan" sheetId="3" r:id="rId1"/>
    <sheet name="Results" sheetId="2" r:id="rId2"/>
    <sheet name="ASTM E739 stat (Max Strain)" sheetId="10" r:id="rId3"/>
    <sheet name="Max Strain based" sheetId="5" r:id="rId4"/>
    <sheet name="ASTM E739 stat (Strain Range)" sheetId="21" r:id="rId5"/>
    <sheet name="Strain Range based" sheetId="22" r:id="rId6"/>
    <sheet name="ASTM E739 stat (Max Stress)" sheetId="23" r:id="rId7"/>
    <sheet name="Max Stress based" sheetId="24" r:id="rId8"/>
    <sheet name="Report Tables" sheetId="2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H23" i="2" s="1"/>
  <c r="G22" i="3"/>
  <c r="F13" i="25" l="1"/>
  <c r="M13" i="25"/>
  <c r="M6" i="25"/>
  <c r="M7" i="25"/>
  <c r="F8" i="25"/>
  <c r="M8" i="25"/>
  <c r="F9" i="25"/>
  <c r="M9" i="25"/>
  <c r="O11" i="2" l="1"/>
  <c r="G6" i="25" s="1"/>
  <c r="O12" i="2"/>
  <c r="G7" i="25" s="1"/>
  <c r="O13" i="2"/>
  <c r="G8" i="25" s="1"/>
  <c r="O14" i="2"/>
  <c r="G9" i="25" s="1"/>
  <c r="O15" i="2"/>
  <c r="O16" i="2"/>
  <c r="O17" i="2"/>
  <c r="O18" i="2"/>
  <c r="O19" i="2"/>
  <c r="O20" i="2"/>
  <c r="G13" i="25" s="1"/>
  <c r="V10" i="2"/>
  <c r="O10" i="2" s="1"/>
  <c r="V9" i="2"/>
  <c r="A20" i="2" l="1"/>
  <c r="C20" i="2"/>
  <c r="C13" i="25" s="1"/>
  <c r="D20" i="2"/>
  <c r="D13" i="25" s="1"/>
  <c r="F20" i="2"/>
  <c r="G20" i="2"/>
  <c r="R20" i="2"/>
  <c r="H13" i="25" s="1"/>
  <c r="S20" i="2"/>
  <c r="B34" i="2" l="1"/>
  <c r="A13" i="10" s="1"/>
  <c r="C13" i="10" s="1"/>
  <c r="I13" i="25"/>
  <c r="A34" i="2"/>
  <c r="B13" i="10" s="1"/>
  <c r="D13" i="10" s="1"/>
  <c r="F13" i="10" s="1"/>
  <c r="L13" i="25"/>
  <c r="C34" i="2"/>
  <c r="B13" i="21" s="1"/>
  <c r="D13" i="21" s="1"/>
  <c r="E34" i="2"/>
  <c r="B11" i="23" s="1"/>
  <c r="D11" i="23" s="1"/>
  <c r="G13" i="10" l="1"/>
  <c r="E13" i="10"/>
  <c r="F11" i="23"/>
  <c r="F13" i="21"/>
  <c r="A19" i="2"/>
  <c r="C19" i="2"/>
  <c r="D19" i="2"/>
  <c r="F19" i="2"/>
  <c r="A33" i="2" s="1"/>
  <c r="B12" i="10" s="1"/>
  <c r="D12" i="10" s="1"/>
  <c r="F12" i="10" s="1"/>
  <c r="G19" i="2"/>
  <c r="R19" i="2"/>
  <c r="S19" i="2"/>
  <c r="A18" i="2"/>
  <c r="C18" i="2"/>
  <c r="D18" i="2"/>
  <c r="F18" i="2"/>
  <c r="C32" i="2" s="1"/>
  <c r="B11" i="21" s="1"/>
  <c r="G18" i="2"/>
  <c r="B32" i="2" s="1"/>
  <c r="A11" i="10" s="1"/>
  <c r="R18" i="2"/>
  <c r="S18" i="2"/>
  <c r="B33" i="2" l="1"/>
  <c r="A12" i="10" s="1"/>
  <c r="C12" i="10" s="1"/>
  <c r="E33" i="2"/>
  <c r="B10" i="23" s="1"/>
  <c r="D10" i="23" s="1"/>
  <c r="C33" i="2"/>
  <c r="B12" i="21" s="1"/>
  <c r="D12" i="21" s="1"/>
  <c r="A32" i="2"/>
  <c r="B11" i="10" s="1"/>
  <c r="E32" i="2"/>
  <c r="B9" i="23" s="1"/>
  <c r="G16" i="2"/>
  <c r="G17" i="2"/>
  <c r="E12" i="10" l="1"/>
  <c r="G12" i="10"/>
  <c r="F12" i="21"/>
  <c r="F10" i="23"/>
  <c r="B20" i="3"/>
  <c r="B20" i="2" s="1"/>
  <c r="B13" i="25" s="1"/>
  <c r="B19" i="3"/>
  <c r="B19" i="2" s="1"/>
  <c r="B18" i="3"/>
  <c r="B18" i="2" s="1"/>
  <c r="E18" i="3"/>
  <c r="E18" i="2" s="1"/>
  <c r="J18" i="2" s="1"/>
  <c r="E19" i="3"/>
  <c r="E19" i="2" s="1"/>
  <c r="J19" i="2" s="1"/>
  <c r="E20" i="3"/>
  <c r="E20" i="2" s="1"/>
  <c r="B15" i="3"/>
  <c r="B16" i="3"/>
  <c r="B17" i="3"/>
  <c r="E13" i="25" l="1"/>
  <c r="J20" i="2"/>
  <c r="I19" i="2"/>
  <c r="F33" i="2" s="1"/>
  <c r="A10" i="23" s="1"/>
  <c r="C10" i="23" s="1"/>
  <c r="I18" i="2"/>
  <c r="F32" i="2" s="1"/>
  <c r="A9" i="23" s="1"/>
  <c r="E10" i="23" l="1"/>
  <c r="G10" i="23"/>
  <c r="I20" i="2"/>
  <c r="F12" i="25"/>
  <c r="F11" i="25"/>
  <c r="F10" i="25"/>
  <c r="F4" i="25"/>
  <c r="F3" i="25"/>
  <c r="B12" i="3"/>
  <c r="B11" i="3"/>
  <c r="B10" i="3"/>
  <c r="B9" i="3"/>
  <c r="M12" i="25"/>
  <c r="M11" i="25"/>
  <c r="M10" i="25"/>
  <c r="K12" i="25"/>
  <c r="Q12" i="2"/>
  <c r="P12" i="2"/>
  <c r="N12" i="2"/>
  <c r="F7" i="25" s="1"/>
  <c r="Q11" i="2"/>
  <c r="P11" i="2"/>
  <c r="N11" i="2"/>
  <c r="F6" i="25" s="1"/>
  <c r="Q10" i="2"/>
  <c r="P10" i="2"/>
  <c r="N10" i="2"/>
  <c r="Q9" i="2"/>
  <c r="P9" i="2"/>
  <c r="O9" i="2"/>
  <c r="N9" i="2"/>
  <c r="F17" i="2"/>
  <c r="E31" i="2" s="1"/>
  <c r="B8" i="23" s="1"/>
  <c r="D8" i="23" s="1"/>
  <c r="F16" i="2"/>
  <c r="F15" i="2"/>
  <c r="F14" i="2"/>
  <c r="L9" i="25" s="1"/>
  <c r="F13" i="2"/>
  <c r="L8" i="25" s="1"/>
  <c r="F12" i="2"/>
  <c r="L7" i="25" s="1"/>
  <c r="F11" i="2"/>
  <c r="L6" i="25" s="1"/>
  <c r="F10" i="2"/>
  <c r="F34" i="2" l="1"/>
  <c r="A11" i="23" s="1"/>
  <c r="C11" i="23" s="1"/>
  <c r="K13" i="25"/>
  <c r="F8" i="23"/>
  <c r="E25" i="2"/>
  <c r="B2" i="23" s="1"/>
  <c r="E29" i="2"/>
  <c r="E27" i="2"/>
  <c r="B4" i="23" s="1"/>
  <c r="D4" i="23" s="1"/>
  <c r="A24" i="2"/>
  <c r="A28" i="2"/>
  <c r="B7" i="10" s="1"/>
  <c r="D7" i="10" s="1"/>
  <c r="E26" i="2"/>
  <c r="B3" i="23" s="1"/>
  <c r="D3" i="23" s="1"/>
  <c r="E30" i="2"/>
  <c r="A31" i="2"/>
  <c r="B10" i="10" s="1"/>
  <c r="D10" i="10" s="1"/>
  <c r="A27" i="2"/>
  <c r="B6" i="10" s="1"/>
  <c r="D6" i="10" s="1"/>
  <c r="F6" i="10" s="1"/>
  <c r="C27" i="2"/>
  <c r="B6" i="21" s="1"/>
  <c r="D6" i="21" s="1"/>
  <c r="C24" i="2"/>
  <c r="E28" i="2"/>
  <c r="B5" i="23" s="1"/>
  <c r="D5" i="23" s="1"/>
  <c r="A30" i="2"/>
  <c r="C28" i="2"/>
  <c r="B7" i="21" s="1"/>
  <c r="D7" i="21" s="1"/>
  <c r="A26" i="2"/>
  <c r="B5" i="10" s="1"/>
  <c r="D5" i="10" s="1"/>
  <c r="E24" i="2"/>
  <c r="A25" i="2"/>
  <c r="B4" i="10" s="1"/>
  <c r="D4" i="10" s="1"/>
  <c r="A29" i="2"/>
  <c r="C26" i="2"/>
  <c r="C30" i="2"/>
  <c r="C31" i="2"/>
  <c r="B10" i="21" s="1"/>
  <c r="D10" i="21" s="1"/>
  <c r="C25" i="2"/>
  <c r="C29" i="2"/>
  <c r="F9" i="2"/>
  <c r="E12" i="3"/>
  <c r="E12" i="2" s="1"/>
  <c r="E7" i="25" s="1"/>
  <c r="E11" i="3"/>
  <c r="E11" i="2" s="1"/>
  <c r="E6" i="25" s="1"/>
  <c r="E10" i="3"/>
  <c r="E10" i="2" s="1"/>
  <c r="E9" i="3"/>
  <c r="E9" i="2" s="1"/>
  <c r="L11" i="25"/>
  <c r="H11" i="25"/>
  <c r="R17" i="2"/>
  <c r="H10" i="25" s="1"/>
  <c r="S11" i="2"/>
  <c r="S12" i="2"/>
  <c r="S13" i="2"/>
  <c r="S14" i="2"/>
  <c r="S15" i="2"/>
  <c r="S16" i="2"/>
  <c r="S17" i="2"/>
  <c r="C11" i="25"/>
  <c r="D11" i="25"/>
  <c r="I11" i="25"/>
  <c r="G11" i="25"/>
  <c r="D16" i="2"/>
  <c r="C16" i="2"/>
  <c r="A16" i="2"/>
  <c r="D15" i="2"/>
  <c r="C15" i="2"/>
  <c r="A15" i="2"/>
  <c r="D14" i="2"/>
  <c r="D9" i="25" s="1"/>
  <c r="C14" i="2"/>
  <c r="C9" i="25" s="1"/>
  <c r="A14" i="2"/>
  <c r="D13" i="2"/>
  <c r="D8" i="25" s="1"/>
  <c r="C13" i="2"/>
  <c r="C8" i="25" s="1"/>
  <c r="A13" i="2"/>
  <c r="D12" i="2"/>
  <c r="D7" i="25" s="1"/>
  <c r="C12" i="2"/>
  <c r="C7" i="25" s="1"/>
  <c r="B12" i="2"/>
  <c r="B7" i="25" s="1"/>
  <c r="A12" i="2"/>
  <c r="D11" i="2"/>
  <c r="D6" i="25" s="1"/>
  <c r="C11" i="2"/>
  <c r="C6" i="25" s="1"/>
  <c r="B11" i="2"/>
  <c r="B6" i="25" s="1"/>
  <c r="A11" i="2"/>
  <c r="D10" i="2"/>
  <c r="C10" i="2"/>
  <c r="B10" i="2"/>
  <c r="A10" i="2"/>
  <c r="D9" i="2"/>
  <c r="C9" i="2"/>
  <c r="B9" i="2"/>
  <c r="A9" i="2"/>
  <c r="G15" i="2"/>
  <c r="G14" i="2"/>
  <c r="I9" i="25" s="1"/>
  <c r="G13" i="2"/>
  <c r="I8" i="25" s="1"/>
  <c r="G12" i="2"/>
  <c r="I7" i="25" s="1"/>
  <c r="G11" i="2"/>
  <c r="I6" i="25" s="1"/>
  <c r="S10" i="2"/>
  <c r="G10" i="2"/>
  <c r="S9" i="2"/>
  <c r="G9" i="2"/>
  <c r="R16" i="2"/>
  <c r="R15" i="2"/>
  <c r="R14" i="2"/>
  <c r="H9" i="25" s="1"/>
  <c r="R13" i="2"/>
  <c r="H8" i="25" s="1"/>
  <c r="R12" i="2"/>
  <c r="H7" i="25" s="1"/>
  <c r="R11" i="2"/>
  <c r="H6" i="25" s="1"/>
  <c r="R10" i="2"/>
  <c r="R9" i="2"/>
  <c r="B11" i="25"/>
  <c r="B16" i="2"/>
  <c r="B15" i="2"/>
  <c r="B14" i="3"/>
  <c r="B14" i="2" s="1"/>
  <c r="B9" i="25" s="1"/>
  <c r="B13" i="3"/>
  <c r="B13" i="2" s="1"/>
  <c r="B8" i="25" s="1"/>
  <c r="B12" i="25"/>
  <c r="C12" i="25"/>
  <c r="D12" i="25"/>
  <c r="E12" i="25"/>
  <c r="G12" i="25"/>
  <c r="H12" i="25"/>
  <c r="I12" i="25"/>
  <c r="L12" i="25"/>
  <c r="K4" i="25"/>
  <c r="J4" i="25"/>
  <c r="I4" i="25"/>
  <c r="H4" i="25"/>
  <c r="G4" i="25"/>
  <c r="E4" i="25"/>
  <c r="D4" i="25"/>
  <c r="C4" i="25"/>
  <c r="B4" i="25"/>
  <c r="M3" i="25"/>
  <c r="L3" i="25"/>
  <c r="K3" i="25"/>
  <c r="J3" i="25"/>
  <c r="I3" i="25"/>
  <c r="H3" i="25"/>
  <c r="G3" i="25"/>
  <c r="E3" i="25"/>
  <c r="D3" i="25"/>
  <c r="C3" i="25"/>
  <c r="B3" i="25"/>
  <c r="F7" i="10" l="1"/>
  <c r="F5" i="10"/>
  <c r="E11" i="23"/>
  <c r="G11" i="23"/>
  <c r="F10" i="21"/>
  <c r="F10" i="10"/>
  <c r="F4" i="10"/>
  <c r="F5" i="23"/>
  <c r="F4" i="23"/>
  <c r="F7" i="21"/>
  <c r="F6" i="21"/>
  <c r="F3" i="23"/>
  <c r="B24" i="2"/>
  <c r="B25" i="2"/>
  <c r="A4" i="10" s="1"/>
  <c r="C4" i="10" s="1"/>
  <c r="E4" i="10" s="1"/>
  <c r="B27" i="2"/>
  <c r="A6" i="10" s="1"/>
  <c r="C6" i="10" s="1"/>
  <c r="B29" i="2"/>
  <c r="B26" i="2"/>
  <c r="A5" i="10" s="1"/>
  <c r="C5" i="10" s="1"/>
  <c r="E5" i="10" s="1"/>
  <c r="J11" i="2"/>
  <c r="B30" i="2"/>
  <c r="B28" i="2"/>
  <c r="A7" i="10" s="1"/>
  <c r="C7" i="10" s="1"/>
  <c r="E7" i="10" s="1"/>
  <c r="J9" i="2"/>
  <c r="B23" i="2"/>
  <c r="E23" i="2"/>
  <c r="A23" i="2"/>
  <c r="C23" i="2"/>
  <c r="J12" i="2"/>
  <c r="J10" i="2"/>
  <c r="G4" i="10" l="1"/>
  <c r="G5" i="10"/>
  <c r="E6" i="10"/>
  <c r="G6" i="10"/>
  <c r="G7" i="10"/>
  <c r="I9" i="2"/>
  <c r="I11" i="2"/>
  <c r="K6" i="25" s="1"/>
  <c r="I12" i="2"/>
  <c r="K7" i="25" s="1"/>
  <c r="I10" i="2"/>
  <c r="F23" i="2" l="1"/>
  <c r="F26" i="2"/>
  <c r="A3" i="23" s="1"/>
  <c r="C3" i="23" s="1"/>
  <c r="F25" i="2"/>
  <c r="A2" i="23" s="1"/>
  <c r="F24" i="2"/>
  <c r="M19" i="23"/>
  <c r="M18" i="23"/>
  <c r="M17" i="23"/>
  <c r="M16" i="23"/>
  <c r="M15" i="23"/>
  <c r="M14" i="23"/>
  <c r="M13" i="23"/>
  <c r="M12" i="23"/>
  <c r="M11" i="23"/>
  <c r="M19" i="21"/>
  <c r="M18" i="21"/>
  <c r="M17" i="21"/>
  <c r="M16" i="21"/>
  <c r="M15" i="21"/>
  <c r="M14" i="21"/>
  <c r="M11" i="21"/>
  <c r="E3" i="23" l="1"/>
  <c r="G3" i="23"/>
  <c r="L10" i="25"/>
  <c r="E17" i="3"/>
  <c r="E16" i="3"/>
  <c r="E16" i="2" s="1"/>
  <c r="E15" i="3"/>
  <c r="E15" i="2" s="1"/>
  <c r="E14" i="3"/>
  <c r="E14" i="2" s="1"/>
  <c r="E9" i="25" s="1"/>
  <c r="E13" i="3"/>
  <c r="E13" i="2" s="1"/>
  <c r="E8" i="25" s="1"/>
  <c r="J15" i="2" l="1"/>
  <c r="J14" i="2"/>
  <c r="J16" i="2"/>
  <c r="J13" i="2"/>
  <c r="I10" i="25"/>
  <c r="B31" i="2"/>
  <c r="A10" i="10" s="1"/>
  <c r="C10" i="10" s="1"/>
  <c r="M19" i="10"/>
  <c r="E10" i="10" l="1"/>
  <c r="G10" i="10"/>
  <c r="I14" i="2"/>
  <c r="K9" i="25" s="1"/>
  <c r="I16" i="2"/>
  <c r="I15" i="2"/>
  <c r="I13" i="2"/>
  <c r="K8" i="25" s="1"/>
  <c r="E17" i="2"/>
  <c r="D17" i="2"/>
  <c r="D10" i="25" s="1"/>
  <c r="C17" i="2"/>
  <c r="C10" i="25" s="1"/>
  <c r="B17" i="2"/>
  <c r="B10" i="25" s="1"/>
  <c r="A17" i="2"/>
  <c r="F6" i="2"/>
  <c r="E6" i="2"/>
  <c r="D6" i="2"/>
  <c r="C6" i="2"/>
  <c r="A5" i="2"/>
  <c r="B4" i="2"/>
  <c r="A4" i="2"/>
  <c r="A3" i="2"/>
  <c r="A1" i="2"/>
  <c r="D1" i="2" l="1"/>
  <c r="G23" i="2"/>
  <c r="K14" i="2"/>
  <c r="H20" i="2"/>
  <c r="H19" i="2"/>
  <c r="H18" i="2"/>
  <c r="D32" i="2" s="1"/>
  <c r="A11" i="21" s="1"/>
  <c r="K19" i="2"/>
  <c r="K18" i="2"/>
  <c r="K20" i="2"/>
  <c r="L14" i="2"/>
  <c r="M14" i="2"/>
  <c r="K9" i="2"/>
  <c r="K10" i="2"/>
  <c r="K12" i="2"/>
  <c r="K11" i="2"/>
  <c r="K16" i="2"/>
  <c r="K13" i="2"/>
  <c r="K15" i="2"/>
  <c r="F30" i="2"/>
  <c r="F28" i="2"/>
  <c r="A5" i="23" s="1"/>
  <c r="C5" i="23" s="1"/>
  <c r="E11" i="25"/>
  <c r="F29" i="2"/>
  <c r="F27" i="2"/>
  <c r="A4" i="23" s="1"/>
  <c r="C4" i="23" s="1"/>
  <c r="J11" i="25"/>
  <c r="H17" i="2"/>
  <c r="E10" i="25"/>
  <c r="J17" i="2"/>
  <c r="K17" i="2" s="1"/>
  <c r="H16" i="2"/>
  <c r="H11" i="2"/>
  <c r="J6" i="25" s="1"/>
  <c r="H9" i="2"/>
  <c r="H13" i="2"/>
  <c r="J8" i="25" s="1"/>
  <c r="H12" i="2"/>
  <c r="J7" i="25" s="1"/>
  <c r="H15" i="2"/>
  <c r="H10" i="2"/>
  <c r="H14" i="2"/>
  <c r="J9" i="25" s="1"/>
  <c r="M7" i="10"/>
  <c r="C2" i="23"/>
  <c r="L19" i="2" l="1"/>
  <c r="M19" i="2"/>
  <c r="E4" i="23"/>
  <c r="G4" i="23"/>
  <c r="M20" i="2"/>
  <c r="L20" i="2"/>
  <c r="M18" i="2"/>
  <c r="L18" i="2"/>
  <c r="E5" i="23"/>
  <c r="G5" i="23"/>
  <c r="D33" i="2"/>
  <c r="A12" i="21" s="1"/>
  <c r="C12" i="21" s="1"/>
  <c r="J12" i="25"/>
  <c r="D34" i="2"/>
  <c r="A13" i="21" s="1"/>
  <c r="C13" i="21" s="1"/>
  <c r="J13" i="25"/>
  <c r="L15" i="2"/>
  <c r="M15" i="2"/>
  <c r="L13" i="2"/>
  <c r="M13" i="2"/>
  <c r="M11" i="2"/>
  <c r="L11" i="2"/>
  <c r="M12" i="2"/>
  <c r="L12" i="2"/>
  <c r="M10" i="2"/>
  <c r="L10" i="2"/>
  <c r="L16" i="2"/>
  <c r="M16" i="2"/>
  <c r="L9" i="2"/>
  <c r="M9" i="2"/>
  <c r="K11" i="25"/>
  <c r="D28" i="2"/>
  <c r="A7" i="21" s="1"/>
  <c r="C7" i="21" s="1"/>
  <c r="D30" i="2"/>
  <c r="D29" i="2"/>
  <c r="J10" i="25"/>
  <c r="D31" i="2"/>
  <c r="A10" i="21" s="1"/>
  <c r="C10" i="21" s="1"/>
  <c r="D24" i="2"/>
  <c r="D23" i="2"/>
  <c r="D27" i="2"/>
  <c r="A6" i="21" s="1"/>
  <c r="C6" i="21" s="1"/>
  <c r="D26" i="2"/>
  <c r="A5" i="21" s="1"/>
  <c r="C5" i="21" s="1"/>
  <c r="D25" i="2"/>
  <c r="A4" i="21" s="1"/>
  <c r="C4" i="21" s="1"/>
  <c r="L17" i="2"/>
  <c r="I17" i="2"/>
  <c r="M17" i="2"/>
  <c r="B4" i="21"/>
  <c r="D4" i="21" s="1"/>
  <c r="F4" i="21" s="1"/>
  <c r="B5" i="21"/>
  <c r="D5" i="21" s="1"/>
  <c r="F5" i="21" s="1"/>
  <c r="G10" i="25"/>
  <c r="D2" i="23"/>
  <c r="F2" i="23" s="1"/>
  <c r="M3" i="23"/>
  <c r="M4" i="23"/>
  <c r="E2" i="23"/>
  <c r="M7" i="23"/>
  <c r="M6" i="23"/>
  <c r="M5" i="23"/>
  <c r="M8" i="23"/>
  <c r="M8" i="10"/>
  <c r="M17" i="10"/>
  <c r="M18" i="10"/>
  <c r="M4" i="10"/>
  <c r="M6" i="10"/>
  <c r="M2" i="10"/>
  <c r="M9" i="10"/>
  <c r="E13" i="21" l="1"/>
  <c r="G13" i="21"/>
  <c r="M13" i="21"/>
  <c r="E12" i="21"/>
  <c r="G12" i="21"/>
  <c r="M12" i="21"/>
  <c r="E10" i="21"/>
  <c r="G10" i="21"/>
  <c r="E6" i="21"/>
  <c r="G6" i="21"/>
  <c r="E7" i="21"/>
  <c r="G7" i="21"/>
  <c r="K10" i="25"/>
  <c r="F31" i="2"/>
  <c r="A8" i="23" s="1"/>
  <c r="C8" i="23" s="1"/>
  <c r="I5" i="21"/>
  <c r="G2" i="23"/>
  <c r="I5" i="23"/>
  <c r="I3" i="21"/>
  <c r="I3" i="23"/>
  <c r="I20" i="21"/>
  <c r="I19" i="21"/>
  <c r="M3" i="21"/>
  <c r="M10" i="21"/>
  <c r="E5" i="21"/>
  <c r="M5" i="21"/>
  <c r="G5" i="21"/>
  <c r="M8" i="21"/>
  <c r="G4" i="21"/>
  <c r="M4" i="21"/>
  <c r="E4" i="21"/>
  <c r="M7" i="21"/>
  <c r="M9" i="21"/>
  <c r="M6" i="21"/>
  <c r="M5" i="10"/>
  <c r="I3" i="10"/>
  <c r="M16" i="10"/>
  <c r="M3" i="10"/>
  <c r="M14" i="10"/>
  <c r="M13" i="10"/>
  <c r="E8" i="23" l="1"/>
  <c r="G8" i="23"/>
  <c r="M10" i="23"/>
  <c r="M10" i="10"/>
  <c r="M2" i="23"/>
  <c r="I2" i="21"/>
  <c r="I6" i="21"/>
  <c r="I1" i="21"/>
  <c r="I4" i="21"/>
  <c r="M2" i="21"/>
  <c r="O93" i="21"/>
  <c r="O77" i="21"/>
  <c r="O61" i="21"/>
  <c r="O45" i="21"/>
  <c r="O29" i="21"/>
  <c r="O92" i="21"/>
  <c r="O76" i="21"/>
  <c r="O60" i="21"/>
  <c r="O44" i="21"/>
  <c r="O26" i="21"/>
  <c r="O17" i="21"/>
  <c r="O87" i="21"/>
  <c r="O55" i="21"/>
  <c r="O21" i="21"/>
  <c r="O67" i="21"/>
  <c r="O98" i="21"/>
  <c r="O66" i="21"/>
  <c r="O34" i="21"/>
  <c r="O6" i="21"/>
  <c r="O75" i="21"/>
  <c r="O13" i="21"/>
  <c r="O20" i="21"/>
  <c r="O8" i="21"/>
  <c r="O30" i="21"/>
  <c r="O102" i="21"/>
  <c r="O85" i="21"/>
  <c r="O97" i="21"/>
  <c r="O81" i="21"/>
  <c r="O65" i="21"/>
  <c r="O49" i="21"/>
  <c r="O33" i="21"/>
  <c r="O96" i="21"/>
  <c r="O80" i="21"/>
  <c r="O64" i="21"/>
  <c r="O48" i="21"/>
  <c r="O32" i="21"/>
  <c r="O18" i="21"/>
  <c r="O95" i="21"/>
  <c r="O63" i="21"/>
  <c r="O31" i="21"/>
  <c r="O83" i="21"/>
  <c r="O25" i="21"/>
  <c r="O74" i="21"/>
  <c r="O42" i="21"/>
  <c r="O10" i="21"/>
  <c r="O91" i="21"/>
  <c r="O15" i="21"/>
  <c r="O28" i="21"/>
  <c r="O3" i="21"/>
  <c r="O62" i="21"/>
  <c r="O12" i="21"/>
  <c r="O101" i="21"/>
  <c r="O69" i="21"/>
  <c r="O53" i="21"/>
  <c r="O37" i="21"/>
  <c r="O100" i="21"/>
  <c r="O84" i="21"/>
  <c r="O68" i="21"/>
  <c r="O52" i="21"/>
  <c r="O36" i="21"/>
  <c r="O22" i="21"/>
  <c r="O14" i="21"/>
  <c r="O71" i="21"/>
  <c r="O39" i="21"/>
  <c r="O5" i="21"/>
  <c r="O35" i="21"/>
  <c r="O82" i="21"/>
  <c r="O50" i="21"/>
  <c r="O19" i="21"/>
  <c r="O99" i="21"/>
  <c r="O43" i="21"/>
  <c r="O54" i="21"/>
  <c r="O4" i="21"/>
  <c r="O94" i="21"/>
  <c r="O46" i="21"/>
  <c r="O38" i="21"/>
  <c r="O89" i="21"/>
  <c r="O73" i="21"/>
  <c r="O57" i="21"/>
  <c r="O41" i="21"/>
  <c r="O27" i="21"/>
  <c r="O88" i="21"/>
  <c r="O72" i="21"/>
  <c r="O56" i="21"/>
  <c r="O40" i="21"/>
  <c r="O24" i="21"/>
  <c r="O16" i="21"/>
  <c r="O79" i="21"/>
  <c r="O47" i="21"/>
  <c r="O9" i="21"/>
  <c r="O51" i="21"/>
  <c r="O90" i="21"/>
  <c r="O58" i="21"/>
  <c r="O23" i="21"/>
  <c r="O2" i="21"/>
  <c r="O59" i="21"/>
  <c r="O86" i="21"/>
  <c r="O11" i="21"/>
  <c r="O7" i="21"/>
  <c r="O78" i="21"/>
  <c r="O70" i="21"/>
  <c r="O96" i="10" l="1"/>
  <c r="U96" i="10" s="1"/>
  <c r="I10" i="21"/>
  <c r="W78" i="21"/>
  <c r="U78" i="21"/>
  <c r="Y78" i="21"/>
  <c r="W90" i="21"/>
  <c r="U90" i="21"/>
  <c r="Y90" i="21"/>
  <c r="Y56" i="21"/>
  <c r="U56" i="21"/>
  <c r="W56" i="21"/>
  <c r="W38" i="21"/>
  <c r="U38" i="21"/>
  <c r="Y38" i="21"/>
  <c r="W50" i="21"/>
  <c r="Y50" i="21"/>
  <c r="U50" i="21"/>
  <c r="U36" i="21"/>
  <c r="Y36" i="21"/>
  <c r="W36" i="21"/>
  <c r="Y101" i="21"/>
  <c r="W101" i="21"/>
  <c r="U101" i="21"/>
  <c r="Y42" i="21"/>
  <c r="W42" i="21"/>
  <c r="U42" i="21"/>
  <c r="W32" i="21"/>
  <c r="Y32" i="21"/>
  <c r="U32" i="21"/>
  <c r="W81" i="21"/>
  <c r="U81" i="21"/>
  <c r="Y81" i="21"/>
  <c r="Y75" i="21"/>
  <c r="W75" i="21"/>
  <c r="U75" i="21"/>
  <c r="Y87" i="21"/>
  <c r="W87" i="21"/>
  <c r="U87" i="21"/>
  <c r="Y70" i="21"/>
  <c r="U70" i="21"/>
  <c r="W70" i="21"/>
  <c r="Y58" i="21"/>
  <c r="W58" i="21"/>
  <c r="U58" i="21"/>
  <c r="Y40" i="21"/>
  <c r="U40" i="21"/>
  <c r="W40" i="21"/>
  <c r="U89" i="21"/>
  <c r="Y89" i="21"/>
  <c r="W89" i="21"/>
  <c r="U4" i="21"/>
  <c r="Y4" i="21"/>
  <c r="W4" i="21"/>
  <c r="U5" i="21"/>
  <c r="Y5" i="21"/>
  <c r="W5" i="21"/>
  <c r="Y84" i="21"/>
  <c r="W84" i="21"/>
  <c r="U84" i="21"/>
  <c r="U3" i="21"/>
  <c r="Y3" i="21"/>
  <c r="W3" i="21"/>
  <c r="W83" i="21"/>
  <c r="Y83" i="21"/>
  <c r="U83" i="21"/>
  <c r="U80" i="21"/>
  <c r="W80" i="21"/>
  <c r="Y80" i="21"/>
  <c r="W102" i="21"/>
  <c r="Y102" i="21"/>
  <c r="U102" i="21"/>
  <c r="W66" i="21"/>
  <c r="U66" i="21"/>
  <c r="Y66" i="21"/>
  <c r="Y93" i="21"/>
  <c r="U93" i="21"/>
  <c r="W93" i="21"/>
  <c r="W23" i="21"/>
  <c r="U23" i="21"/>
  <c r="Y23" i="21"/>
  <c r="Y9" i="21"/>
  <c r="W9" i="21"/>
  <c r="U9" i="21"/>
  <c r="U88" i="21"/>
  <c r="W88" i="21"/>
  <c r="Y88" i="21"/>
  <c r="Y94" i="21"/>
  <c r="U94" i="21"/>
  <c r="W94" i="21"/>
  <c r="Y7" i="21"/>
  <c r="W7" i="21"/>
  <c r="U7" i="21"/>
  <c r="U2" i="21"/>
  <c r="Y2" i="21"/>
  <c r="W2" i="21"/>
  <c r="Y51" i="21"/>
  <c r="U51" i="21"/>
  <c r="W51" i="21"/>
  <c r="Y16" i="21"/>
  <c r="W16" i="21"/>
  <c r="U16" i="21"/>
  <c r="W72" i="21"/>
  <c r="U72" i="21"/>
  <c r="Y72" i="21"/>
  <c r="W57" i="21"/>
  <c r="U57" i="21"/>
  <c r="Y57" i="21"/>
  <c r="W46" i="21"/>
  <c r="U46" i="21"/>
  <c r="Y46" i="21"/>
  <c r="W43" i="21"/>
  <c r="U43" i="21"/>
  <c r="Y43" i="21"/>
  <c r="W82" i="21"/>
  <c r="U82" i="21"/>
  <c r="Y82" i="21"/>
  <c r="U71" i="21"/>
  <c r="Y71" i="21"/>
  <c r="W71" i="21"/>
  <c r="W52" i="21"/>
  <c r="U52" i="21"/>
  <c r="Y52" i="21"/>
  <c r="U37" i="21"/>
  <c r="W37" i="21"/>
  <c r="Y37" i="21"/>
  <c r="U12" i="21"/>
  <c r="W12" i="21"/>
  <c r="Y12" i="21"/>
  <c r="U15" i="21"/>
  <c r="Y15" i="21"/>
  <c r="W15" i="21"/>
  <c r="U74" i="21"/>
  <c r="W74" i="21"/>
  <c r="Y74" i="21"/>
  <c r="U63" i="21"/>
  <c r="Y63" i="21"/>
  <c r="W63" i="21"/>
  <c r="U48" i="21"/>
  <c r="Y48" i="21"/>
  <c r="W48" i="21"/>
  <c r="Y33" i="21"/>
  <c r="U33" i="21"/>
  <c r="W33" i="21"/>
  <c r="Y97" i="21"/>
  <c r="W97" i="21"/>
  <c r="U97" i="21"/>
  <c r="Y8" i="21"/>
  <c r="U8" i="21"/>
  <c r="W8" i="21"/>
  <c r="Y6" i="21"/>
  <c r="W6" i="21"/>
  <c r="U6" i="21"/>
  <c r="Y67" i="21"/>
  <c r="W67" i="21"/>
  <c r="U67" i="21"/>
  <c r="Y17" i="21"/>
  <c r="W17" i="21"/>
  <c r="U17" i="21"/>
  <c r="U76" i="21"/>
  <c r="Y76" i="21"/>
  <c r="W76" i="21"/>
  <c r="U61" i="21"/>
  <c r="W61" i="21"/>
  <c r="Y61" i="21"/>
  <c r="I7" i="21"/>
  <c r="U59" i="21"/>
  <c r="Y59" i="21"/>
  <c r="W59" i="21"/>
  <c r="Y79" i="21"/>
  <c r="U79" i="21"/>
  <c r="W79" i="21"/>
  <c r="U41" i="21"/>
  <c r="W41" i="21"/>
  <c r="Y41" i="21"/>
  <c r="W54" i="21"/>
  <c r="U54" i="21"/>
  <c r="Y54" i="21"/>
  <c r="W39" i="21"/>
  <c r="Y39" i="21"/>
  <c r="U39" i="21"/>
  <c r="U100" i="21"/>
  <c r="Y100" i="21"/>
  <c r="W100" i="21"/>
  <c r="Y28" i="21"/>
  <c r="W28" i="21"/>
  <c r="U28" i="21"/>
  <c r="Y31" i="21"/>
  <c r="U31" i="21"/>
  <c r="W31" i="21"/>
  <c r="W96" i="21"/>
  <c r="U96" i="21"/>
  <c r="Y96" i="21"/>
  <c r="W30" i="21"/>
  <c r="U30" i="21"/>
  <c r="Y30" i="21"/>
  <c r="W98" i="21"/>
  <c r="U98" i="21"/>
  <c r="Y98" i="21"/>
  <c r="U60" i="21"/>
  <c r="Y60" i="21"/>
  <c r="W60" i="21"/>
  <c r="U45" i="21"/>
  <c r="W45" i="21"/>
  <c r="Y45" i="21"/>
  <c r="U86" i="21"/>
  <c r="W86" i="21"/>
  <c r="Y86" i="21"/>
  <c r="U47" i="21"/>
  <c r="Y47" i="21"/>
  <c r="W47" i="21"/>
  <c r="Y27" i="21"/>
  <c r="U27" i="21"/>
  <c r="W27" i="21"/>
  <c r="U19" i="21"/>
  <c r="W19" i="21"/>
  <c r="Y19" i="21"/>
  <c r="U22" i="21"/>
  <c r="W22" i="21"/>
  <c r="Y22" i="21"/>
  <c r="U69" i="21"/>
  <c r="Y69" i="21"/>
  <c r="W69" i="21"/>
  <c r="W10" i="21"/>
  <c r="U10" i="21"/>
  <c r="Y10" i="21"/>
  <c r="Y18" i="21"/>
  <c r="U18" i="21"/>
  <c r="W18" i="21"/>
  <c r="U65" i="21"/>
  <c r="Y65" i="21"/>
  <c r="W65" i="21"/>
  <c r="U13" i="21"/>
  <c r="W13" i="21"/>
  <c r="Y13" i="21"/>
  <c r="U55" i="21"/>
  <c r="W55" i="21"/>
  <c r="Y55" i="21"/>
  <c r="Y44" i="21"/>
  <c r="W44" i="21"/>
  <c r="U44" i="21"/>
  <c r="W29" i="21"/>
  <c r="Y29" i="21"/>
  <c r="U29" i="21"/>
  <c r="Y11" i="21"/>
  <c r="W11" i="21"/>
  <c r="U11" i="21"/>
  <c r="Y24" i="21"/>
  <c r="W24" i="21"/>
  <c r="U24" i="21"/>
  <c r="Y73" i="21"/>
  <c r="W73" i="21"/>
  <c r="U73" i="21"/>
  <c r="Y99" i="21"/>
  <c r="U99" i="21"/>
  <c r="W99" i="21"/>
  <c r="Y35" i="21"/>
  <c r="W35" i="21"/>
  <c r="U35" i="21"/>
  <c r="W14" i="21"/>
  <c r="U14" i="21"/>
  <c r="Y14" i="21"/>
  <c r="W68" i="21"/>
  <c r="U68" i="21"/>
  <c r="Y68" i="21"/>
  <c r="W53" i="21"/>
  <c r="U53" i="21"/>
  <c r="Y53" i="21"/>
  <c r="W62" i="21"/>
  <c r="Y62" i="21"/>
  <c r="U62" i="21"/>
  <c r="W91" i="21"/>
  <c r="U91" i="21"/>
  <c r="Y91" i="21"/>
  <c r="W25" i="21"/>
  <c r="U25" i="21"/>
  <c r="Y25" i="21"/>
  <c r="W95" i="21"/>
  <c r="Y95" i="21"/>
  <c r="U95" i="21"/>
  <c r="Y64" i="21"/>
  <c r="W64" i="21"/>
  <c r="U64" i="21"/>
  <c r="U49" i="21"/>
  <c r="Y49" i="21"/>
  <c r="W49" i="21"/>
  <c r="Y85" i="21"/>
  <c r="W85" i="21"/>
  <c r="U85" i="21"/>
  <c r="W20" i="21"/>
  <c r="U20" i="21"/>
  <c r="Y20" i="21"/>
  <c r="U34" i="21"/>
  <c r="Y34" i="21"/>
  <c r="W34" i="21"/>
  <c r="W21" i="21"/>
  <c r="U21" i="21"/>
  <c r="Y21" i="21"/>
  <c r="Y26" i="21"/>
  <c r="W26" i="21"/>
  <c r="U26" i="21"/>
  <c r="W92" i="21"/>
  <c r="U92" i="21"/>
  <c r="Y92" i="21"/>
  <c r="Y77" i="21"/>
  <c r="U77" i="21"/>
  <c r="W77" i="21"/>
  <c r="J24" i="21"/>
  <c r="I11" i="21"/>
  <c r="I8" i="21"/>
  <c r="I9" i="21"/>
  <c r="O4" i="10"/>
  <c r="O11" i="10"/>
  <c r="O18" i="10"/>
  <c r="O16" i="10"/>
  <c r="O33" i="10"/>
  <c r="O57" i="10"/>
  <c r="O38" i="10"/>
  <c r="O20" i="10"/>
  <c r="O32" i="10"/>
  <c r="O48" i="10"/>
  <c r="O27" i="10"/>
  <c r="O28" i="10"/>
  <c r="O31" i="10"/>
  <c r="O47" i="10"/>
  <c r="O73" i="10"/>
  <c r="O78" i="10"/>
  <c r="O68" i="10"/>
  <c r="O69" i="10"/>
  <c r="O67" i="10"/>
  <c r="O94" i="10"/>
  <c r="O87" i="10"/>
  <c r="O85" i="10"/>
  <c r="O101" i="10"/>
  <c r="O99" i="10"/>
  <c r="O92" i="10"/>
  <c r="M15" i="10"/>
  <c r="I4" i="10"/>
  <c r="I1" i="10"/>
  <c r="I11" i="10" s="1"/>
  <c r="I2" i="10"/>
  <c r="O3" i="10"/>
  <c r="O7" i="10"/>
  <c r="O9" i="10"/>
  <c r="O15" i="10"/>
  <c r="O19" i="10"/>
  <c r="O53" i="10"/>
  <c r="O34" i="10"/>
  <c r="O50" i="10"/>
  <c r="O26" i="10"/>
  <c r="O44" i="10"/>
  <c r="O21" i="10"/>
  <c r="O49" i="10"/>
  <c r="O25" i="10"/>
  <c r="O43" i="10"/>
  <c r="O65" i="10"/>
  <c r="O70" i="10"/>
  <c r="O64" i="10"/>
  <c r="O61" i="10"/>
  <c r="O59" i="10"/>
  <c r="O82" i="10"/>
  <c r="O83" i="10"/>
  <c r="O81" i="10"/>
  <c r="O97" i="10"/>
  <c r="O98" i="10"/>
  <c r="O88" i="10"/>
  <c r="O2" i="10"/>
  <c r="O6" i="10"/>
  <c r="O10" i="10"/>
  <c r="O12" i="10"/>
  <c r="O14" i="10"/>
  <c r="O41" i="10"/>
  <c r="O30" i="10"/>
  <c r="O46" i="10"/>
  <c r="O24" i="10"/>
  <c r="O40" i="10"/>
  <c r="O56" i="10"/>
  <c r="O45" i="10"/>
  <c r="O58" i="10"/>
  <c r="O39" i="10"/>
  <c r="O55" i="10"/>
  <c r="O62" i="10"/>
  <c r="O60" i="10"/>
  <c r="O76" i="10"/>
  <c r="O74" i="10"/>
  <c r="O75" i="10"/>
  <c r="O79" i="10"/>
  <c r="O95" i="10"/>
  <c r="O93" i="10"/>
  <c r="O90" i="10"/>
  <c r="O84" i="10"/>
  <c r="O100" i="10"/>
  <c r="O5" i="10"/>
  <c r="O8" i="10"/>
  <c r="O13" i="10"/>
  <c r="O17" i="10"/>
  <c r="O37" i="10"/>
  <c r="O22" i="10"/>
  <c r="O42" i="10"/>
  <c r="O23" i="10"/>
  <c r="O36" i="10"/>
  <c r="O52" i="10"/>
  <c r="O29" i="10"/>
  <c r="O54" i="10"/>
  <c r="O35" i="10"/>
  <c r="O51" i="10"/>
  <c r="O77" i="10"/>
  <c r="O63" i="10"/>
  <c r="O72" i="10"/>
  <c r="O66" i="10"/>
  <c r="O71" i="10"/>
  <c r="O102" i="10"/>
  <c r="O91" i="10"/>
  <c r="O89" i="10"/>
  <c r="O86" i="10"/>
  <c r="O80" i="10"/>
  <c r="Y96" i="10" l="1"/>
  <c r="I15" i="21"/>
  <c r="I16" i="21"/>
  <c r="J25" i="21"/>
  <c r="I12" i="21"/>
  <c r="I23" i="21"/>
  <c r="I14" i="21"/>
  <c r="I10" i="10"/>
  <c r="Y80" i="10"/>
  <c r="U80" i="10"/>
  <c r="W102" i="10"/>
  <c r="U102" i="10"/>
  <c r="W63" i="10"/>
  <c r="Y63" i="10"/>
  <c r="Y54" i="10"/>
  <c r="W54" i="10"/>
  <c r="U23" i="10"/>
  <c r="Y23" i="10"/>
  <c r="Y17" i="10"/>
  <c r="W17" i="10"/>
  <c r="U100" i="10"/>
  <c r="Y100" i="10"/>
  <c r="W95" i="10"/>
  <c r="Y95" i="10"/>
  <c r="Y75" i="10"/>
  <c r="W76" i="10"/>
  <c r="Y76" i="10"/>
  <c r="W39" i="10"/>
  <c r="Y39" i="10"/>
  <c r="W40" i="10"/>
  <c r="Y40" i="10"/>
  <c r="Y41" i="10"/>
  <c r="W41" i="10"/>
  <c r="Y6" i="10"/>
  <c r="U6" i="10"/>
  <c r="U97" i="10"/>
  <c r="Y97" i="10"/>
  <c r="Y58" i="10"/>
  <c r="W59" i="10"/>
  <c r="U59" i="10"/>
  <c r="Y65" i="10"/>
  <c r="U65" i="10"/>
  <c r="W21" i="10"/>
  <c r="U21" i="10"/>
  <c r="W34" i="10"/>
  <c r="Y34" i="10"/>
  <c r="U9" i="10"/>
  <c r="W9" i="10"/>
  <c r="Y9" i="10"/>
  <c r="Y66" i="10"/>
  <c r="Y67" i="10"/>
  <c r="U67" i="10"/>
  <c r="Y73" i="10"/>
  <c r="W73" i="10"/>
  <c r="Y26" i="10"/>
  <c r="Y27" i="10"/>
  <c r="W27" i="10"/>
  <c r="Y38" i="10"/>
  <c r="W38" i="10"/>
  <c r="U72" i="10"/>
  <c r="Y72" i="10"/>
  <c r="Y36" i="10"/>
  <c r="Y37" i="10"/>
  <c r="U37" i="10"/>
  <c r="U5" i="10"/>
  <c r="Y5" i="10"/>
  <c r="W74" i="10"/>
  <c r="U74" i="10"/>
  <c r="W55" i="10"/>
  <c r="Y55" i="10"/>
  <c r="U56" i="10"/>
  <c r="Y56" i="10"/>
  <c r="Y30" i="10"/>
  <c r="U30" i="10"/>
  <c r="W10" i="10"/>
  <c r="Y10" i="10"/>
  <c r="W98" i="10"/>
  <c r="U98" i="10"/>
  <c r="W82" i="10"/>
  <c r="U82" i="10"/>
  <c r="Y70" i="10"/>
  <c r="W70" i="10"/>
  <c r="Y49" i="10"/>
  <c r="U49" i="10"/>
  <c r="W50" i="10"/>
  <c r="U50" i="10"/>
  <c r="W15" i="10"/>
  <c r="Y15" i="10"/>
  <c r="Y98" i="10"/>
  <c r="W99" i="10"/>
  <c r="Y99" i="10"/>
  <c r="Y94" i="10"/>
  <c r="U94" i="10"/>
  <c r="W78" i="10"/>
  <c r="U78" i="10"/>
  <c r="Y28" i="10"/>
  <c r="U28" i="10"/>
  <c r="U20" i="10"/>
  <c r="Y20" i="10"/>
  <c r="W16" i="10"/>
  <c r="U16" i="10"/>
  <c r="U89" i="10"/>
  <c r="W89" i="10"/>
  <c r="U66" i="10"/>
  <c r="W66" i="10"/>
  <c r="Y50" i="10"/>
  <c r="U51" i="10"/>
  <c r="Y51" i="10"/>
  <c r="U52" i="10"/>
  <c r="Y52" i="10"/>
  <c r="Y21" i="10"/>
  <c r="W22" i="10"/>
  <c r="U22" i="10"/>
  <c r="W8" i="10"/>
  <c r="Y8" i="10"/>
  <c r="Y89" i="10"/>
  <c r="W90" i="10"/>
  <c r="U90" i="10"/>
  <c r="Y74" i="10"/>
  <c r="U75" i="10"/>
  <c r="W75" i="10"/>
  <c r="Y62" i="10"/>
  <c r="W62" i="10"/>
  <c r="Y45" i="10"/>
  <c r="W45" i="10"/>
  <c r="Y46" i="10"/>
  <c r="U46" i="10"/>
  <c r="W12" i="10"/>
  <c r="Y12" i="10"/>
  <c r="Y88" i="10"/>
  <c r="U88" i="10"/>
  <c r="Y82" i="10"/>
  <c r="W83" i="10"/>
  <c r="Y83" i="10"/>
  <c r="U64" i="10"/>
  <c r="Y64" i="10"/>
  <c r="W25" i="10"/>
  <c r="Y25" i="10"/>
  <c r="U26" i="10"/>
  <c r="W26" i="10"/>
  <c r="Y19" i="10"/>
  <c r="W19" i="10"/>
  <c r="W3" i="10"/>
  <c r="Y3" i="10"/>
  <c r="Y91" i="10"/>
  <c r="W92" i="10"/>
  <c r="Y92" i="10"/>
  <c r="W87" i="10"/>
  <c r="Y87" i="10"/>
  <c r="U68" i="10"/>
  <c r="Y68" i="10"/>
  <c r="U31" i="10"/>
  <c r="W31" i="10"/>
  <c r="Y31" i="10"/>
  <c r="U32" i="10"/>
  <c r="W32" i="10"/>
  <c r="Y32" i="10"/>
  <c r="Y33" i="10"/>
  <c r="W33" i="10"/>
  <c r="U4" i="10"/>
  <c r="Y4" i="10"/>
  <c r="I7" i="10"/>
  <c r="W101" i="10"/>
  <c r="Y101" i="10"/>
  <c r="W18" i="10"/>
  <c r="U18" i="10"/>
  <c r="Y18" i="10"/>
  <c r="Y90" i="10"/>
  <c r="W91" i="10"/>
  <c r="U91" i="10"/>
  <c r="U35" i="10"/>
  <c r="W35" i="10"/>
  <c r="Y35" i="10"/>
  <c r="U36" i="10"/>
  <c r="W36" i="10"/>
  <c r="W93" i="10"/>
  <c r="Y93" i="10"/>
  <c r="Y86" i="10"/>
  <c r="W86" i="10"/>
  <c r="W71" i="10"/>
  <c r="Y71" i="10"/>
  <c r="Y77" i="10"/>
  <c r="W77" i="10"/>
  <c r="Y29" i="10"/>
  <c r="W29" i="10"/>
  <c r="U42" i="10"/>
  <c r="W42" i="10"/>
  <c r="Y13" i="10"/>
  <c r="U13" i="10"/>
  <c r="Y84" i="10"/>
  <c r="W84" i="10"/>
  <c r="Y78" i="10"/>
  <c r="W79" i="10"/>
  <c r="Y79" i="10"/>
  <c r="Y59" i="10"/>
  <c r="W60" i="10"/>
  <c r="Y60" i="10"/>
  <c r="W58" i="10"/>
  <c r="U58" i="10"/>
  <c r="U24" i="10"/>
  <c r="Y24" i="10"/>
  <c r="U14" i="10"/>
  <c r="Y14" i="10"/>
  <c r="U2" i="10"/>
  <c r="W2" i="10"/>
  <c r="Y2" i="10"/>
  <c r="U81" i="10"/>
  <c r="Y81" i="10"/>
  <c r="W61" i="10"/>
  <c r="Y61" i="10"/>
  <c r="Y42" i="10"/>
  <c r="W43" i="10"/>
  <c r="U43" i="10"/>
  <c r="Y43" i="10"/>
  <c r="W44" i="10"/>
  <c r="Y44" i="10"/>
  <c r="Y53" i="10"/>
  <c r="W53" i="10"/>
  <c r="Y7" i="10"/>
  <c r="U7" i="10"/>
  <c r="W85" i="10"/>
  <c r="Y85" i="10"/>
  <c r="Y69" i="10"/>
  <c r="W69" i="10"/>
  <c r="W47" i="10"/>
  <c r="Y47" i="10"/>
  <c r="U48" i="10"/>
  <c r="Y48" i="10"/>
  <c r="Y57" i="10"/>
  <c r="W57" i="10"/>
  <c r="U11" i="10"/>
  <c r="Y11" i="10"/>
  <c r="K23" i="21" l="1"/>
  <c r="J12" i="21"/>
  <c r="K12" i="21" s="1"/>
  <c r="L29" i="21"/>
  <c r="I24" i="21"/>
  <c r="K24" i="21" s="1"/>
  <c r="P91" i="21" s="1"/>
  <c r="I13" i="21"/>
  <c r="J24" i="10"/>
  <c r="I15" i="10" s="1"/>
  <c r="W24" i="10"/>
  <c r="W5" i="10"/>
  <c r="W46" i="10"/>
  <c r="W30" i="10"/>
  <c r="U17" i="10"/>
  <c r="U87" i="10"/>
  <c r="U99" i="10"/>
  <c r="W13" i="10"/>
  <c r="W7" i="10"/>
  <c r="U41" i="10"/>
  <c r="U83" i="10"/>
  <c r="U101" i="10"/>
  <c r="U95" i="10"/>
  <c r="U15" i="10"/>
  <c r="W68" i="10"/>
  <c r="U29" i="10"/>
  <c r="W11" i="10"/>
  <c r="U76" i="10"/>
  <c r="U8" i="10"/>
  <c r="U92" i="10"/>
  <c r="U93" i="10"/>
  <c r="U44" i="10"/>
  <c r="U34" i="10"/>
  <c r="U25" i="10"/>
  <c r="U57" i="10"/>
  <c r="U54" i="10"/>
  <c r="W28" i="10"/>
  <c r="U12" i="10"/>
  <c r="U61" i="10"/>
  <c r="U47" i="10"/>
  <c r="U70" i="10"/>
  <c r="W52" i="10"/>
  <c r="U19" i="10"/>
  <c r="U71" i="10"/>
  <c r="W72" i="10"/>
  <c r="U45" i="10"/>
  <c r="U53" i="10"/>
  <c r="W67" i="10"/>
  <c r="W49" i="10"/>
  <c r="W20" i="10"/>
  <c r="W48" i="10"/>
  <c r="W100" i="10"/>
  <c r="W80" i="10"/>
  <c r="W97" i="10"/>
  <c r="U55" i="10"/>
  <c r="W4" i="10"/>
  <c r="U84" i="10"/>
  <c r="U39" i="10"/>
  <c r="W94" i="10"/>
  <c r="W51" i="10"/>
  <c r="U85" i="10"/>
  <c r="W14" i="10"/>
  <c r="U63" i="10"/>
  <c r="U86" i="10"/>
  <c r="W37" i="10"/>
  <c r="U3" i="10"/>
  <c r="U33" i="10"/>
  <c r="U79" i="10"/>
  <c r="W81" i="10"/>
  <c r="U69" i="10"/>
  <c r="W23" i="10"/>
  <c r="W6" i="10"/>
  <c r="W88" i="10"/>
  <c r="U27" i="10"/>
  <c r="U77" i="10"/>
  <c r="W56" i="10"/>
  <c r="W64" i="10"/>
  <c r="U60" i="10"/>
  <c r="W65" i="10"/>
  <c r="U38" i="10"/>
  <c r="U10" i="10"/>
  <c r="U62" i="10"/>
  <c r="U40" i="10"/>
  <c r="U73" i="10"/>
  <c r="W96" i="10"/>
  <c r="Y22" i="10"/>
  <c r="Y16" i="10"/>
  <c r="M11" i="10"/>
  <c r="M12" i="10"/>
  <c r="Y102" i="10"/>
  <c r="P16" i="21" l="1"/>
  <c r="P45" i="21"/>
  <c r="R45" i="21" s="1"/>
  <c r="V45" i="21" s="1"/>
  <c r="P70" i="21"/>
  <c r="P95" i="21"/>
  <c r="S95" i="21" s="1"/>
  <c r="X95" i="21" s="1"/>
  <c r="P32" i="21"/>
  <c r="R32" i="21" s="1"/>
  <c r="V32" i="21" s="1"/>
  <c r="P61" i="21"/>
  <c r="R61" i="21" s="1"/>
  <c r="V61" i="21" s="1"/>
  <c r="P86" i="21"/>
  <c r="R86" i="21" s="1"/>
  <c r="V86" i="21" s="1"/>
  <c r="P48" i="21"/>
  <c r="S48" i="21" s="1"/>
  <c r="X48" i="21" s="1"/>
  <c r="P77" i="21"/>
  <c r="S77" i="21" s="1"/>
  <c r="X77" i="21" s="1"/>
  <c r="P102" i="21"/>
  <c r="S102" i="21" s="1"/>
  <c r="X102" i="21" s="1"/>
  <c r="P64" i="21"/>
  <c r="R64" i="21" s="1"/>
  <c r="V64" i="21" s="1"/>
  <c r="P93" i="21"/>
  <c r="S93" i="21" s="1"/>
  <c r="X93" i="21" s="1"/>
  <c r="P15" i="21"/>
  <c r="R15" i="21" s="1"/>
  <c r="V15" i="21" s="1"/>
  <c r="P80" i="21"/>
  <c r="R80" i="21" s="1"/>
  <c r="V80" i="21" s="1"/>
  <c r="P31" i="21"/>
  <c r="S31" i="21" s="1"/>
  <c r="X31" i="21" s="1"/>
  <c r="P96" i="21"/>
  <c r="R96" i="21" s="1"/>
  <c r="V96" i="21" s="1"/>
  <c r="P13" i="21"/>
  <c r="P38" i="21"/>
  <c r="S38" i="21" s="1"/>
  <c r="X38" i="21" s="1"/>
  <c r="P63" i="21"/>
  <c r="S63" i="21" s="1"/>
  <c r="X63" i="21" s="1"/>
  <c r="P6" i="21"/>
  <c r="S6" i="21" s="1"/>
  <c r="X6" i="21" s="1"/>
  <c r="P22" i="21"/>
  <c r="S22" i="21" s="1"/>
  <c r="X22" i="21" s="1"/>
  <c r="P47" i="21"/>
  <c r="R47" i="21" s="1"/>
  <c r="V47" i="21" s="1"/>
  <c r="P29" i="21"/>
  <c r="R29" i="21" s="1"/>
  <c r="V29" i="21" s="1"/>
  <c r="P54" i="21"/>
  <c r="S54" i="21" s="1"/>
  <c r="X54" i="21" s="1"/>
  <c r="P79" i="21"/>
  <c r="S79" i="21" s="1"/>
  <c r="X79" i="21" s="1"/>
  <c r="P20" i="21"/>
  <c r="S20" i="21" s="1"/>
  <c r="X20" i="21" s="1"/>
  <c r="P52" i="21"/>
  <c r="R52" i="21" s="1"/>
  <c r="V52" i="21" s="1"/>
  <c r="P84" i="21"/>
  <c r="R84" i="21" s="1"/>
  <c r="V84" i="21" s="1"/>
  <c r="P17" i="21"/>
  <c r="S17" i="21" s="1"/>
  <c r="X17" i="21" s="1"/>
  <c r="P49" i="21"/>
  <c r="S49" i="21" s="1"/>
  <c r="X49" i="21" s="1"/>
  <c r="P81" i="21"/>
  <c r="S81" i="21" s="1"/>
  <c r="X81" i="21" s="1"/>
  <c r="P10" i="21"/>
  <c r="S10" i="21" s="1"/>
  <c r="X10" i="21" s="1"/>
  <c r="P42" i="21"/>
  <c r="P74" i="21"/>
  <c r="R74" i="21" s="1"/>
  <c r="V74" i="21" s="1"/>
  <c r="P90" i="21"/>
  <c r="R90" i="21" s="1"/>
  <c r="V90" i="21" s="1"/>
  <c r="P3" i="21"/>
  <c r="S3" i="21" s="1"/>
  <c r="X3" i="21" s="1"/>
  <c r="P35" i="21"/>
  <c r="R35" i="21" s="1"/>
  <c r="V35" i="21" s="1"/>
  <c r="P51" i="21"/>
  <c r="R51" i="21" s="1"/>
  <c r="V51" i="21" s="1"/>
  <c r="P67" i="21"/>
  <c r="R67" i="21" s="1"/>
  <c r="V67" i="21" s="1"/>
  <c r="P83" i="21"/>
  <c r="R83" i="21" s="1"/>
  <c r="V83" i="21" s="1"/>
  <c r="P99" i="21"/>
  <c r="P8" i="21"/>
  <c r="S8" i="21" s="1"/>
  <c r="X8" i="21" s="1"/>
  <c r="P24" i="21"/>
  <c r="R24" i="21" s="1"/>
  <c r="V24" i="21" s="1"/>
  <c r="P40" i="21"/>
  <c r="S40" i="21" s="1"/>
  <c r="X40" i="21" s="1"/>
  <c r="P56" i="21"/>
  <c r="S56" i="21" s="1"/>
  <c r="X56" i="21" s="1"/>
  <c r="P72" i="21"/>
  <c r="S72" i="21" s="1"/>
  <c r="X72" i="21" s="1"/>
  <c r="P88" i="21"/>
  <c r="S88" i="21" s="1"/>
  <c r="X88" i="21" s="1"/>
  <c r="P5" i="21"/>
  <c r="R5" i="21" s="1"/>
  <c r="V5" i="21" s="1"/>
  <c r="P21" i="21"/>
  <c r="R21" i="21" s="1"/>
  <c r="V21" i="21" s="1"/>
  <c r="P37" i="21"/>
  <c r="S37" i="21" s="1"/>
  <c r="X37" i="21" s="1"/>
  <c r="P53" i="21"/>
  <c r="R53" i="21" s="1"/>
  <c r="V53" i="21" s="1"/>
  <c r="P69" i="21"/>
  <c r="S69" i="21" s="1"/>
  <c r="X69" i="21" s="1"/>
  <c r="P85" i="21"/>
  <c r="S85" i="21" s="1"/>
  <c r="X85" i="21" s="1"/>
  <c r="P101" i="21"/>
  <c r="S101" i="21" s="1"/>
  <c r="X101" i="21" s="1"/>
  <c r="P14" i="21"/>
  <c r="R14" i="21" s="1"/>
  <c r="V14" i="21" s="1"/>
  <c r="P30" i="21"/>
  <c r="S30" i="21" s="1"/>
  <c r="X30" i="21" s="1"/>
  <c r="P46" i="21"/>
  <c r="P62" i="21"/>
  <c r="R62" i="21" s="1"/>
  <c r="V62" i="21" s="1"/>
  <c r="P78" i="21"/>
  <c r="R78" i="21" s="1"/>
  <c r="V78" i="21" s="1"/>
  <c r="P94" i="21"/>
  <c r="S94" i="21" s="1"/>
  <c r="X94" i="21" s="1"/>
  <c r="P7" i="21"/>
  <c r="R7" i="21" s="1"/>
  <c r="V7" i="21" s="1"/>
  <c r="P23" i="21"/>
  <c r="R23" i="21" s="1"/>
  <c r="V23" i="21" s="1"/>
  <c r="P39" i="21"/>
  <c r="S39" i="21" s="1"/>
  <c r="X39" i="21" s="1"/>
  <c r="P55" i="21"/>
  <c r="S55" i="21" s="1"/>
  <c r="X55" i="21" s="1"/>
  <c r="P71" i="21"/>
  <c r="R71" i="21" s="1"/>
  <c r="V71" i="21" s="1"/>
  <c r="P87" i="21"/>
  <c r="R87" i="21" s="1"/>
  <c r="V87" i="21" s="1"/>
  <c r="P4" i="21"/>
  <c r="S4" i="21" s="1"/>
  <c r="X4" i="21" s="1"/>
  <c r="P36" i="21"/>
  <c r="R36" i="21" s="1"/>
  <c r="V36" i="21" s="1"/>
  <c r="P68" i="21"/>
  <c r="S68" i="21" s="1"/>
  <c r="X68" i="21" s="1"/>
  <c r="P100" i="21"/>
  <c r="S100" i="21" s="1"/>
  <c r="X100" i="21" s="1"/>
  <c r="P33" i="21"/>
  <c r="R33" i="21" s="1"/>
  <c r="V33" i="21" s="1"/>
  <c r="P65" i="21"/>
  <c r="R65" i="21" s="1"/>
  <c r="V65" i="21" s="1"/>
  <c r="P97" i="21"/>
  <c r="S97" i="21" s="1"/>
  <c r="X97" i="21" s="1"/>
  <c r="P26" i="21"/>
  <c r="R26" i="21" s="1"/>
  <c r="V26" i="21" s="1"/>
  <c r="P58" i="21"/>
  <c r="S58" i="21" s="1"/>
  <c r="X58" i="21" s="1"/>
  <c r="P19" i="21"/>
  <c r="R19" i="21" s="1"/>
  <c r="V19" i="21" s="1"/>
  <c r="P12" i="21"/>
  <c r="R12" i="21" s="1"/>
  <c r="V12" i="21" s="1"/>
  <c r="P28" i="21"/>
  <c r="S28" i="21" s="1"/>
  <c r="X28" i="21" s="1"/>
  <c r="P44" i="21"/>
  <c r="S44" i="21" s="1"/>
  <c r="X44" i="21" s="1"/>
  <c r="P60" i="21"/>
  <c r="S60" i="21" s="1"/>
  <c r="X60" i="21" s="1"/>
  <c r="P76" i="21"/>
  <c r="S76" i="21" s="1"/>
  <c r="X76" i="21" s="1"/>
  <c r="P92" i="21"/>
  <c r="S92" i="21" s="1"/>
  <c r="X92" i="21" s="1"/>
  <c r="P9" i="21"/>
  <c r="S9" i="21" s="1"/>
  <c r="X9" i="21" s="1"/>
  <c r="P25" i="21"/>
  <c r="S25" i="21" s="1"/>
  <c r="X25" i="21" s="1"/>
  <c r="P41" i="21"/>
  <c r="S41" i="21" s="1"/>
  <c r="X41" i="21" s="1"/>
  <c r="P57" i="21"/>
  <c r="S57" i="21" s="1"/>
  <c r="X57" i="21" s="1"/>
  <c r="P73" i="21"/>
  <c r="R73" i="21" s="1"/>
  <c r="V73" i="21" s="1"/>
  <c r="P89" i="21"/>
  <c r="S89" i="21" s="1"/>
  <c r="X89" i="21" s="1"/>
  <c r="P2" i="21"/>
  <c r="S2" i="21" s="1"/>
  <c r="X2" i="21" s="1"/>
  <c r="P18" i="21"/>
  <c r="R18" i="21" s="1"/>
  <c r="V18" i="21" s="1"/>
  <c r="P34" i="21"/>
  <c r="R34" i="21" s="1"/>
  <c r="V34" i="21" s="1"/>
  <c r="P50" i="21"/>
  <c r="R50" i="21" s="1"/>
  <c r="V50" i="21" s="1"/>
  <c r="P66" i="21"/>
  <c r="R66" i="21" s="1"/>
  <c r="V66" i="21" s="1"/>
  <c r="P82" i="21"/>
  <c r="R82" i="21" s="1"/>
  <c r="V82" i="21" s="1"/>
  <c r="P98" i="21"/>
  <c r="S98" i="21" s="1"/>
  <c r="X98" i="21" s="1"/>
  <c r="P11" i="21"/>
  <c r="R11" i="21" s="1"/>
  <c r="V11" i="21" s="1"/>
  <c r="P27" i="21"/>
  <c r="S27" i="21" s="1"/>
  <c r="X27" i="21" s="1"/>
  <c r="P43" i="21"/>
  <c r="S43" i="21" s="1"/>
  <c r="X43" i="21" s="1"/>
  <c r="P59" i="21"/>
  <c r="R59" i="21" s="1"/>
  <c r="V59" i="21" s="1"/>
  <c r="P75" i="21"/>
  <c r="S75" i="21" s="1"/>
  <c r="X75" i="21" s="1"/>
  <c r="I25" i="21"/>
  <c r="S70" i="21"/>
  <c r="X70" i="21" s="1"/>
  <c r="Q63" i="21"/>
  <c r="T63" i="21" s="1"/>
  <c r="Q39" i="21"/>
  <c r="T39" i="21" s="1"/>
  <c r="Q21" i="21"/>
  <c r="T21" i="21" s="1"/>
  <c r="N14" i="21"/>
  <c r="Q82" i="21"/>
  <c r="T82" i="21" s="1"/>
  <c r="Q66" i="21"/>
  <c r="T66" i="21" s="1"/>
  <c r="Q50" i="21"/>
  <c r="T50" i="21" s="1"/>
  <c r="Q38" i="21"/>
  <c r="T38" i="21" s="1"/>
  <c r="Q15" i="21"/>
  <c r="T15" i="21" s="1"/>
  <c r="Q89" i="21"/>
  <c r="T89" i="21" s="1"/>
  <c r="Q57" i="21"/>
  <c r="T57" i="21" s="1"/>
  <c r="I29" i="21"/>
  <c r="N6" i="21"/>
  <c r="Q61" i="21"/>
  <c r="T61" i="21" s="1"/>
  <c r="Q100" i="21"/>
  <c r="T100" i="21" s="1"/>
  <c r="Q68" i="21"/>
  <c r="T68" i="21" s="1"/>
  <c r="Q44" i="21"/>
  <c r="T44" i="21" s="1"/>
  <c r="N15" i="21"/>
  <c r="N7" i="21"/>
  <c r="Q101" i="21"/>
  <c r="T101" i="21" s="1"/>
  <c r="Q53" i="21"/>
  <c r="T53" i="21" s="1"/>
  <c r="Q17" i="21"/>
  <c r="T17" i="21" s="1"/>
  <c r="Q80" i="21"/>
  <c r="T80" i="21" s="1"/>
  <c r="N9" i="21"/>
  <c r="Q88" i="21"/>
  <c r="T88" i="21" s="1"/>
  <c r="Q6" i="21"/>
  <c r="T6" i="21" s="1"/>
  <c r="Q40" i="21"/>
  <c r="T40" i="21" s="1"/>
  <c r="Q96" i="21"/>
  <c r="T96" i="21" s="1"/>
  <c r="Q83" i="21"/>
  <c r="T83" i="21" s="1"/>
  <c r="Q59" i="21"/>
  <c r="T59" i="21" s="1"/>
  <c r="Q31" i="21"/>
  <c r="T31" i="21" s="1"/>
  <c r="Q102" i="21"/>
  <c r="T102" i="21" s="1"/>
  <c r="Q74" i="21"/>
  <c r="T74" i="21" s="1"/>
  <c r="Q42" i="21"/>
  <c r="T42" i="21" s="1"/>
  <c r="Q20" i="21"/>
  <c r="T20" i="21" s="1"/>
  <c r="Q73" i="21"/>
  <c r="T73" i="21" s="1"/>
  <c r="N10" i="21"/>
  <c r="Q29" i="21"/>
  <c r="T29" i="21" s="1"/>
  <c r="Q52" i="21"/>
  <c r="T52" i="21" s="1"/>
  <c r="Q11" i="21"/>
  <c r="T11" i="21" s="1"/>
  <c r="Q85" i="21"/>
  <c r="T85" i="21" s="1"/>
  <c r="N12" i="21"/>
  <c r="N8" i="21"/>
  <c r="N4" i="21"/>
  <c r="Q32" i="21"/>
  <c r="T32" i="21" s="1"/>
  <c r="Q87" i="21"/>
  <c r="T87" i="21" s="1"/>
  <c r="Q35" i="21"/>
  <c r="T35" i="21" s="1"/>
  <c r="Q13" i="21"/>
  <c r="T13" i="21" s="1"/>
  <c r="Q78" i="21"/>
  <c r="T78" i="21" s="1"/>
  <c r="Q46" i="21"/>
  <c r="T46" i="21" s="1"/>
  <c r="Q23" i="21"/>
  <c r="T23" i="21" s="1"/>
  <c r="Q81" i="21"/>
  <c r="T81" i="21" s="1"/>
  <c r="N19" i="21"/>
  <c r="Q45" i="21"/>
  <c r="T45" i="21" s="1"/>
  <c r="Q60" i="21"/>
  <c r="T60" i="21" s="1"/>
  <c r="Q12" i="21"/>
  <c r="T12" i="21" s="1"/>
  <c r="Q93" i="21"/>
  <c r="T93" i="21" s="1"/>
  <c r="Q16" i="21"/>
  <c r="T16" i="21" s="1"/>
  <c r="Q9" i="21"/>
  <c r="T9" i="21" s="1"/>
  <c r="Q5" i="21"/>
  <c r="T5" i="21" s="1"/>
  <c r="Q64" i="21"/>
  <c r="T64" i="21" s="1"/>
  <c r="Q91" i="21"/>
  <c r="T91" i="21" s="1"/>
  <c r="Q79" i="21"/>
  <c r="T79" i="21" s="1"/>
  <c r="Q67" i="21"/>
  <c r="T67" i="21" s="1"/>
  <c r="Q55" i="21"/>
  <c r="T55" i="21" s="1"/>
  <c r="Q43" i="21"/>
  <c r="T43" i="21" s="1"/>
  <c r="Q25" i="21"/>
  <c r="T25" i="21" s="1"/>
  <c r="N16" i="21"/>
  <c r="Q98" i="21"/>
  <c r="T98" i="21" s="1"/>
  <c r="Q86" i="21"/>
  <c r="T86" i="21" s="1"/>
  <c r="Q70" i="21"/>
  <c r="T70" i="21" s="1"/>
  <c r="Q54" i="21"/>
  <c r="T54" i="21" s="1"/>
  <c r="Q28" i="21"/>
  <c r="T28" i="21" s="1"/>
  <c r="Q19" i="21"/>
  <c r="T19" i="21" s="1"/>
  <c r="Q97" i="21"/>
  <c r="T97" i="21" s="1"/>
  <c r="Q65" i="21"/>
  <c r="T65" i="21" s="1"/>
  <c r="Q33" i="21"/>
  <c r="T33" i="21" s="1"/>
  <c r="Q7" i="21"/>
  <c r="T7" i="21" s="1"/>
  <c r="Q77" i="21"/>
  <c r="T77" i="21" s="1"/>
  <c r="Q18" i="21"/>
  <c r="T18" i="21" s="1"/>
  <c r="Q76" i="21"/>
  <c r="T76" i="21" s="1"/>
  <c r="Q24" i="21"/>
  <c r="T24" i="21" s="1"/>
  <c r="Q8" i="21"/>
  <c r="T8" i="21" s="1"/>
  <c r="N3" i="21"/>
  <c r="Q69" i="21"/>
  <c r="T69" i="21" s="1"/>
  <c r="N11" i="21"/>
  <c r="Q10" i="21"/>
  <c r="T10" i="21" s="1"/>
  <c r="N5" i="21"/>
  <c r="Q22" i="21"/>
  <c r="T22" i="21" s="1"/>
  <c r="Q72" i="21"/>
  <c r="T72" i="21" s="1"/>
  <c r="Q2" i="21"/>
  <c r="T2" i="21" s="1"/>
  <c r="Q95" i="21"/>
  <c r="T95" i="21" s="1"/>
  <c r="Q71" i="21"/>
  <c r="T71" i="21" s="1"/>
  <c r="Q47" i="21"/>
  <c r="T47" i="21" s="1"/>
  <c r="N17" i="21"/>
  <c r="Q90" i="21"/>
  <c r="T90" i="21" s="1"/>
  <c r="Q58" i="21"/>
  <c r="T58" i="21" s="1"/>
  <c r="Q30" i="21"/>
  <c r="T30" i="21" s="1"/>
  <c r="Q41" i="21"/>
  <c r="T41" i="21" s="1"/>
  <c r="N2" i="21"/>
  <c r="Q84" i="21"/>
  <c r="T84" i="21" s="1"/>
  <c r="Q26" i="21"/>
  <c r="T26" i="21" s="1"/>
  <c r="Q27" i="21"/>
  <c r="T27" i="21" s="1"/>
  <c r="J13" i="21"/>
  <c r="J14" i="21" s="1"/>
  <c r="X14" i="25" s="1"/>
  <c r="Q14" i="21"/>
  <c r="T14" i="21" s="1"/>
  <c r="Q99" i="21"/>
  <c r="T99" i="21" s="1"/>
  <c r="Q75" i="21"/>
  <c r="T75" i="21" s="1"/>
  <c r="Q51" i="21"/>
  <c r="T51" i="21" s="1"/>
  <c r="N18" i="21"/>
  <c r="Q94" i="21"/>
  <c r="T94" i="21" s="1"/>
  <c r="Q62" i="21"/>
  <c r="T62" i="21" s="1"/>
  <c r="Q34" i="21"/>
  <c r="T34" i="21" s="1"/>
  <c r="N13" i="21"/>
  <c r="Q49" i="21"/>
  <c r="T49" i="21" s="1"/>
  <c r="Q3" i="21"/>
  <c r="T3" i="21" s="1"/>
  <c r="Q92" i="21"/>
  <c r="T92" i="21" s="1"/>
  <c r="Q36" i="21"/>
  <c r="T36" i="21" s="1"/>
  <c r="Q4" i="21"/>
  <c r="T4" i="21" s="1"/>
  <c r="Q37" i="21"/>
  <c r="T37" i="21" s="1"/>
  <c r="Q48" i="21"/>
  <c r="T48" i="21" s="1"/>
  <c r="Q56" i="21"/>
  <c r="T56" i="21" s="1"/>
  <c r="R99" i="21"/>
  <c r="V99" i="21" s="1"/>
  <c r="I18" i="21"/>
  <c r="K18" i="21" s="1"/>
  <c r="I17" i="21"/>
  <c r="S91" i="21"/>
  <c r="X91" i="21" s="1"/>
  <c r="R13" i="21"/>
  <c r="V13" i="21" s="1"/>
  <c r="R42" i="21"/>
  <c r="V42" i="21" s="1"/>
  <c r="L23" i="21"/>
  <c r="R16" i="21"/>
  <c r="V16" i="21" s="1"/>
  <c r="R46" i="21"/>
  <c r="V46" i="21" s="1"/>
  <c r="I5" i="10"/>
  <c r="I8" i="10" s="1"/>
  <c r="J25" i="10"/>
  <c r="I6" i="10"/>
  <c r="I9" i="10" s="1"/>
  <c r="I23" i="10" s="1"/>
  <c r="I16" i="10"/>
  <c r="S24" i="21" l="1"/>
  <c r="X24" i="21" s="1"/>
  <c r="S21" i="21"/>
  <c r="X21" i="21" s="1"/>
  <c r="R8" i="21"/>
  <c r="V8" i="21" s="1"/>
  <c r="R22" i="21"/>
  <c r="V22" i="21" s="1"/>
  <c r="R4" i="21"/>
  <c r="V4" i="21" s="1"/>
  <c r="S7" i="21"/>
  <c r="X7" i="21" s="1"/>
  <c r="R69" i="21"/>
  <c r="V69" i="21" s="1"/>
  <c r="R98" i="21"/>
  <c r="V98" i="21" s="1"/>
  <c r="R9" i="21"/>
  <c r="V9" i="21" s="1"/>
  <c r="S62" i="21"/>
  <c r="X62" i="21" s="1"/>
  <c r="R55" i="21"/>
  <c r="V55" i="21" s="1"/>
  <c r="R63" i="21"/>
  <c r="V63" i="21" s="1"/>
  <c r="S90" i="21"/>
  <c r="X90" i="21" s="1"/>
  <c r="S23" i="21"/>
  <c r="X23" i="21" s="1"/>
  <c r="R40" i="21"/>
  <c r="V40" i="21" s="1"/>
  <c r="S51" i="21"/>
  <c r="X51" i="21" s="1"/>
  <c r="S74" i="21"/>
  <c r="X74" i="21" s="1"/>
  <c r="R68" i="21"/>
  <c r="V68" i="21" s="1"/>
  <c r="R101" i="21"/>
  <c r="V101" i="21" s="1"/>
  <c r="R28" i="21"/>
  <c r="V28" i="21" s="1"/>
  <c r="R6" i="21"/>
  <c r="V6" i="21" s="1"/>
  <c r="S35" i="21"/>
  <c r="X35" i="21" s="1"/>
  <c r="R39" i="21"/>
  <c r="V39" i="21" s="1"/>
  <c r="R70" i="21"/>
  <c r="V70" i="21" s="1"/>
  <c r="R37" i="21"/>
  <c r="V37" i="21" s="1"/>
  <c r="R72" i="21"/>
  <c r="V72" i="21" s="1"/>
  <c r="R79" i="21"/>
  <c r="V79" i="21" s="1"/>
  <c r="S47" i="21"/>
  <c r="X47" i="21" s="1"/>
  <c r="S65" i="21"/>
  <c r="X65" i="21" s="1"/>
  <c r="R93" i="21"/>
  <c r="V93" i="21" s="1"/>
  <c r="S29" i="21"/>
  <c r="X29" i="21" s="1"/>
  <c r="R91" i="21"/>
  <c r="V91" i="21" s="1"/>
  <c r="S12" i="21"/>
  <c r="X12" i="21" s="1"/>
  <c r="R77" i="21"/>
  <c r="V77" i="21" s="1"/>
  <c r="R97" i="21"/>
  <c r="V97" i="21" s="1"/>
  <c r="S64" i="21"/>
  <c r="X64" i="21" s="1"/>
  <c r="S34" i="21"/>
  <c r="X34" i="21" s="1"/>
  <c r="S46" i="21"/>
  <c r="X46" i="21" s="1"/>
  <c r="R49" i="21"/>
  <c r="V49" i="21" s="1"/>
  <c r="S32" i="21"/>
  <c r="X32" i="21" s="1"/>
  <c r="R27" i="21"/>
  <c r="V27" i="21" s="1"/>
  <c r="R85" i="21"/>
  <c r="V85" i="21" s="1"/>
  <c r="J18" i="21"/>
  <c r="S15" i="21"/>
  <c r="X15" i="21" s="1"/>
  <c r="S33" i="21"/>
  <c r="X33" i="21" s="1"/>
  <c r="S11" i="21"/>
  <c r="X11" i="21" s="1"/>
  <c r="S80" i="21"/>
  <c r="X80" i="21" s="1"/>
  <c r="K13" i="21"/>
  <c r="R41" i="21"/>
  <c r="V41" i="21" s="1"/>
  <c r="S26" i="21"/>
  <c r="X26" i="21" s="1"/>
  <c r="R88" i="21"/>
  <c r="V88" i="21" s="1"/>
  <c r="R25" i="21"/>
  <c r="V25" i="21" s="1"/>
  <c r="R81" i="21"/>
  <c r="V81" i="21" s="1"/>
  <c r="S82" i="21"/>
  <c r="X82" i="21" s="1"/>
  <c r="S45" i="21"/>
  <c r="X45" i="21" s="1"/>
  <c r="S36" i="21"/>
  <c r="X36" i="21" s="1"/>
  <c r="S66" i="21"/>
  <c r="X66" i="21" s="1"/>
  <c r="S83" i="21"/>
  <c r="X83" i="21" s="1"/>
  <c r="R75" i="21"/>
  <c r="V75" i="21" s="1"/>
  <c r="S19" i="21"/>
  <c r="X19" i="21" s="1"/>
  <c r="R54" i="21"/>
  <c r="V54" i="21" s="1"/>
  <c r="R30" i="21"/>
  <c r="V30" i="21" s="1"/>
  <c r="S13" i="21"/>
  <c r="X13" i="21" s="1"/>
  <c r="R48" i="21"/>
  <c r="V48" i="21" s="1"/>
  <c r="R2" i="21"/>
  <c r="V2" i="21" s="1"/>
  <c r="S71" i="21"/>
  <c r="X71" i="21" s="1"/>
  <c r="R31" i="21"/>
  <c r="V31" i="21" s="1"/>
  <c r="R100" i="21"/>
  <c r="V100" i="21" s="1"/>
  <c r="S14" i="21"/>
  <c r="X14" i="21" s="1"/>
  <c r="R56" i="21"/>
  <c r="V56" i="21" s="1"/>
  <c r="S42" i="21"/>
  <c r="X42" i="21" s="1"/>
  <c r="J17" i="21"/>
  <c r="K17" i="21"/>
  <c r="S18" i="21"/>
  <c r="X18" i="21" s="1"/>
  <c r="S86" i="21"/>
  <c r="X86" i="21" s="1"/>
  <c r="R20" i="21"/>
  <c r="V20" i="21" s="1"/>
  <c r="R58" i="21"/>
  <c r="V58" i="21" s="1"/>
  <c r="R3" i="21"/>
  <c r="V3" i="21" s="1"/>
  <c r="S99" i="21"/>
  <c r="X99" i="21" s="1"/>
  <c r="S52" i="21"/>
  <c r="X52" i="21" s="1"/>
  <c r="R94" i="21"/>
  <c r="V94" i="21" s="1"/>
  <c r="S96" i="21"/>
  <c r="X96" i="21" s="1"/>
  <c r="R92" i="21"/>
  <c r="V92" i="21" s="1"/>
  <c r="R76" i="21"/>
  <c r="V76" i="21" s="1"/>
  <c r="S59" i="21"/>
  <c r="X59" i="21" s="1"/>
  <c r="R10" i="21"/>
  <c r="V10" i="21" s="1"/>
  <c r="S5" i="21"/>
  <c r="X5" i="21" s="1"/>
  <c r="R57" i="21"/>
  <c r="V57" i="21" s="1"/>
  <c r="S73" i="21"/>
  <c r="X73" i="21" s="1"/>
  <c r="S67" i="21"/>
  <c r="X67" i="21" s="1"/>
  <c r="S84" i="21"/>
  <c r="X84" i="21" s="1"/>
  <c r="S78" i="21"/>
  <c r="X78" i="21" s="1"/>
  <c r="S61" i="21"/>
  <c r="X61" i="21" s="1"/>
  <c r="R89" i="21"/>
  <c r="V89" i="21" s="1"/>
  <c r="R43" i="21"/>
  <c r="V43" i="21" s="1"/>
  <c r="R17" i="21"/>
  <c r="V17" i="21" s="1"/>
  <c r="R44" i="21"/>
  <c r="V44" i="21" s="1"/>
  <c r="S87" i="21"/>
  <c r="X87" i="21" s="1"/>
  <c r="R38" i="21"/>
  <c r="V38" i="21" s="1"/>
  <c r="S16" i="21"/>
  <c r="X16" i="21" s="1"/>
  <c r="S50" i="21"/>
  <c r="X50" i="21" s="1"/>
  <c r="R102" i="21"/>
  <c r="V102" i="21" s="1"/>
  <c r="R60" i="21"/>
  <c r="V60" i="21" s="1"/>
  <c r="R95" i="21"/>
  <c r="V95" i="21" s="1"/>
  <c r="S53" i="21"/>
  <c r="X53" i="21" s="1"/>
  <c r="I14" i="10"/>
  <c r="I24" i="10"/>
  <c r="K24" i="10" s="1"/>
  <c r="P100" i="10" s="1"/>
  <c r="I12" i="10"/>
  <c r="K23" i="10"/>
  <c r="J12" i="10" l="1"/>
  <c r="K12" i="10" s="1"/>
  <c r="P9" i="10"/>
  <c r="P25" i="10"/>
  <c r="P41" i="10"/>
  <c r="P57" i="10"/>
  <c r="P73" i="10"/>
  <c r="P89" i="10"/>
  <c r="P2" i="10"/>
  <c r="P18" i="10"/>
  <c r="P34" i="10"/>
  <c r="P50" i="10"/>
  <c r="P66" i="10"/>
  <c r="P82" i="10"/>
  <c r="P98" i="10"/>
  <c r="P11" i="10"/>
  <c r="P27" i="10"/>
  <c r="P43" i="10"/>
  <c r="P59" i="10"/>
  <c r="P75" i="10"/>
  <c r="P91" i="10"/>
  <c r="P8" i="10"/>
  <c r="P24" i="10"/>
  <c r="P40" i="10"/>
  <c r="P56" i="10"/>
  <c r="P72" i="10"/>
  <c r="P88" i="10"/>
  <c r="P13" i="10"/>
  <c r="P29" i="10"/>
  <c r="P45" i="10"/>
  <c r="P61" i="10"/>
  <c r="P77" i="10"/>
  <c r="P93" i="10"/>
  <c r="P6" i="10"/>
  <c r="P22" i="10"/>
  <c r="P38" i="10"/>
  <c r="P54" i="10"/>
  <c r="P70" i="10"/>
  <c r="P86" i="10"/>
  <c r="P102" i="10"/>
  <c r="P15" i="10"/>
  <c r="P31" i="10"/>
  <c r="P47" i="10"/>
  <c r="P63" i="10"/>
  <c r="P79" i="10"/>
  <c r="P95" i="10"/>
  <c r="P12" i="10"/>
  <c r="P28" i="10"/>
  <c r="P44" i="10"/>
  <c r="P60" i="10"/>
  <c r="P76" i="10"/>
  <c r="P92" i="10"/>
  <c r="P17" i="10"/>
  <c r="P33" i="10"/>
  <c r="P49" i="10"/>
  <c r="P65" i="10"/>
  <c r="P81" i="10"/>
  <c r="P97" i="10"/>
  <c r="P10" i="10"/>
  <c r="P26" i="10"/>
  <c r="P42" i="10"/>
  <c r="P58" i="10"/>
  <c r="P74" i="10"/>
  <c r="P90" i="10"/>
  <c r="P3" i="10"/>
  <c r="P19" i="10"/>
  <c r="P35" i="10"/>
  <c r="P51" i="10"/>
  <c r="P67" i="10"/>
  <c r="P83" i="10"/>
  <c r="P99" i="10"/>
  <c r="P16" i="10"/>
  <c r="P32" i="10"/>
  <c r="P48" i="10"/>
  <c r="P64" i="10"/>
  <c r="P80" i="10"/>
  <c r="P96" i="10"/>
  <c r="P5" i="10"/>
  <c r="P21" i="10"/>
  <c r="P37" i="10"/>
  <c r="P53" i="10"/>
  <c r="P69" i="10"/>
  <c r="P85" i="10"/>
  <c r="P101" i="10"/>
  <c r="P14" i="10"/>
  <c r="P30" i="10"/>
  <c r="P46" i="10"/>
  <c r="P62" i="10"/>
  <c r="P78" i="10"/>
  <c r="P94" i="10"/>
  <c r="P7" i="10"/>
  <c r="P23" i="10"/>
  <c r="P39" i="10"/>
  <c r="P55" i="10"/>
  <c r="P71" i="10"/>
  <c r="P87" i="10"/>
  <c r="P4" i="10"/>
  <c r="P20" i="10"/>
  <c r="P36" i="10"/>
  <c r="P52" i="10"/>
  <c r="P68" i="10"/>
  <c r="P84" i="10"/>
  <c r="I18" i="10"/>
  <c r="L23" i="10"/>
  <c r="I25" i="10"/>
  <c r="I17" i="10"/>
  <c r="K17" i="10" s="1"/>
  <c r="L29" i="10"/>
  <c r="I13" i="10"/>
  <c r="R17" i="10" l="1"/>
  <c r="V17" i="10" s="1"/>
  <c r="N5" i="10"/>
  <c r="J17" i="10"/>
  <c r="Q38" i="10"/>
  <c r="T38" i="10" s="1"/>
  <c r="R98" i="10"/>
  <c r="V98" i="10" s="1"/>
  <c r="Q30" i="10"/>
  <c r="T30" i="10" s="1"/>
  <c r="S72" i="10"/>
  <c r="X72" i="10" s="1"/>
  <c r="N4" i="10"/>
  <c r="N15" i="10"/>
  <c r="R28" i="10"/>
  <c r="V28" i="10" s="1"/>
  <c r="N10" i="10"/>
  <c r="R9" i="10"/>
  <c r="V9" i="10" s="1"/>
  <c r="R53" i="10"/>
  <c r="V53" i="10" s="1"/>
  <c r="Q3" i="10"/>
  <c r="T3" i="10" s="1"/>
  <c r="N6" i="10"/>
  <c r="S87" i="10"/>
  <c r="X87" i="10" s="1"/>
  <c r="S49" i="10"/>
  <c r="X49" i="10" s="1"/>
  <c r="S91" i="10"/>
  <c r="X91" i="10" s="1"/>
  <c r="R34" i="10"/>
  <c r="V34" i="10" s="1"/>
  <c r="Q70" i="10"/>
  <c r="T70" i="10" s="1"/>
  <c r="R90" i="10"/>
  <c r="V90" i="10" s="1"/>
  <c r="Q40" i="10"/>
  <c r="T40" i="10" s="1"/>
  <c r="S53" i="10"/>
  <c r="X53" i="10" s="1"/>
  <c r="R77" i="10"/>
  <c r="V77" i="10" s="1"/>
  <c r="R20" i="10"/>
  <c r="V20" i="10" s="1"/>
  <c r="Q74" i="10"/>
  <c r="T74" i="10" s="1"/>
  <c r="R85" i="10"/>
  <c r="V85" i="10" s="1"/>
  <c r="R83" i="10"/>
  <c r="V83" i="10" s="1"/>
  <c r="S76" i="10"/>
  <c r="X76" i="10" s="1"/>
  <c r="S92" i="10"/>
  <c r="X92" i="10" s="1"/>
  <c r="Q49" i="10"/>
  <c r="T49" i="10" s="1"/>
  <c r="S61" i="10"/>
  <c r="X61" i="10" s="1"/>
  <c r="R89" i="10"/>
  <c r="V89" i="10" s="1"/>
  <c r="R21" i="10"/>
  <c r="V21" i="10" s="1"/>
  <c r="R100" i="10"/>
  <c r="V100" i="10" s="1"/>
  <c r="R7" i="10"/>
  <c r="V7" i="10" s="1"/>
  <c r="S37" i="10"/>
  <c r="X37" i="10" s="1"/>
  <c r="R91" i="10"/>
  <c r="V91" i="10" s="1"/>
  <c r="Q26" i="10"/>
  <c r="T26" i="10" s="1"/>
  <c r="S25" i="10"/>
  <c r="X25" i="10" s="1"/>
  <c r="R13" i="10"/>
  <c r="V13" i="10" s="1"/>
  <c r="Q69" i="10"/>
  <c r="T69" i="10" s="1"/>
  <c r="S34" i="10"/>
  <c r="X34" i="10" s="1"/>
  <c r="I29" i="10"/>
  <c r="Q13" i="10"/>
  <c r="T13" i="10" s="1"/>
  <c r="Q33" i="10"/>
  <c r="T33" i="10" s="1"/>
  <c r="S12" i="10"/>
  <c r="X12" i="10" s="1"/>
  <c r="Q61" i="10"/>
  <c r="T61" i="10" s="1"/>
  <c r="Q56" i="10"/>
  <c r="T56" i="10" s="1"/>
  <c r="S102" i="10"/>
  <c r="X102" i="10" s="1"/>
  <c r="R23" i="10"/>
  <c r="V23" i="10" s="1"/>
  <c r="S55" i="10"/>
  <c r="X55" i="10" s="1"/>
  <c r="Q92" i="10"/>
  <c r="T92" i="10" s="1"/>
  <c r="R5" i="10"/>
  <c r="V5" i="10" s="1"/>
  <c r="Q50" i="10"/>
  <c r="T50" i="10" s="1"/>
  <c r="S36" i="10"/>
  <c r="X36" i="10" s="1"/>
  <c r="S10" i="10"/>
  <c r="X10" i="10" s="1"/>
  <c r="R70" i="10"/>
  <c r="V70" i="10" s="1"/>
  <c r="R95" i="10"/>
  <c r="V95" i="10" s="1"/>
  <c r="J18" i="10"/>
  <c r="S39" i="10"/>
  <c r="X39" i="10" s="1"/>
  <c r="S4" i="10"/>
  <c r="X4" i="10" s="1"/>
  <c r="Q25" i="10"/>
  <c r="T25" i="10" s="1"/>
  <c r="S82" i="10"/>
  <c r="X82" i="10" s="1"/>
  <c r="S62" i="10"/>
  <c r="X62" i="10" s="1"/>
  <c r="Q20" i="10"/>
  <c r="T20" i="10" s="1"/>
  <c r="S45" i="10"/>
  <c r="X45" i="10" s="1"/>
  <c r="Q94" i="10"/>
  <c r="T94" i="10" s="1"/>
  <c r="Q76" i="10"/>
  <c r="T76" i="10" s="1"/>
  <c r="S46" i="10"/>
  <c r="X46" i="10" s="1"/>
  <c r="R56" i="10"/>
  <c r="V56" i="10" s="1"/>
  <c r="R84" i="10"/>
  <c r="V84" i="10" s="1"/>
  <c r="S41" i="10"/>
  <c r="X41" i="10" s="1"/>
  <c r="R58" i="10"/>
  <c r="V58" i="10" s="1"/>
  <c r="Q22" i="10"/>
  <c r="T22" i="10" s="1"/>
  <c r="S56" i="10"/>
  <c r="X56" i="10" s="1"/>
  <c r="S58" i="10"/>
  <c r="X58" i="10" s="1"/>
  <c r="S17" i="10"/>
  <c r="X17" i="10" s="1"/>
  <c r="R68" i="10"/>
  <c r="V68" i="10" s="1"/>
  <c r="S101" i="10"/>
  <c r="X101" i="10" s="1"/>
  <c r="Q42" i="10"/>
  <c r="T42" i="10" s="1"/>
  <c r="S51" i="10"/>
  <c r="X51" i="10" s="1"/>
  <c r="S86" i="10"/>
  <c r="X86" i="10" s="1"/>
  <c r="S13" i="10"/>
  <c r="X13" i="10" s="1"/>
  <c r="S2" i="10"/>
  <c r="X2" i="10" s="1"/>
  <c r="Q7" i="10"/>
  <c r="T7" i="10" s="1"/>
  <c r="Q60" i="10"/>
  <c r="T60" i="10" s="1"/>
  <c r="R79" i="10"/>
  <c r="V79" i="10" s="1"/>
  <c r="S83" i="10"/>
  <c r="X83" i="10" s="1"/>
  <c r="Q84" i="10"/>
  <c r="T84" i="10" s="1"/>
  <c r="Q88" i="10"/>
  <c r="T88" i="10" s="1"/>
  <c r="S52" i="10"/>
  <c r="X52" i="10" s="1"/>
  <c r="R25" i="10"/>
  <c r="V25" i="10" s="1"/>
  <c r="R8" i="10"/>
  <c r="V8" i="10" s="1"/>
  <c r="Q5" i="10"/>
  <c r="T5" i="10" s="1"/>
  <c r="Q48" i="10"/>
  <c r="T48" i="10" s="1"/>
  <c r="S15" i="10"/>
  <c r="X15" i="10" s="1"/>
  <c r="R62" i="10"/>
  <c r="V62" i="10" s="1"/>
  <c r="Q11" i="10"/>
  <c r="T11" i="10" s="1"/>
  <c r="R14" i="10"/>
  <c r="V14" i="10" s="1"/>
  <c r="S90" i="10"/>
  <c r="X90" i="10" s="1"/>
  <c r="R19" i="10"/>
  <c r="V19" i="10" s="1"/>
  <c r="R44" i="10"/>
  <c r="V44" i="10" s="1"/>
  <c r="Q24" i="10"/>
  <c r="T24" i="10" s="1"/>
  <c r="S38" i="10"/>
  <c r="X38" i="10" s="1"/>
  <c r="Q59" i="10"/>
  <c r="T59" i="10" s="1"/>
  <c r="R36" i="10"/>
  <c r="V36" i="10" s="1"/>
  <c r="S35" i="10"/>
  <c r="X35" i="10" s="1"/>
  <c r="R38" i="10"/>
  <c r="V38" i="10" s="1"/>
  <c r="R88" i="10"/>
  <c r="V88" i="10" s="1"/>
  <c r="R86" i="10"/>
  <c r="V86" i="10" s="1"/>
  <c r="R51" i="10"/>
  <c r="V51" i="10" s="1"/>
  <c r="S71" i="10"/>
  <c r="X71" i="10" s="1"/>
  <c r="Q71" i="10"/>
  <c r="T71" i="10" s="1"/>
  <c r="S3" i="10"/>
  <c r="X3" i="10" s="1"/>
  <c r="R11" i="10"/>
  <c r="V11" i="10" s="1"/>
  <c r="Q41" i="10"/>
  <c r="T41" i="10" s="1"/>
  <c r="R87" i="10"/>
  <c r="V87" i="10" s="1"/>
  <c r="Q75" i="10"/>
  <c r="T75" i="10" s="1"/>
  <c r="S96" i="10"/>
  <c r="X96" i="10" s="1"/>
  <c r="R78" i="10"/>
  <c r="V78" i="10" s="1"/>
  <c r="R6" i="10"/>
  <c r="V6" i="10" s="1"/>
  <c r="R2" i="10"/>
  <c r="V2" i="10" s="1"/>
  <c r="S85" i="10"/>
  <c r="X85" i="10" s="1"/>
  <c r="R45" i="10"/>
  <c r="V45" i="10" s="1"/>
  <c r="S66" i="10"/>
  <c r="X66" i="10" s="1"/>
  <c r="Q8" i="10"/>
  <c r="T8" i="10" s="1"/>
  <c r="R41" i="10"/>
  <c r="V41" i="10" s="1"/>
  <c r="R46" i="10"/>
  <c r="V46" i="10" s="1"/>
  <c r="N17" i="10"/>
  <c r="J13" i="10"/>
  <c r="Q100" i="10"/>
  <c r="T100" i="10" s="1"/>
  <c r="R40" i="10"/>
  <c r="V40" i="10" s="1"/>
  <c r="Q62" i="10"/>
  <c r="T62" i="10" s="1"/>
  <c r="Q52" i="10"/>
  <c r="T52" i="10" s="1"/>
  <c r="Q27" i="10"/>
  <c r="T27" i="10" s="1"/>
  <c r="R69" i="10"/>
  <c r="V69" i="10" s="1"/>
  <c r="R37" i="10"/>
  <c r="V37" i="10" s="1"/>
  <c r="R63" i="10"/>
  <c r="V63" i="10" s="1"/>
  <c r="S84" i="10"/>
  <c r="X84" i="10" s="1"/>
  <c r="R39" i="10"/>
  <c r="V39" i="10" s="1"/>
  <c r="S97" i="10"/>
  <c r="X97" i="10" s="1"/>
  <c r="R18" i="10"/>
  <c r="V18" i="10" s="1"/>
  <c r="Q6" i="10"/>
  <c r="T6" i="10" s="1"/>
  <c r="Q19" i="10"/>
  <c r="T19" i="10" s="1"/>
  <c r="R12" i="10"/>
  <c r="V12" i="10" s="1"/>
  <c r="Q58" i="10"/>
  <c r="T58" i="10" s="1"/>
  <c r="R93" i="10"/>
  <c r="V93" i="10" s="1"/>
  <c r="R29" i="10"/>
  <c r="V29" i="10" s="1"/>
  <c r="Q83" i="10"/>
  <c r="T83" i="10" s="1"/>
  <c r="R99" i="10"/>
  <c r="V99" i="10" s="1"/>
  <c r="R102" i="10"/>
  <c r="V102" i="10" s="1"/>
  <c r="Q31" i="10"/>
  <c r="T31" i="10" s="1"/>
  <c r="N18" i="10"/>
  <c r="R73" i="10"/>
  <c r="V73" i="10" s="1"/>
  <c r="S63" i="10"/>
  <c r="X63" i="10" s="1"/>
  <c r="R27" i="10"/>
  <c r="V27" i="10" s="1"/>
  <c r="R33" i="10"/>
  <c r="V33" i="10" s="1"/>
  <c r="Q86" i="10"/>
  <c r="T86" i="10" s="1"/>
  <c r="Q21" i="10"/>
  <c r="T21" i="10" s="1"/>
  <c r="R80" i="10"/>
  <c r="V80" i="10" s="1"/>
  <c r="S60" i="10"/>
  <c r="X60" i="10" s="1"/>
  <c r="S42" i="10"/>
  <c r="X42" i="10" s="1"/>
  <c r="R61" i="10"/>
  <c r="V61" i="10" s="1"/>
  <c r="R66" i="10"/>
  <c r="V66" i="10" s="1"/>
  <c r="R76" i="10"/>
  <c r="V76" i="10" s="1"/>
  <c r="Q95" i="10"/>
  <c r="T95" i="10" s="1"/>
  <c r="Q90" i="10"/>
  <c r="T90" i="10" s="1"/>
  <c r="R16" i="10"/>
  <c r="V16" i="10" s="1"/>
  <c r="S27" i="10"/>
  <c r="X27" i="10" s="1"/>
  <c r="N12" i="10"/>
  <c r="R96" i="10"/>
  <c r="V96" i="10" s="1"/>
  <c r="S69" i="10"/>
  <c r="X69" i="10" s="1"/>
  <c r="Q2" i="10"/>
  <c r="T2" i="10" s="1"/>
  <c r="Q10" i="10"/>
  <c r="T10" i="10" s="1"/>
  <c r="R65" i="10"/>
  <c r="V65" i="10" s="1"/>
  <c r="S98" i="10"/>
  <c r="X98" i="10" s="1"/>
  <c r="S81" i="10"/>
  <c r="X81" i="10" s="1"/>
  <c r="Q9" i="10"/>
  <c r="T9" i="10" s="1"/>
  <c r="S14" i="10"/>
  <c r="X14" i="10" s="1"/>
  <c r="R26" i="10"/>
  <c r="V26" i="10" s="1"/>
  <c r="Q28" i="10"/>
  <c r="T28" i="10" s="1"/>
  <c r="R48" i="10"/>
  <c r="V48" i="10" s="1"/>
  <c r="R49" i="10"/>
  <c r="V49" i="10" s="1"/>
  <c r="R72" i="10"/>
  <c r="V72" i="10" s="1"/>
  <c r="S79" i="10"/>
  <c r="X79" i="10" s="1"/>
  <c r="R57" i="10"/>
  <c r="V57" i="10" s="1"/>
  <c r="R92" i="10"/>
  <c r="V92" i="10" s="1"/>
  <c r="R15" i="10"/>
  <c r="V15" i="10" s="1"/>
  <c r="Q16" i="10"/>
  <c r="T16" i="10" s="1"/>
  <c r="S77" i="10"/>
  <c r="X77" i="10" s="1"/>
  <c r="Q17" i="10"/>
  <c r="T17" i="10" s="1"/>
  <c r="Q91" i="10"/>
  <c r="T91" i="10" s="1"/>
  <c r="N16" i="10"/>
  <c r="Q96" i="10"/>
  <c r="T96" i="10" s="1"/>
  <c r="S65" i="10"/>
  <c r="X65" i="10" s="1"/>
  <c r="S95" i="10"/>
  <c r="X95" i="10" s="1"/>
  <c r="S88" i="10"/>
  <c r="X88" i="10" s="1"/>
  <c r="R3" i="10"/>
  <c r="V3" i="10" s="1"/>
  <c r="R35" i="10"/>
  <c r="V35" i="10" s="1"/>
  <c r="Q39" i="10"/>
  <c r="T39" i="10" s="1"/>
  <c r="Q81" i="10"/>
  <c r="T81" i="10" s="1"/>
  <c r="R42" i="10"/>
  <c r="V42" i="10" s="1"/>
  <c r="R52" i="10"/>
  <c r="V52" i="10" s="1"/>
  <c r="S28" i="10"/>
  <c r="X28" i="10" s="1"/>
  <c r="Q93" i="10"/>
  <c r="T93" i="10" s="1"/>
  <c r="Q29" i="10"/>
  <c r="T29" i="10" s="1"/>
  <c r="S47" i="10"/>
  <c r="X47" i="10" s="1"/>
  <c r="Q43" i="10"/>
  <c r="T43" i="10" s="1"/>
  <c r="S30" i="10"/>
  <c r="X30" i="10" s="1"/>
  <c r="N11" i="10"/>
  <c r="S29" i="10"/>
  <c r="X29" i="10" s="1"/>
  <c r="S99" i="10"/>
  <c r="X99" i="10" s="1"/>
  <c r="S33" i="10"/>
  <c r="X33" i="10" s="1"/>
  <c r="S40" i="10"/>
  <c r="X40" i="10" s="1"/>
  <c r="R32" i="10"/>
  <c r="V32" i="10" s="1"/>
  <c r="S50" i="10"/>
  <c r="X50" i="10" s="1"/>
  <c r="Q53" i="10"/>
  <c r="T53" i="10" s="1"/>
  <c r="Q82" i="10"/>
  <c r="T82" i="10" s="1"/>
  <c r="Q64" i="10"/>
  <c r="T64" i="10" s="1"/>
  <c r="S89" i="10"/>
  <c r="X89" i="10" s="1"/>
  <c r="N8" i="10"/>
  <c r="R64" i="10"/>
  <c r="V64" i="10" s="1"/>
  <c r="Q46" i="10"/>
  <c r="T46" i="10" s="1"/>
  <c r="Q102" i="10"/>
  <c r="T102" i="10" s="1"/>
  <c r="S20" i="10"/>
  <c r="X20" i="10" s="1"/>
  <c r="R22" i="10"/>
  <c r="V22" i="10" s="1"/>
  <c r="Q101" i="10"/>
  <c r="T101" i="10" s="1"/>
  <c r="S19" i="10"/>
  <c r="X19" i="10" s="1"/>
  <c r="N9" i="10"/>
  <c r="Q68" i="10"/>
  <c r="T68" i="10" s="1"/>
  <c r="S64" i="10"/>
  <c r="X64" i="10" s="1"/>
  <c r="S93" i="10"/>
  <c r="X93" i="10" s="1"/>
  <c r="Q89" i="10"/>
  <c r="T89" i="10" s="1"/>
  <c r="S80" i="10"/>
  <c r="X80" i="10" s="1"/>
  <c r="R67" i="10"/>
  <c r="V67" i="10" s="1"/>
  <c r="S18" i="10"/>
  <c r="X18" i="10" s="1"/>
  <c r="S26" i="10"/>
  <c r="X26" i="10" s="1"/>
  <c r="R30" i="10"/>
  <c r="V30" i="10" s="1"/>
  <c r="N7" i="10"/>
  <c r="Q77" i="10"/>
  <c r="T77" i="10" s="1"/>
  <c r="S21" i="10"/>
  <c r="X21" i="10" s="1"/>
  <c r="S48" i="10"/>
  <c r="X48" i="10" s="1"/>
  <c r="Q54" i="10"/>
  <c r="T54" i="10" s="1"/>
  <c r="S68" i="10"/>
  <c r="X68" i="10" s="1"/>
  <c r="Q18" i="10"/>
  <c r="T18" i="10" s="1"/>
  <c r="K18" i="10"/>
  <c r="N3" i="10"/>
  <c r="S70" i="10"/>
  <c r="X70" i="10" s="1"/>
  <c r="Q73" i="10"/>
  <c r="T73" i="10" s="1"/>
  <c r="Q32" i="10"/>
  <c r="T32" i="10" s="1"/>
  <c r="Q14" i="10"/>
  <c r="T14" i="10" s="1"/>
  <c r="R75" i="10"/>
  <c r="V75" i="10" s="1"/>
  <c r="S6" i="10"/>
  <c r="X6" i="10" s="1"/>
  <c r="Q78" i="10"/>
  <c r="T78" i="10" s="1"/>
  <c r="R50" i="10"/>
  <c r="V50" i="10" s="1"/>
  <c r="Q85" i="10"/>
  <c r="T85" i="10" s="1"/>
  <c r="R94" i="10"/>
  <c r="V94" i="10" s="1"/>
  <c r="Q55" i="10"/>
  <c r="T55" i="10" s="1"/>
  <c r="R43" i="10"/>
  <c r="V43" i="10" s="1"/>
  <c r="R74" i="10"/>
  <c r="V74" i="10" s="1"/>
  <c r="S75" i="10"/>
  <c r="X75" i="10" s="1"/>
  <c r="Q4" i="10"/>
  <c r="T4" i="10" s="1"/>
  <c r="R54" i="10"/>
  <c r="V54" i="10" s="1"/>
  <c r="Q44" i="10"/>
  <c r="T44" i="10" s="1"/>
  <c r="S44" i="10"/>
  <c r="X44" i="10" s="1"/>
  <c r="S59" i="10"/>
  <c r="X59" i="10" s="1"/>
  <c r="S31" i="10"/>
  <c r="X31" i="10" s="1"/>
  <c r="Q97" i="10"/>
  <c r="T97" i="10" s="1"/>
  <c r="R24" i="10"/>
  <c r="V24" i="10" s="1"/>
  <c r="N19" i="10"/>
  <c r="S22" i="10"/>
  <c r="X22" i="10" s="1"/>
  <c r="R60" i="10"/>
  <c r="V60" i="10" s="1"/>
  <c r="S43" i="10"/>
  <c r="X43" i="10" s="1"/>
  <c r="R81" i="10"/>
  <c r="V81" i="10" s="1"/>
  <c r="S54" i="10"/>
  <c r="X54" i="10" s="1"/>
  <c r="S94" i="10"/>
  <c r="X94" i="10" s="1"/>
  <c r="R55" i="10"/>
  <c r="V55" i="10" s="1"/>
  <c r="S100" i="10"/>
  <c r="X100" i="10" s="1"/>
  <c r="S32" i="10"/>
  <c r="X32" i="10" s="1"/>
  <c r="Q47" i="10"/>
  <c r="T47" i="10" s="1"/>
  <c r="Q57" i="10"/>
  <c r="T57" i="10" s="1"/>
  <c r="Q98" i="10"/>
  <c r="T98" i="10" s="1"/>
  <c r="Q15" i="10"/>
  <c r="T15" i="10" s="1"/>
  <c r="S7" i="10"/>
  <c r="X7" i="10" s="1"/>
  <c r="Q87" i="10"/>
  <c r="T87" i="10" s="1"/>
  <c r="S24" i="10"/>
  <c r="X24" i="10" s="1"/>
  <c r="N13" i="10"/>
  <c r="N2" i="10"/>
  <c r="S9" i="10"/>
  <c r="X9" i="10" s="1"/>
  <c r="Q80" i="10"/>
  <c r="T80" i="10" s="1"/>
  <c r="Q51" i="10"/>
  <c r="T51" i="10" s="1"/>
  <c r="Q35" i="10"/>
  <c r="T35" i="10" s="1"/>
  <c r="R31" i="10"/>
  <c r="V31" i="10" s="1"/>
  <c r="S23" i="10"/>
  <c r="X23" i="10" s="1"/>
  <c r="R82" i="10"/>
  <c r="V82" i="10" s="1"/>
  <c r="S73" i="10"/>
  <c r="X73" i="10" s="1"/>
  <c r="Q36" i="10"/>
  <c r="T36" i="10" s="1"/>
  <c r="R4" i="10"/>
  <c r="V4" i="10" s="1"/>
  <c r="Q65" i="10"/>
  <c r="T65" i="10" s="1"/>
  <c r="S8" i="10"/>
  <c r="X8" i="10" s="1"/>
  <c r="Q45" i="10"/>
  <c r="T45" i="10" s="1"/>
  <c r="R47" i="10"/>
  <c r="V47" i="10" s="1"/>
  <c r="Q37" i="10"/>
  <c r="T37" i="10" s="1"/>
  <c r="Q23" i="10"/>
  <c r="T23" i="10" s="1"/>
  <c r="S74" i="10"/>
  <c r="X74" i="10" s="1"/>
  <c r="R101" i="10"/>
  <c r="V101" i="10" s="1"/>
  <c r="S57" i="10"/>
  <c r="X57" i="10" s="1"/>
  <c r="Q67" i="10"/>
  <c r="T67" i="10" s="1"/>
  <c r="S5" i="10"/>
  <c r="X5" i="10" s="1"/>
  <c r="N14" i="10"/>
  <c r="S16" i="10"/>
  <c r="X16" i="10" s="1"/>
  <c r="R10" i="10"/>
  <c r="V10" i="10" s="1"/>
  <c r="Q66" i="10"/>
  <c r="T66" i="10" s="1"/>
  <c r="S78" i="10"/>
  <c r="X78" i="10" s="1"/>
  <c r="Q79" i="10"/>
  <c r="T79" i="10" s="1"/>
  <c r="Q63" i="10"/>
  <c r="T63" i="10" s="1"/>
  <c r="Q72" i="10"/>
  <c r="T72" i="10" s="1"/>
  <c r="R97" i="10"/>
  <c r="V97" i="10" s="1"/>
  <c r="S67" i="10"/>
  <c r="X67" i="10" s="1"/>
  <c r="R71" i="10"/>
  <c r="V71" i="10" s="1"/>
  <c r="Q12" i="10"/>
  <c r="T12" i="10" s="1"/>
  <c r="Q34" i="10"/>
  <c r="T34" i="10" s="1"/>
  <c r="S11" i="10"/>
  <c r="X11" i="10" s="1"/>
  <c r="R59" i="10"/>
  <c r="V59" i="10" s="1"/>
  <c r="Q99" i="10"/>
  <c r="T99" i="10" s="1"/>
  <c r="J14" i="10" l="1"/>
  <c r="W13" i="25" s="1"/>
  <c r="I23" i="2"/>
  <c r="K13" i="10"/>
  <c r="I20" i="23" l="1"/>
  <c r="I19" i="23"/>
  <c r="M9" i="23" l="1"/>
  <c r="I4" i="23"/>
  <c r="I6" i="23"/>
  <c r="I2" i="23"/>
  <c r="I1" i="23"/>
  <c r="O89" i="23"/>
  <c r="O73" i="23"/>
  <c r="O57" i="23"/>
  <c r="O41" i="23"/>
  <c r="O27" i="23"/>
  <c r="O88" i="23"/>
  <c r="O72" i="23"/>
  <c r="O56" i="23"/>
  <c r="O40" i="23"/>
  <c r="O24" i="23"/>
  <c r="O16" i="23"/>
  <c r="O79" i="23"/>
  <c r="O47" i="23"/>
  <c r="O9" i="23"/>
  <c r="O42" i="23"/>
  <c r="O78" i="23"/>
  <c r="O46" i="23"/>
  <c r="O20" i="23"/>
  <c r="O4" i="23"/>
  <c r="O74" i="23"/>
  <c r="O51" i="23"/>
  <c r="O13" i="23"/>
  <c r="O3" i="23"/>
  <c r="O7" i="23"/>
  <c r="O67" i="23"/>
  <c r="O81" i="23"/>
  <c r="O65" i="23"/>
  <c r="O49" i="23"/>
  <c r="O33" i="23"/>
  <c r="O96" i="23"/>
  <c r="O80" i="23"/>
  <c r="O64" i="23"/>
  <c r="O48" i="23"/>
  <c r="O32" i="23"/>
  <c r="O18" i="23"/>
  <c r="O95" i="23"/>
  <c r="O63" i="23"/>
  <c r="O31" i="23"/>
  <c r="O58" i="23"/>
  <c r="O94" i="23"/>
  <c r="O62" i="23"/>
  <c r="O11" i="23"/>
  <c r="O90" i="23"/>
  <c r="O15" i="23"/>
  <c r="O75" i="23"/>
  <c r="O93" i="23"/>
  <c r="O77" i="23"/>
  <c r="O61" i="23"/>
  <c r="O45" i="23"/>
  <c r="O29" i="23"/>
  <c r="O92" i="23"/>
  <c r="O76" i="23"/>
  <c r="O60" i="23"/>
  <c r="O44" i="23"/>
  <c r="O26" i="23"/>
  <c r="O17" i="23"/>
  <c r="O87" i="23"/>
  <c r="O55" i="23"/>
  <c r="O21" i="23"/>
  <c r="O50" i="23"/>
  <c r="O86" i="23"/>
  <c r="O54" i="23"/>
  <c r="O28" i="23"/>
  <c r="O8" i="23"/>
  <c r="O82" i="23"/>
  <c r="O83" i="23"/>
  <c r="O19" i="23"/>
  <c r="O10" i="23"/>
  <c r="O59" i="23"/>
  <c r="O2" i="23"/>
  <c r="O97" i="23"/>
  <c r="O30" i="23"/>
  <c r="O34" i="23"/>
  <c r="O23" i="23"/>
  <c r="O91" i="23"/>
  <c r="O101" i="23"/>
  <c r="O85" i="23"/>
  <c r="O69" i="23"/>
  <c r="O53" i="23"/>
  <c r="O37" i="23"/>
  <c r="O100" i="23"/>
  <c r="O84" i="23"/>
  <c r="O68" i="23"/>
  <c r="O52" i="23"/>
  <c r="O36" i="23"/>
  <c r="O22" i="23"/>
  <c r="O14" i="23"/>
  <c r="O71" i="23"/>
  <c r="O39" i="23"/>
  <c r="O5" i="23"/>
  <c r="O102" i="23"/>
  <c r="O70" i="23"/>
  <c r="O38" i="23"/>
  <c r="O12" i="23"/>
  <c r="O98" i="23"/>
  <c r="O66" i="23"/>
  <c r="O25" i="23"/>
  <c r="O43" i="23"/>
  <c r="O99" i="23"/>
  <c r="O6" i="23"/>
  <c r="O35" i="23"/>
  <c r="I9" i="23" l="1"/>
  <c r="I10" i="23"/>
  <c r="I7" i="23"/>
  <c r="W35" i="23"/>
  <c r="U35" i="23"/>
  <c r="Y35" i="23"/>
  <c r="W38" i="23"/>
  <c r="U38" i="23"/>
  <c r="Y38" i="23"/>
  <c r="U36" i="23"/>
  <c r="Y36" i="23"/>
  <c r="W36" i="23"/>
  <c r="U100" i="23"/>
  <c r="W100" i="23"/>
  <c r="Y100" i="23"/>
  <c r="W34" i="23"/>
  <c r="U34" i="23"/>
  <c r="Y34" i="23"/>
  <c r="W82" i="23"/>
  <c r="U82" i="23"/>
  <c r="Y82" i="23"/>
  <c r="W87" i="23"/>
  <c r="U87" i="23"/>
  <c r="Y87" i="23"/>
  <c r="Y45" i="23"/>
  <c r="U45" i="23"/>
  <c r="W45" i="23"/>
  <c r="W62" i="23"/>
  <c r="U62" i="23"/>
  <c r="Y62" i="23"/>
  <c r="U63" i="23"/>
  <c r="Y63" i="23"/>
  <c r="W63" i="23"/>
  <c r="U33" i="23"/>
  <c r="Y33" i="23"/>
  <c r="W33" i="23"/>
  <c r="Y67" i="23"/>
  <c r="W67" i="23"/>
  <c r="U67" i="23"/>
  <c r="Y51" i="23"/>
  <c r="W51" i="23"/>
  <c r="U51" i="23"/>
  <c r="Y46" i="23"/>
  <c r="W46" i="23"/>
  <c r="U46" i="23"/>
  <c r="Y47" i="23"/>
  <c r="W47" i="23"/>
  <c r="U47" i="23"/>
  <c r="W40" i="23"/>
  <c r="U40" i="23"/>
  <c r="Y40" i="23"/>
  <c r="W27" i="23"/>
  <c r="Y27" i="23"/>
  <c r="U27" i="23"/>
  <c r="W89" i="23"/>
  <c r="U89" i="23"/>
  <c r="Y89" i="23"/>
  <c r="Y12" i="23"/>
  <c r="U12" i="23"/>
  <c r="W12" i="23"/>
  <c r="U22" i="23"/>
  <c r="Y22" i="23"/>
  <c r="W22" i="23"/>
  <c r="U84" i="23"/>
  <c r="W84" i="23"/>
  <c r="Y84" i="23"/>
  <c r="U23" i="23"/>
  <c r="Y23" i="23"/>
  <c r="W23" i="23"/>
  <c r="W54" i="23"/>
  <c r="U54" i="23"/>
  <c r="Y54" i="23"/>
  <c r="U44" i="23"/>
  <c r="Y44" i="23"/>
  <c r="W44" i="23"/>
  <c r="W11" i="23"/>
  <c r="Y11" i="23"/>
  <c r="U11" i="23"/>
  <c r="Y99" i="23"/>
  <c r="W99" i="23"/>
  <c r="U99" i="23"/>
  <c r="Y102" i="23"/>
  <c r="W102" i="23"/>
  <c r="U102" i="23"/>
  <c r="W68" i="23"/>
  <c r="Y68" i="23"/>
  <c r="U68" i="23"/>
  <c r="Y6" i="23"/>
  <c r="W6" i="23"/>
  <c r="U6" i="23"/>
  <c r="W66" i="23"/>
  <c r="U66" i="23"/>
  <c r="Y66" i="23"/>
  <c r="Y70" i="23"/>
  <c r="W70" i="23"/>
  <c r="U70" i="23"/>
  <c r="W71" i="23"/>
  <c r="U71" i="23"/>
  <c r="Y71" i="23"/>
  <c r="W52" i="23"/>
  <c r="U52" i="23"/>
  <c r="Y52" i="23"/>
  <c r="Y37" i="23"/>
  <c r="U37" i="23"/>
  <c r="W37" i="23"/>
  <c r="W101" i="23"/>
  <c r="Y101" i="23"/>
  <c r="U101" i="23"/>
  <c r="U30" i="23"/>
  <c r="Y30" i="23"/>
  <c r="W30" i="23"/>
  <c r="Y10" i="23"/>
  <c r="W10" i="23"/>
  <c r="U10" i="23"/>
  <c r="W8" i="23"/>
  <c r="Y8" i="23"/>
  <c r="U8" i="23"/>
  <c r="Y50" i="23"/>
  <c r="W50" i="23"/>
  <c r="U50" i="23"/>
  <c r="W17" i="23"/>
  <c r="Y17" i="23"/>
  <c r="U17" i="23"/>
  <c r="W76" i="23"/>
  <c r="Y76" i="23"/>
  <c r="U76" i="23"/>
  <c r="W61" i="23"/>
  <c r="Y61" i="23"/>
  <c r="U61" i="23"/>
  <c r="W15" i="23"/>
  <c r="U15" i="23"/>
  <c r="Y15" i="23"/>
  <c r="W94" i="23"/>
  <c r="U94" i="23"/>
  <c r="Y94" i="23"/>
  <c r="Y95" i="23"/>
  <c r="W95" i="23"/>
  <c r="U95" i="23"/>
  <c r="W64" i="23"/>
  <c r="U64" i="23"/>
  <c r="Y64" i="23"/>
  <c r="U49" i="23"/>
  <c r="Y49" i="23"/>
  <c r="W49" i="23"/>
  <c r="U7" i="23"/>
  <c r="Y7" i="23"/>
  <c r="W7" i="23"/>
  <c r="U74" i="23"/>
  <c r="Y74" i="23"/>
  <c r="W74" i="23"/>
  <c r="U78" i="23"/>
  <c r="Y78" i="23"/>
  <c r="W78" i="23"/>
  <c r="U79" i="23"/>
  <c r="Y79" i="23"/>
  <c r="W79" i="23"/>
  <c r="Y56" i="23"/>
  <c r="W56" i="23"/>
  <c r="U56" i="23"/>
  <c r="Y41" i="23"/>
  <c r="W41" i="23"/>
  <c r="U41" i="23"/>
  <c r="J24" i="23"/>
  <c r="I11" i="23"/>
  <c r="I8" i="23"/>
  <c r="U25" i="23"/>
  <c r="Y25" i="23"/>
  <c r="W25" i="23"/>
  <c r="U39" i="23"/>
  <c r="Y39" i="23"/>
  <c r="W39" i="23"/>
  <c r="Y85" i="23"/>
  <c r="U85" i="23"/>
  <c r="W85" i="23"/>
  <c r="W59" i="23"/>
  <c r="U59" i="23"/>
  <c r="Y59" i="23"/>
  <c r="W86" i="23"/>
  <c r="U86" i="23"/>
  <c r="Y86" i="23"/>
  <c r="U60" i="23"/>
  <c r="Y60" i="23"/>
  <c r="W60" i="23"/>
  <c r="U75" i="23"/>
  <c r="Y75" i="23"/>
  <c r="W75" i="23"/>
  <c r="U48" i="23"/>
  <c r="W48" i="23"/>
  <c r="Y48" i="23"/>
  <c r="U43" i="23"/>
  <c r="Y43" i="23"/>
  <c r="W43" i="23"/>
  <c r="Y5" i="23"/>
  <c r="W5" i="23"/>
  <c r="U5" i="23"/>
  <c r="Y69" i="23"/>
  <c r="U69" i="23"/>
  <c r="W69" i="23"/>
  <c r="W2" i="23"/>
  <c r="U2" i="23"/>
  <c r="Y2" i="23"/>
  <c r="W83" i="23"/>
  <c r="U83" i="23"/>
  <c r="Y83" i="23"/>
  <c r="W55" i="23"/>
  <c r="U55" i="23"/>
  <c r="Y55" i="23"/>
  <c r="Y29" i="23"/>
  <c r="U29" i="23"/>
  <c r="W29" i="23"/>
  <c r="Y93" i="23"/>
  <c r="U93" i="23"/>
  <c r="W93" i="23"/>
  <c r="W31" i="23"/>
  <c r="U31" i="23"/>
  <c r="Y31" i="23"/>
  <c r="Y32" i="23"/>
  <c r="U32" i="23"/>
  <c r="W32" i="23"/>
  <c r="Y96" i="23"/>
  <c r="W96" i="23"/>
  <c r="U96" i="23"/>
  <c r="U81" i="23"/>
  <c r="Y81" i="23"/>
  <c r="W81" i="23"/>
  <c r="W13" i="23"/>
  <c r="U13" i="23"/>
  <c r="Y13" i="23"/>
  <c r="W20" i="23"/>
  <c r="U20" i="23"/>
  <c r="Y20" i="23"/>
  <c r="Y9" i="23"/>
  <c r="U9" i="23"/>
  <c r="W9" i="23"/>
  <c r="U24" i="23"/>
  <c r="Y24" i="23"/>
  <c r="W24" i="23"/>
  <c r="U88" i="23"/>
  <c r="Y88" i="23"/>
  <c r="W88" i="23"/>
  <c r="U73" i="23"/>
  <c r="Y73" i="23"/>
  <c r="W73" i="23"/>
  <c r="W98" i="23"/>
  <c r="U98" i="23"/>
  <c r="Y98" i="23"/>
  <c r="U14" i="23"/>
  <c r="Y14" i="23"/>
  <c r="W14" i="23"/>
  <c r="Y53" i="23"/>
  <c r="U53" i="23"/>
  <c r="W53" i="23"/>
  <c r="Y91" i="23"/>
  <c r="W91" i="23"/>
  <c r="U91" i="23"/>
  <c r="Y97" i="23"/>
  <c r="W97" i="23"/>
  <c r="U97" i="23"/>
  <c r="U19" i="23"/>
  <c r="Y19" i="23"/>
  <c r="W19" i="23"/>
  <c r="U28" i="23"/>
  <c r="Y28" i="23"/>
  <c r="W28" i="23"/>
  <c r="U21" i="23"/>
  <c r="Y21" i="23"/>
  <c r="W21" i="23"/>
  <c r="Y26" i="23"/>
  <c r="W26" i="23"/>
  <c r="U26" i="23"/>
  <c r="U92" i="23"/>
  <c r="W92" i="23"/>
  <c r="Y92" i="23"/>
  <c r="U77" i="23"/>
  <c r="W77" i="23"/>
  <c r="Y77" i="23"/>
  <c r="W90" i="23"/>
  <c r="U90" i="23"/>
  <c r="Y90" i="23"/>
  <c r="Y58" i="23"/>
  <c r="W58" i="23"/>
  <c r="U58" i="23"/>
  <c r="Y18" i="23"/>
  <c r="U18" i="23"/>
  <c r="W18" i="23"/>
  <c r="U80" i="23"/>
  <c r="Y80" i="23"/>
  <c r="W80" i="23"/>
  <c r="W65" i="23"/>
  <c r="U65" i="23"/>
  <c r="Y65" i="23"/>
  <c r="W3" i="23"/>
  <c r="U3" i="23"/>
  <c r="Y3" i="23"/>
  <c r="U4" i="23"/>
  <c r="Y4" i="23"/>
  <c r="W4" i="23"/>
  <c r="W42" i="23"/>
  <c r="U42" i="23"/>
  <c r="Y42" i="23"/>
  <c r="Y16" i="23"/>
  <c r="U16" i="23"/>
  <c r="W16" i="23"/>
  <c r="U72" i="23"/>
  <c r="Y72" i="23"/>
  <c r="W72" i="23"/>
  <c r="U57" i="23"/>
  <c r="Y57" i="23"/>
  <c r="W57" i="23"/>
  <c r="I12" i="23" l="1"/>
  <c r="I13" i="23" s="1"/>
  <c r="Q32" i="23" s="1"/>
  <c r="T32" i="23" s="1"/>
  <c r="I14" i="23"/>
  <c r="I23" i="23"/>
  <c r="I24" i="23" s="1"/>
  <c r="K24" i="23" s="1"/>
  <c r="I16" i="23"/>
  <c r="I15" i="23"/>
  <c r="J25" i="23"/>
  <c r="J12" i="23" l="1"/>
  <c r="K12" i="23" s="1"/>
  <c r="L29" i="23"/>
  <c r="P102" i="23"/>
  <c r="P98" i="23"/>
  <c r="P94" i="23"/>
  <c r="P90" i="23"/>
  <c r="P86" i="23"/>
  <c r="P82" i="23"/>
  <c r="P78" i="23"/>
  <c r="P74" i="23"/>
  <c r="P70" i="23"/>
  <c r="P66" i="23"/>
  <c r="P62" i="23"/>
  <c r="P58" i="23"/>
  <c r="P54" i="23"/>
  <c r="P50" i="23"/>
  <c r="P46" i="23"/>
  <c r="P42" i="23"/>
  <c r="P38" i="23"/>
  <c r="P34" i="23"/>
  <c r="P30" i="23"/>
  <c r="P26" i="23"/>
  <c r="P22" i="23"/>
  <c r="P18" i="23"/>
  <c r="P14" i="23"/>
  <c r="P10" i="23"/>
  <c r="P6" i="23"/>
  <c r="P2" i="23"/>
  <c r="P101" i="23"/>
  <c r="P97" i="23"/>
  <c r="P93" i="23"/>
  <c r="P89" i="23"/>
  <c r="P85" i="23"/>
  <c r="P81" i="23"/>
  <c r="P77" i="23"/>
  <c r="P73" i="23"/>
  <c r="P69" i="23"/>
  <c r="P65" i="23"/>
  <c r="P61" i="23"/>
  <c r="P57" i="23"/>
  <c r="P53" i="23"/>
  <c r="P49" i="23"/>
  <c r="P45" i="23"/>
  <c r="P41" i="23"/>
  <c r="P37" i="23"/>
  <c r="P33" i="23"/>
  <c r="P29" i="23"/>
  <c r="P25" i="23"/>
  <c r="P21" i="23"/>
  <c r="P17" i="23"/>
  <c r="P13" i="23"/>
  <c r="P9" i="23"/>
  <c r="P5" i="23"/>
  <c r="P100" i="23"/>
  <c r="P96" i="23"/>
  <c r="P92" i="23"/>
  <c r="P88" i="23"/>
  <c r="P84" i="23"/>
  <c r="P80" i="23"/>
  <c r="P76" i="23"/>
  <c r="P72" i="23"/>
  <c r="P68" i="23"/>
  <c r="P64" i="23"/>
  <c r="P60" i="23"/>
  <c r="P56" i="23"/>
  <c r="P52" i="23"/>
  <c r="P48" i="23"/>
  <c r="P44" i="23"/>
  <c r="P40" i="23"/>
  <c r="P36" i="23"/>
  <c r="P32" i="23"/>
  <c r="P28" i="23"/>
  <c r="P24" i="23"/>
  <c r="P20" i="23"/>
  <c r="P16" i="23"/>
  <c r="P12" i="23"/>
  <c r="P8" i="23"/>
  <c r="P4" i="23"/>
  <c r="P99" i="23"/>
  <c r="P95" i="23"/>
  <c r="P91" i="23"/>
  <c r="P87" i="23"/>
  <c r="P83" i="23"/>
  <c r="P79" i="23"/>
  <c r="P75" i="23"/>
  <c r="P71" i="23"/>
  <c r="P67" i="23"/>
  <c r="P63" i="23"/>
  <c r="P59" i="23"/>
  <c r="P55" i="23"/>
  <c r="P51" i="23"/>
  <c r="P47" i="23"/>
  <c r="P43" i="23"/>
  <c r="P39" i="23"/>
  <c r="P35" i="23"/>
  <c r="P31" i="23"/>
  <c r="P27" i="23"/>
  <c r="P23" i="23"/>
  <c r="P19" i="23"/>
  <c r="P15" i="23"/>
  <c r="P11" i="23"/>
  <c r="P7" i="23"/>
  <c r="P3" i="23"/>
  <c r="Q84" i="23"/>
  <c r="T84" i="23" s="1"/>
  <c r="Q12" i="23"/>
  <c r="T12" i="23" s="1"/>
  <c r="N19" i="23"/>
  <c r="Q94" i="23"/>
  <c r="T94" i="23" s="1"/>
  <c r="Q40" i="23"/>
  <c r="T40" i="23" s="1"/>
  <c r="Q65" i="23"/>
  <c r="T65" i="23" s="1"/>
  <c r="Q54" i="23"/>
  <c r="T54" i="23" s="1"/>
  <c r="Q26" i="23"/>
  <c r="T26" i="23" s="1"/>
  <c r="J13" i="23"/>
  <c r="N15" i="23"/>
  <c r="Q13" i="23"/>
  <c r="T13" i="23" s="1"/>
  <c r="Q61" i="23"/>
  <c r="T61" i="23" s="1"/>
  <c r="Q83" i="23"/>
  <c r="T83" i="23" s="1"/>
  <c r="Q58" i="23"/>
  <c r="T58" i="23" s="1"/>
  <c r="Q39" i="23"/>
  <c r="T39" i="23" s="1"/>
  <c r="Q76" i="23"/>
  <c r="T76" i="23" s="1"/>
  <c r="Q82" i="23"/>
  <c r="T82" i="23" s="1"/>
  <c r="Q33" i="23"/>
  <c r="T33" i="23" s="1"/>
  <c r="Q79" i="23"/>
  <c r="T79" i="23" s="1"/>
  <c r="Q67" i="23"/>
  <c r="T67" i="23" s="1"/>
  <c r="Q17" i="23"/>
  <c r="T17" i="23" s="1"/>
  <c r="Q41" i="23"/>
  <c r="T41" i="23" s="1"/>
  <c r="Q91" i="23"/>
  <c r="T91" i="23" s="1"/>
  <c r="Q93" i="23"/>
  <c r="T93" i="23" s="1"/>
  <c r="Q68" i="23"/>
  <c r="T68" i="23" s="1"/>
  <c r="Q29" i="23"/>
  <c r="T29" i="23" s="1"/>
  <c r="Q9" i="23"/>
  <c r="T9" i="23" s="1"/>
  <c r="Q59" i="23"/>
  <c r="T59" i="23" s="1"/>
  <c r="Q31" i="23"/>
  <c r="T31" i="23" s="1"/>
  <c r="Q8" i="23"/>
  <c r="T8" i="23" s="1"/>
  <c r="Q88" i="23"/>
  <c r="T88" i="23" s="1"/>
  <c r="Q5" i="23"/>
  <c r="T5" i="23" s="1"/>
  <c r="Q98" i="23"/>
  <c r="T98" i="23" s="1"/>
  <c r="Q2" i="23"/>
  <c r="T2" i="23" s="1"/>
  <c r="N8" i="23"/>
  <c r="Q100" i="23"/>
  <c r="T100" i="23" s="1"/>
  <c r="Q50" i="23"/>
  <c r="T50" i="23" s="1"/>
  <c r="N3" i="23"/>
  <c r="Q69" i="23"/>
  <c r="T69" i="23" s="1"/>
  <c r="Q3" i="23"/>
  <c r="T3" i="23" s="1"/>
  <c r="Q90" i="23"/>
  <c r="T90" i="23" s="1"/>
  <c r="Q38" i="23"/>
  <c r="T38" i="23" s="1"/>
  <c r="Q14" i="23"/>
  <c r="T14" i="23" s="1"/>
  <c r="Q74" i="23"/>
  <c r="T74" i="23" s="1"/>
  <c r="Q57" i="23"/>
  <c r="T57" i="23" s="1"/>
  <c r="Q24" i="23"/>
  <c r="T24" i="23" s="1"/>
  <c r="N7" i="23"/>
  <c r="Q53" i="23"/>
  <c r="T53" i="23" s="1"/>
  <c r="N6" i="23"/>
  <c r="Q95" i="23"/>
  <c r="T95" i="23" s="1"/>
  <c r="Q27" i="23"/>
  <c r="T27" i="23" s="1"/>
  <c r="Q97" i="23"/>
  <c r="T97" i="23" s="1"/>
  <c r="Q37" i="23"/>
  <c r="T37" i="23" s="1"/>
  <c r="Q49" i="23"/>
  <c r="T49" i="23" s="1"/>
  <c r="Q81" i="23"/>
  <c r="T81" i="23" s="1"/>
  <c r="Q55" i="23"/>
  <c r="T55" i="23" s="1"/>
  <c r="Q47" i="23"/>
  <c r="T47" i="23" s="1"/>
  <c r="Q77" i="23"/>
  <c r="T77" i="23" s="1"/>
  <c r="Q18" i="23"/>
  <c r="T18" i="23" s="1"/>
  <c r="Q46" i="23"/>
  <c r="T46" i="23" s="1"/>
  <c r="N10" i="23"/>
  <c r="N17" i="23"/>
  <c r="N18" i="23"/>
  <c r="Q62" i="23"/>
  <c r="T62" i="23" s="1"/>
  <c r="N11" i="23"/>
  <c r="Q73" i="23"/>
  <c r="T73" i="23" s="1"/>
  <c r="N16" i="23"/>
  <c r="Q92" i="23"/>
  <c r="T92" i="23" s="1"/>
  <c r="N9" i="23"/>
  <c r="Q99" i="23"/>
  <c r="T99" i="23" s="1"/>
  <c r="Q28" i="23"/>
  <c r="T28" i="23" s="1"/>
  <c r="Q36" i="23"/>
  <c r="T36" i="23" s="1"/>
  <c r="Q20" i="23"/>
  <c r="T20" i="23" s="1"/>
  <c r="Q11" i="23"/>
  <c r="T11" i="23" s="1"/>
  <c r="N14" i="23"/>
  <c r="Q70" i="23"/>
  <c r="T70" i="23" s="1"/>
  <c r="Q48" i="23"/>
  <c r="T48" i="23" s="1"/>
  <c r="Q10" i="23"/>
  <c r="T10" i="23" s="1"/>
  <c r="Q19" i="23"/>
  <c r="T19" i="23" s="1"/>
  <c r="N4" i="23"/>
  <c r="Q22" i="23"/>
  <c r="T22" i="23" s="1"/>
  <c r="Q66" i="23"/>
  <c r="T66" i="23" s="1"/>
  <c r="N12" i="23"/>
  <c r="Q4" i="23"/>
  <c r="T4" i="23" s="1"/>
  <c r="Q101" i="23"/>
  <c r="T101" i="23" s="1"/>
  <c r="Q87" i="23"/>
  <c r="T87" i="23" s="1"/>
  <c r="Q30" i="23"/>
  <c r="T30" i="23" s="1"/>
  <c r="Q86" i="23"/>
  <c r="T86" i="23" s="1"/>
  <c r="Q72" i="23"/>
  <c r="T72" i="23" s="1"/>
  <c r="Q52" i="23"/>
  <c r="T52" i="23" s="1"/>
  <c r="Q89" i="23"/>
  <c r="T89" i="23" s="1"/>
  <c r="Q85" i="23"/>
  <c r="T85" i="23" s="1"/>
  <c r="Q7" i="23"/>
  <c r="T7" i="23" s="1"/>
  <c r="Q42" i="23"/>
  <c r="T42" i="23" s="1"/>
  <c r="Q71" i="23"/>
  <c r="T71" i="23" s="1"/>
  <c r="Q63" i="23"/>
  <c r="T63" i="23" s="1"/>
  <c r="Q44" i="23"/>
  <c r="T44" i="23" s="1"/>
  <c r="Q35" i="23"/>
  <c r="T35" i="23" s="1"/>
  <c r="Q21" i="23"/>
  <c r="T21" i="23" s="1"/>
  <c r="N5" i="23"/>
  <c r="Q102" i="23"/>
  <c r="T102" i="23" s="1"/>
  <c r="Q75" i="23"/>
  <c r="T75" i="23" s="1"/>
  <c r="Q80" i="23"/>
  <c r="T80" i="23" s="1"/>
  <c r="N13" i="23"/>
  <c r="Q64" i="23"/>
  <c r="T64" i="23" s="1"/>
  <c r="Q96" i="23"/>
  <c r="T96" i="23" s="1"/>
  <c r="I29" i="23"/>
  <c r="Q43" i="23"/>
  <c r="T43" i="23" s="1"/>
  <c r="N2" i="23"/>
  <c r="Q51" i="23"/>
  <c r="T51" i="23" s="1"/>
  <c r="Q16" i="23"/>
  <c r="T16" i="23" s="1"/>
  <c r="Q34" i="23"/>
  <c r="T34" i="23" s="1"/>
  <c r="Q60" i="23"/>
  <c r="T60" i="23" s="1"/>
  <c r="Q78" i="23"/>
  <c r="T78" i="23" s="1"/>
  <c r="Q45" i="23"/>
  <c r="T45" i="23" s="1"/>
  <c r="Q23" i="23"/>
  <c r="T23" i="23" s="1"/>
  <c r="Q25" i="23"/>
  <c r="T25" i="23" s="1"/>
  <c r="Q6" i="23"/>
  <c r="T6" i="23" s="1"/>
  <c r="Q56" i="23"/>
  <c r="T56" i="23" s="1"/>
  <c r="Q15" i="23"/>
  <c r="T15" i="23" s="1"/>
  <c r="K23" i="23"/>
  <c r="L23" i="23" s="1"/>
  <c r="I25" i="23"/>
  <c r="I17" i="23"/>
  <c r="I18" i="23"/>
  <c r="J14" i="23" l="1"/>
  <c r="Y15" i="25" s="1"/>
  <c r="K13" i="23"/>
  <c r="S22" i="23"/>
  <c r="X22" i="23" s="1"/>
  <c r="R22" i="23"/>
  <c r="V22" i="23" s="1"/>
  <c r="S2" i="23"/>
  <c r="X2" i="23" s="1"/>
  <c r="R2" i="23"/>
  <c r="V2" i="23" s="1"/>
  <c r="R21" i="23"/>
  <c r="V21" i="23" s="1"/>
  <c r="S21" i="23"/>
  <c r="X21" i="23" s="1"/>
  <c r="S45" i="23"/>
  <c r="X45" i="23" s="1"/>
  <c r="R45" i="23"/>
  <c r="V45" i="23" s="1"/>
  <c r="R68" i="23"/>
  <c r="V68" i="23" s="1"/>
  <c r="S68" i="23"/>
  <c r="X68" i="23" s="1"/>
  <c r="R84" i="23"/>
  <c r="V84" i="23" s="1"/>
  <c r="S84" i="23"/>
  <c r="X84" i="23" s="1"/>
  <c r="J18" i="23"/>
  <c r="K18" i="23"/>
  <c r="S15" i="23"/>
  <c r="X15" i="23" s="1"/>
  <c r="R15" i="23"/>
  <c r="V15" i="23" s="1"/>
  <c r="R89" i="23"/>
  <c r="V89" i="23" s="1"/>
  <c r="S89" i="23"/>
  <c r="X89" i="23" s="1"/>
  <c r="S79" i="23"/>
  <c r="X79" i="23" s="1"/>
  <c r="R79" i="23"/>
  <c r="V79" i="23" s="1"/>
  <c r="R47" i="23"/>
  <c r="V47" i="23" s="1"/>
  <c r="S47" i="23"/>
  <c r="X47" i="23" s="1"/>
  <c r="S53" i="23"/>
  <c r="X53" i="23" s="1"/>
  <c r="R53" i="23"/>
  <c r="V53" i="23" s="1"/>
  <c r="R13" i="23"/>
  <c r="V13" i="23" s="1"/>
  <c r="S13" i="23"/>
  <c r="X13" i="23" s="1"/>
  <c r="S87" i="23"/>
  <c r="X87" i="23" s="1"/>
  <c r="R87" i="23"/>
  <c r="V87" i="23" s="1"/>
  <c r="R59" i="23"/>
  <c r="V59" i="23" s="1"/>
  <c r="S59" i="23"/>
  <c r="X59" i="23" s="1"/>
  <c r="S16" i="23"/>
  <c r="X16" i="23" s="1"/>
  <c r="R16" i="23"/>
  <c r="V16" i="23" s="1"/>
  <c r="R11" i="23"/>
  <c r="V11" i="23" s="1"/>
  <c r="S11" i="23"/>
  <c r="X11" i="23" s="1"/>
  <c r="S54" i="23"/>
  <c r="X54" i="23" s="1"/>
  <c r="R54" i="23"/>
  <c r="V54" i="23" s="1"/>
  <c r="R20" i="23"/>
  <c r="V20" i="23" s="1"/>
  <c r="S20" i="23"/>
  <c r="X20" i="23" s="1"/>
  <c r="S65" i="23"/>
  <c r="X65" i="23" s="1"/>
  <c r="R65" i="23"/>
  <c r="V65" i="23" s="1"/>
  <c r="S38" i="23"/>
  <c r="X38" i="23" s="1"/>
  <c r="R38" i="23"/>
  <c r="V38" i="23" s="1"/>
  <c r="R40" i="23"/>
  <c r="V40" i="23" s="1"/>
  <c r="S40" i="23"/>
  <c r="X40" i="23" s="1"/>
  <c r="R73" i="23"/>
  <c r="V73" i="23" s="1"/>
  <c r="S73" i="23"/>
  <c r="X73" i="23" s="1"/>
  <c r="S62" i="23"/>
  <c r="X62" i="23" s="1"/>
  <c r="R62" i="23"/>
  <c r="V62" i="23" s="1"/>
  <c r="S31" i="23"/>
  <c r="X31" i="23" s="1"/>
  <c r="R31" i="23"/>
  <c r="V31" i="23" s="1"/>
  <c r="R61" i="23"/>
  <c r="V61" i="23" s="1"/>
  <c r="S61" i="23"/>
  <c r="X61" i="23" s="1"/>
  <c r="S90" i="23"/>
  <c r="X90" i="23" s="1"/>
  <c r="R90" i="23"/>
  <c r="V90" i="23" s="1"/>
  <c r="R48" i="23"/>
  <c r="V48" i="23" s="1"/>
  <c r="S48" i="23"/>
  <c r="X48" i="23" s="1"/>
  <c r="S75" i="23"/>
  <c r="X75" i="23" s="1"/>
  <c r="R75" i="23"/>
  <c r="V75" i="23" s="1"/>
  <c r="S37" i="23"/>
  <c r="X37" i="23" s="1"/>
  <c r="R37" i="23"/>
  <c r="V37" i="23" s="1"/>
  <c r="R19" i="23"/>
  <c r="V19" i="23" s="1"/>
  <c r="S19" i="23"/>
  <c r="X19" i="23" s="1"/>
  <c r="R27" i="23"/>
  <c r="V27" i="23" s="1"/>
  <c r="S27" i="23"/>
  <c r="X27" i="23" s="1"/>
  <c r="S42" i="23"/>
  <c r="X42" i="23" s="1"/>
  <c r="R42" i="23"/>
  <c r="V42" i="23" s="1"/>
  <c r="S55" i="23"/>
  <c r="X55" i="23" s="1"/>
  <c r="R55" i="23"/>
  <c r="V55" i="23" s="1"/>
  <c r="S66" i="23"/>
  <c r="X66" i="23" s="1"/>
  <c r="R66" i="23"/>
  <c r="V66" i="23" s="1"/>
  <c r="R23" i="23"/>
  <c r="V23" i="23" s="1"/>
  <c r="S23" i="23"/>
  <c r="X23" i="23" s="1"/>
  <c r="S9" i="23"/>
  <c r="X9" i="23" s="1"/>
  <c r="R9" i="23"/>
  <c r="V9" i="23" s="1"/>
  <c r="R95" i="23"/>
  <c r="V95" i="23" s="1"/>
  <c r="S95" i="23"/>
  <c r="X95" i="23" s="1"/>
  <c r="S100" i="23"/>
  <c r="X100" i="23" s="1"/>
  <c r="R100" i="23"/>
  <c r="V100" i="23" s="1"/>
  <c r="R36" i="23"/>
  <c r="V36" i="23" s="1"/>
  <c r="S36" i="23"/>
  <c r="X36" i="23" s="1"/>
  <c r="R96" i="23"/>
  <c r="V96" i="23" s="1"/>
  <c r="S96" i="23"/>
  <c r="X96" i="23" s="1"/>
  <c r="S81" i="23"/>
  <c r="X81" i="23" s="1"/>
  <c r="R81" i="23"/>
  <c r="V81" i="23" s="1"/>
  <c r="R63" i="23"/>
  <c r="V63" i="23" s="1"/>
  <c r="S63" i="23"/>
  <c r="X63" i="23" s="1"/>
  <c r="S102" i="23"/>
  <c r="X102" i="23" s="1"/>
  <c r="R102" i="23"/>
  <c r="V102" i="23" s="1"/>
  <c r="S4" i="23"/>
  <c r="X4" i="23" s="1"/>
  <c r="R4" i="23"/>
  <c r="V4" i="23" s="1"/>
  <c r="S69" i="23"/>
  <c r="X69" i="23" s="1"/>
  <c r="R69" i="23"/>
  <c r="V69" i="23" s="1"/>
  <c r="R71" i="23"/>
  <c r="V71" i="23" s="1"/>
  <c r="S71" i="23"/>
  <c r="X71" i="23" s="1"/>
  <c r="S29" i="23"/>
  <c r="X29" i="23" s="1"/>
  <c r="R29" i="23"/>
  <c r="V29" i="23" s="1"/>
  <c r="S28" i="23"/>
  <c r="X28" i="23" s="1"/>
  <c r="R28" i="23"/>
  <c r="V28" i="23" s="1"/>
  <c r="S56" i="23"/>
  <c r="X56" i="23" s="1"/>
  <c r="R56" i="23"/>
  <c r="V56" i="23" s="1"/>
  <c r="R5" i="23"/>
  <c r="V5" i="23" s="1"/>
  <c r="S5" i="23"/>
  <c r="X5" i="23" s="1"/>
  <c r="R39" i="23"/>
  <c r="V39" i="23" s="1"/>
  <c r="S39" i="23"/>
  <c r="X39" i="23" s="1"/>
  <c r="R6" i="23"/>
  <c r="V6" i="23" s="1"/>
  <c r="S6" i="23"/>
  <c r="X6" i="23" s="1"/>
  <c r="R86" i="23"/>
  <c r="V86" i="23" s="1"/>
  <c r="S86" i="23"/>
  <c r="X86" i="23" s="1"/>
  <c r="R92" i="23"/>
  <c r="V92" i="23" s="1"/>
  <c r="S92" i="23"/>
  <c r="X92" i="23" s="1"/>
  <c r="R8" i="23"/>
  <c r="V8" i="23" s="1"/>
  <c r="S8" i="23"/>
  <c r="X8" i="23" s="1"/>
  <c r="R76" i="23"/>
  <c r="V76" i="23" s="1"/>
  <c r="S76" i="23"/>
  <c r="X76" i="23" s="1"/>
  <c r="R25" i="23"/>
  <c r="V25" i="23" s="1"/>
  <c r="S25" i="23"/>
  <c r="X25" i="23" s="1"/>
  <c r="S46" i="23"/>
  <c r="X46" i="23" s="1"/>
  <c r="R46" i="23"/>
  <c r="V46" i="23" s="1"/>
  <c r="R33" i="23"/>
  <c r="V33" i="23" s="1"/>
  <c r="S33" i="23"/>
  <c r="X33" i="23" s="1"/>
  <c r="R74" i="23"/>
  <c r="V74" i="23" s="1"/>
  <c r="S74" i="23"/>
  <c r="X74" i="23" s="1"/>
  <c r="S80" i="23"/>
  <c r="X80" i="23" s="1"/>
  <c r="R80" i="23"/>
  <c r="V80" i="23" s="1"/>
  <c r="S64" i="23"/>
  <c r="X64" i="23" s="1"/>
  <c r="R64" i="23"/>
  <c r="V64" i="23" s="1"/>
  <c r="R97" i="23"/>
  <c r="V97" i="23" s="1"/>
  <c r="S97" i="23"/>
  <c r="X97" i="23" s="1"/>
  <c r="S49" i="23"/>
  <c r="X49" i="23" s="1"/>
  <c r="R49" i="23"/>
  <c r="V49" i="23" s="1"/>
  <c r="S10" i="23"/>
  <c r="X10" i="23" s="1"/>
  <c r="R10" i="23"/>
  <c r="V10" i="23" s="1"/>
  <c r="R7" i="23"/>
  <c r="V7" i="23" s="1"/>
  <c r="S7" i="23"/>
  <c r="X7" i="23" s="1"/>
  <c r="R57" i="23"/>
  <c r="V57" i="23" s="1"/>
  <c r="S57" i="23"/>
  <c r="X57" i="23" s="1"/>
  <c r="S72" i="23"/>
  <c r="X72" i="23" s="1"/>
  <c r="R72" i="23"/>
  <c r="V72" i="23" s="1"/>
  <c r="S101" i="23"/>
  <c r="X101" i="23" s="1"/>
  <c r="R101" i="23"/>
  <c r="V101" i="23" s="1"/>
  <c r="R52" i="23"/>
  <c r="V52" i="23" s="1"/>
  <c r="S52" i="23"/>
  <c r="X52" i="23" s="1"/>
  <c r="R35" i="23"/>
  <c r="V35" i="23" s="1"/>
  <c r="S35" i="23"/>
  <c r="X35" i="23" s="1"/>
  <c r="R91" i="23"/>
  <c r="V91" i="23" s="1"/>
  <c r="S91" i="23"/>
  <c r="X91" i="23" s="1"/>
  <c r="R14" i="23"/>
  <c r="V14" i="23" s="1"/>
  <c r="S14" i="23"/>
  <c r="X14" i="23" s="1"/>
  <c r="S67" i="23"/>
  <c r="X67" i="23" s="1"/>
  <c r="R67" i="23"/>
  <c r="V67" i="23" s="1"/>
  <c r="R88" i="23"/>
  <c r="V88" i="23" s="1"/>
  <c r="S88" i="23"/>
  <c r="X88" i="23" s="1"/>
  <c r="R32" i="23"/>
  <c r="V32" i="23" s="1"/>
  <c r="S32" i="23"/>
  <c r="X32" i="23" s="1"/>
  <c r="R24" i="23"/>
  <c r="V24" i="23" s="1"/>
  <c r="S24" i="23"/>
  <c r="X24" i="23" s="1"/>
  <c r="R70" i="23"/>
  <c r="V70" i="23" s="1"/>
  <c r="S70" i="23"/>
  <c r="X70" i="23" s="1"/>
  <c r="S98" i="23"/>
  <c r="X98" i="23" s="1"/>
  <c r="R98" i="23"/>
  <c r="V98" i="23" s="1"/>
  <c r="S18" i="23"/>
  <c r="X18" i="23" s="1"/>
  <c r="R18" i="23"/>
  <c r="V18" i="23" s="1"/>
  <c r="S30" i="23"/>
  <c r="X30" i="23" s="1"/>
  <c r="R30" i="23"/>
  <c r="V30" i="23" s="1"/>
  <c r="R99" i="23"/>
  <c r="V99" i="23" s="1"/>
  <c r="S99" i="23"/>
  <c r="X99" i="23" s="1"/>
  <c r="R93" i="23"/>
  <c r="V93" i="23" s="1"/>
  <c r="S93" i="23"/>
  <c r="X93" i="23" s="1"/>
  <c r="R26" i="23"/>
  <c r="V26" i="23" s="1"/>
  <c r="S26" i="23"/>
  <c r="X26" i="23" s="1"/>
  <c r="S94" i="23"/>
  <c r="X94" i="23" s="1"/>
  <c r="R94" i="23"/>
  <c r="V94" i="23" s="1"/>
  <c r="S82" i="23"/>
  <c r="X82" i="23" s="1"/>
  <c r="R82" i="23"/>
  <c r="V82" i="23" s="1"/>
  <c r="S51" i="23"/>
  <c r="X51" i="23" s="1"/>
  <c r="R51" i="23"/>
  <c r="V51" i="23" s="1"/>
  <c r="S77" i="23"/>
  <c r="X77" i="23" s="1"/>
  <c r="R77" i="23"/>
  <c r="V77" i="23" s="1"/>
  <c r="S3" i="23"/>
  <c r="X3" i="23" s="1"/>
  <c r="R3" i="23"/>
  <c r="V3" i="23" s="1"/>
  <c r="R41" i="23"/>
  <c r="V41" i="23" s="1"/>
  <c r="S41" i="23"/>
  <c r="X41" i="23" s="1"/>
  <c r="S83" i="23"/>
  <c r="X83" i="23" s="1"/>
  <c r="R83" i="23"/>
  <c r="V83" i="23" s="1"/>
  <c r="S43" i="23"/>
  <c r="X43" i="23" s="1"/>
  <c r="R43" i="23"/>
  <c r="V43" i="23" s="1"/>
  <c r="R78" i="23"/>
  <c r="V78" i="23" s="1"/>
  <c r="S78" i="23"/>
  <c r="X78" i="23" s="1"/>
  <c r="R50" i="23"/>
  <c r="V50" i="23" s="1"/>
  <c r="S50" i="23"/>
  <c r="X50" i="23" s="1"/>
  <c r="S17" i="23"/>
  <c r="X17" i="23" s="1"/>
  <c r="R17" i="23"/>
  <c r="V17" i="23" s="1"/>
  <c r="R34" i="23"/>
  <c r="V34" i="23" s="1"/>
  <c r="S34" i="23"/>
  <c r="X34" i="23" s="1"/>
  <c r="S44" i="23"/>
  <c r="X44" i="23" s="1"/>
  <c r="R44" i="23"/>
  <c r="V44" i="23" s="1"/>
  <c r="K17" i="23"/>
  <c r="J17" i="23"/>
  <c r="S60" i="23"/>
  <c r="X60" i="23" s="1"/>
  <c r="R60" i="23"/>
  <c r="V60" i="23" s="1"/>
  <c r="S85" i="23"/>
  <c r="X85" i="23" s="1"/>
  <c r="R85" i="23"/>
  <c r="V85" i="23" s="1"/>
  <c r="S12" i="23"/>
  <c r="X12" i="23" s="1"/>
  <c r="R12" i="23"/>
  <c r="V12" i="23" s="1"/>
  <c r="S58" i="23"/>
  <c r="X58" i="23" s="1"/>
  <c r="R58" i="23"/>
  <c r="V58" i="23" s="1"/>
</calcChain>
</file>

<file path=xl/sharedStrings.xml><?xml version="1.0" encoding="utf-8"?>
<sst xmlns="http://schemas.openxmlformats.org/spreadsheetml/2006/main" count="393" uniqueCount="169">
  <si>
    <t>Plader:</t>
  </si>
  <si>
    <t>R=</t>
  </si>
  <si>
    <t>Specimen</t>
  </si>
  <si>
    <t>Width</t>
  </si>
  <si>
    <t>Thickness</t>
  </si>
  <si>
    <t>Strain Range</t>
  </si>
  <si>
    <t>Max load</t>
  </si>
  <si>
    <t>Amplitude</t>
  </si>
  <si>
    <t>Frequency</t>
  </si>
  <si>
    <t>Cycles to failure</t>
  </si>
  <si>
    <t>Comments</t>
  </si>
  <si>
    <t>#</t>
  </si>
  <si>
    <t>(mm)</t>
  </si>
  <si>
    <t>(%)</t>
  </si>
  <si>
    <t>(MPa)</t>
  </si>
  <si>
    <t>(kN)</t>
  </si>
  <si>
    <t>(Hz)</t>
  </si>
  <si>
    <t>Area</t>
  </si>
  <si>
    <t>Date</t>
  </si>
  <si>
    <t>Min Load</t>
  </si>
  <si>
    <t>Abs Max strain</t>
  </si>
  <si>
    <t>(mm2)</t>
  </si>
  <si>
    <t>Peak stress</t>
  </si>
  <si>
    <t>Max strain</t>
  </si>
  <si>
    <t>Prøvemaskine</t>
  </si>
  <si>
    <t>(GPa)</t>
  </si>
  <si>
    <t>Modtaget</t>
  </si>
  <si>
    <t>SN Points</t>
  </si>
  <si>
    <t>X</t>
  </si>
  <si>
    <t>Y</t>
  </si>
  <si>
    <t>X^2</t>
  </si>
  <si>
    <t>Y^2</t>
  </si>
  <si>
    <t>X*Y</t>
  </si>
  <si>
    <t>N</t>
  </si>
  <si>
    <t>YHAT</t>
  </si>
  <si>
    <t>Xconfi</t>
  </si>
  <si>
    <t>Yavg</t>
  </si>
  <si>
    <t>Y1</t>
  </si>
  <si>
    <t>Y2</t>
  </si>
  <si>
    <t>SN-line</t>
  </si>
  <si>
    <t>Lower conf</t>
  </si>
  <si>
    <t>Upper Conf</t>
  </si>
  <si>
    <t>SUMMARY OUTPUT</t>
  </si>
  <si>
    <t>SUMX</t>
  </si>
  <si>
    <t>SUMY</t>
  </si>
  <si>
    <t>Regression Statistics</t>
  </si>
  <si>
    <t>SUMXX</t>
  </si>
  <si>
    <t>Multiple R</t>
  </si>
  <si>
    <t>SUMYY</t>
  </si>
  <si>
    <t>R Square</t>
  </si>
  <si>
    <t>SUMXY</t>
  </si>
  <si>
    <t>Adjusted R Square</t>
  </si>
  <si>
    <t>SAKX</t>
  </si>
  <si>
    <t>Standard Error</t>
  </si>
  <si>
    <t>Observations</t>
  </si>
  <si>
    <t>SAPXY</t>
  </si>
  <si>
    <t>XMEAN</t>
  </si>
  <si>
    <t>ANOVA</t>
  </si>
  <si>
    <t>YMEAN</t>
  </si>
  <si>
    <t>df</t>
  </si>
  <si>
    <t>SS</t>
  </si>
  <si>
    <t>MS</t>
  </si>
  <si>
    <t>F</t>
  </si>
  <si>
    <t>Significance F</t>
  </si>
  <si>
    <t>A1</t>
  </si>
  <si>
    <t>Regression</t>
  </si>
  <si>
    <t>A0</t>
  </si>
  <si>
    <t>Residual</t>
  </si>
  <si>
    <t>R2</t>
  </si>
  <si>
    <t>Total</t>
  </si>
  <si>
    <t>T-VALUE</t>
  </si>
  <si>
    <t>F-VALUE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</si>
  <si>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</si>
  <si>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</si>
  <si>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</si>
  <si>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</si>
  <si>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</si>
  <si>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</si>
  <si>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</si>
  <si>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CONFIA1</t>
  </si>
  <si>
    <t>Intercept</t>
  </si>
  <si>
    <t>CONFIA0</t>
  </si>
  <si>
    <t>X Variable 1</t>
  </si>
  <si>
    <t>Xmin</t>
  </si>
  <si>
    <t>Xmax</t>
  </si>
  <si>
    <t>Variansanalysetabel</t>
  </si>
  <si>
    <t>SAK</t>
  </si>
  <si>
    <t xml:space="preserve">f </t>
  </si>
  <si>
    <t>RESIDUAL OUTPUT</t>
  </si>
  <si>
    <t>Regress</t>
  </si>
  <si>
    <t>Observation</t>
  </si>
  <si>
    <t>Predicted Y</t>
  </si>
  <si>
    <t>Residuals</t>
  </si>
  <si>
    <t>Standard Residuals</t>
  </si>
  <si>
    <t>N =</t>
  </si>
  <si>
    <t>*</t>
  </si>
  <si>
    <t>S^</t>
  </si>
  <si>
    <t>TVALUE</t>
  </si>
  <si>
    <t>FVALUE</t>
  </si>
  <si>
    <t>dato</t>
  </si>
  <si>
    <t xml:space="preserve">emner </t>
  </si>
  <si>
    <t>Max Strain</t>
  </si>
  <si>
    <t>Max Stress</t>
  </si>
  <si>
    <t>Med tabs</t>
  </si>
  <si>
    <t>Frekvens</t>
  </si>
  <si>
    <t>5 Hz</t>
  </si>
  <si>
    <t>E-mod 1. load</t>
  </si>
  <si>
    <t>E-mod. 2. load</t>
  </si>
  <si>
    <t>Cycles</t>
  </si>
  <si>
    <t>SN-Curve</t>
  </si>
  <si>
    <t>Astm Stat</t>
  </si>
  <si>
    <r>
      <t>(mm</t>
    </r>
    <r>
      <rPr>
        <vertAlign val="superscript"/>
        <sz val="9"/>
        <rFont val="Calibri"/>
        <family val="2"/>
        <scheme val="minor"/>
      </rPr>
      <t>2</t>
    </r>
    <r>
      <rPr>
        <sz val="9"/>
        <rFont val="Calibri"/>
        <family val="2"/>
        <scheme val="minor"/>
      </rPr>
      <t>)</t>
    </r>
  </si>
  <si>
    <t>E-mod 1</t>
  </si>
  <si>
    <t>E-mod 2</t>
  </si>
  <si>
    <t>Ini Emod</t>
  </si>
  <si>
    <t>E-mod</t>
  </si>
  <si>
    <t>Mean Load</t>
  </si>
  <si>
    <t>From Ten and Fat Datafiles</t>
  </si>
  <si>
    <r>
      <t>SAKY (SAK</t>
    </r>
    <r>
      <rPr>
        <vertAlign val="subscript"/>
        <sz val="10"/>
        <rFont val="Calibri"/>
        <family val="2"/>
        <scheme val="minor"/>
      </rPr>
      <t>total</t>
    </r>
    <r>
      <rPr>
        <sz val="10"/>
        <rFont val="Calibri"/>
        <family val="2"/>
        <scheme val="minor"/>
      </rPr>
      <t>)</t>
    </r>
  </si>
  <si>
    <r>
      <t>S</t>
    </r>
    <r>
      <rPr>
        <vertAlign val="superscript"/>
        <sz val="10"/>
        <rFont val="Calibri"/>
        <family val="2"/>
        <scheme val="minor"/>
      </rPr>
      <t>2</t>
    </r>
  </si>
  <si>
    <t>Bending ratio</t>
  </si>
  <si>
    <t>|E1+E2|/|E1+E2|</t>
  </si>
  <si>
    <t>From Ten-files</t>
  </si>
  <si>
    <t>Matlab "DataAnalysis"</t>
  </si>
  <si>
    <t>Spec.</t>
  </si>
  <si>
    <t>Modulus a [GPa]:</t>
  </si>
  <si>
    <t>Modulus b [GPa]:</t>
  </si>
  <si>
    <t>Modulus a1 [GPa]:</t>
  </si>
  <si>
    <t>Modulus b1 [GPa]:</t>
  </si>
  <si>
    <t>Modulus a2 [GPa]:</t>
  </si>
  <si>
    <t>Modulus b2 [GPa]:</t>
  </si>
  <si>
    <t>Geometri:</t>
  </si>
  <si>
    <t>prj nummer</t>
  </si>
  <si>
    <t>Udmattelse</t>
  </si>
  <si>
    <t>From Matlab Script Fatigue4.m</t>
  </si>
  <si>
    <t>Width 
 [mm]</t>
  </si>
  <si>
    <t>Thickness 
 [mm]</t>
  </si>
  <si>
    <t>E-mod. change 
 [%]</t>
  </si>
  <si>
    <t>E-mod. 
 [GPa]</t>
  </si>
  <si>
    <t>Bending</t>
  </si>
  <si>
    <t>Freq. 
 [Hz]</t>
  </si>
  <si>
    <t>R</t>
  </si>
  <si>
    <t>Peak strain 
 [%]</t>
  </si>
  <si>
    <t>Strain range 
 [%]</t>
  </si>
  <si>
    <t>Peak stress 
 [MPa]</t>
  </si>
  <si>
    <t>C</t>
  </si>
  <si>
    <t>m</t>
  </si>
  <si>
    <t>EQA01</t>
  </si>
  <si>
    <t>44584-??</t>
  </si>
  <si>
    <t>88R1342</t>
  </si>
  <si>
    <t>88R1331</t>
  </si>
  <si>
    <t>88R1332</t>
  </si>
  <si>
    <t>34 C at 3 Hz</t>
  </si>
  <si>
    <t>32 C at 4 Hz</t>
  </si>
  <si>
    <t>Vent from 5 to 4 hz becasue of amplitude control</t>
  </si>
  <si>
    <t>run at last, geometry not perfect</t>
  </si>
  <si>
    <t>33 C at 3 Hz</t>
  </si>
  <si>
    <t>32 C at 5 Hz/Runout</t>
  </si>
  <si>
    <t>EQA01-03</t>
  </si>
  <si>
    <t>EQA01-04</t>
  </si>
  <si>
    <t>EQA01-05</t>
  </si>
  <si>
    <t>EQA01-06</t>
  </si>
  <si>
    <t>EQA01-09</t>
  </si>
  <si>
    <t>EQA01-10</t>
  </si>
  <si>
    <t>EQA01-11</t>
  </si>
  <si>
    <t>EQA01-12</t>
  </si>
  <si>
    <t xml:space="preserve"> (Run out)</t>
  </si>
  <si>
    <t>Modulus (Gpa)</t>
  </si>
  <si>
    <t>Cycles @ 1% max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</si>
</sst>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0.0"/>
    <numFmt numFmtId="166" formatCode="d/mmm/yy"/>
    <numFmt numFmtId="167" formatCode="0.000"/>
    <numFmt numFmtId="168" formatCode="0.0000"/>
    <numFmt numFmtId="169" formatCode="0.000000"/>
    <numFmt numFmtId="170" formatCode="0.00000"/>
    <numFmt numFmtId="171" formatCode="_ * #,##0_ ;_ * \-#,##0_ ;_ * &quot;-&quot;??_ ;_ @_ "/>
    <numFmt numFmtId="172" formatCode="0.000E+00"/>
  </numFmts>
  <fonts count="31" x14ac:knownFonts="1">
    <font>
      <sz val="10"/>
      <name val="Arial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sz val="14"/>
      <name val="Calibri"/>
      <family val="2"/>
      <scheme val="minor"/>
    </font>
    <font>
      <sz val="12"/>
      <color indexed="10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name val="Calibri"/>
      <family val="2"/>
      <scheme val="minor"/>
    </font>
    <font>
      <sz val="12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9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name val="Calibri"/>
      <family val="2"/>
      <scheme val="minor"/>
    </font>
    <font>
      <vertAlign val="sub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gray125">
        <bgColor rgb="FFFFFF00"/>
      </patternFill>
    </fill>
    <fill>
      <patternFill patternType="solid">
        <fgColor theme="9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</cellStyleXfs>
  <cellXfs count="20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2" xfId="0" quotePrefix="1" applyFont="1" applyBorder="1" applyAlignment="1">
      <alignment horizontal="center"/>
    </xf>
    <xf numFmtId="0" fontId="5" fillId="0" borderId="5" xfId="0" quotePrefix="1" applyFont="1" applyBorder="1" applyAlignment="1">
      <alignment horizontal="center"/>
    </xf>
    <xf numFmtId="2" fontId="5" fillId="0" borderId="6" xfId="0" quotePrefix="1" applyNumberFormat="1" applyFont="1" applyBorder="1" applyAlignment="1">
      <alignment horizontal="right"/>
    </xf>
    <xf numFmtId="0" fontId="5" fillId="0" borderId="3" xfId="0" quotePrefix="1" applyFont="1" applyBorder="1" applyAlignment="1">
      <alignment horizontal="right"/>
    </xf>
    <xf numFmtId="2" fontId="5" fillId="0" borderId="3" xfId="0" quotePrefix="1" applyNumberFormat="1" applyFont="1" applyBorder="1" applyAlignment="1">
      <alignment horizontal="right"/>
    </xf>
    <xf numFmtId="1" fontId="5" fillId="0" borderId="3" xfId="0" quotePrefix="1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15" fontId="6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8" xfId="0" applyFont="1" applyBorder="1"/>
    <xf numFmtId="2" fontId="7" fillId="0" borderId="16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1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71" fontId="7" fillId="0" borderId="16" xfId="1" applyNumberFormat="1" applyFont="1" applyFill="1" applyBorder="1"/>
    <xf numFmtId="0" fontId="7" fillId="0" borderId="18" xfId="0" applyFont="1" applyBorder="1"/>
    <xf numFmtId="15" fontId="7" fillId="0" borderId="13" xfId="0" quotePrefix="1" applyNumberFormat="1" applyFont="1" applyBorder="1" applyAlignment="1">
      <alignment horizontal="center"/>
    </xf>
    <xf numFmtId="2" fontId="7" fillId="0" borderId="14" xfId="0" applyNumberFormat="1" applyFont="1" applyBorder="1" applyAlignment="1">
      <alignment horizontal="center"/>
    </xf>
    <xf numFmtId="16" fontId="7" fillId="0" borderId="0" xfId="0" applyNumberFormat="1" applyFont="1" applyAlignment="1">
      <alignment horizontal="right"/>
    </xf>
    <xf numFmtId="2" fontId="7" fillId="0" borderId="0" xfId="0" quotePrefix="1" applyNumberFormat="1" applyFont="1" applyAlignment="1">
      <alignment horizontal="centerContinuous"/>
    </xf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/>
    <xf numFmtId="0" fontId="8" fillId="0" borderId="15" xfId="0" applyFont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2" fontId="8" fillId="0" borderId="14" xfId="0" applyNumberFormat="1" applyFont="1" applyBorder="1" applyAlignment="1">
      <alignment horizontal="center"/>
    </xf>
    <xf numFmtId="15" fontId="7" fillId="1" borderId="0" xfId="0" quotePrefix="1" applyNumberFormat="1" applyFont="1" applyFill="1" applyAlignment="1">
      <alignment horizontal="center"/>
    </xf>
    <xf numFmtId="0" fontId="7" fillId="4" borderId="0" xfId="0" applyFont="1" applyFill="1" applyAlignment="1">
      <alignment horizontal="center"/>
    </xf>
    <xf numFmtId="2" fontId="7" fillId="1" borderId="0" xfId="0" applyNumberFormat="1" applyFont="1" applyFill="1" applyAlignment="1">
      <alignment horizontal="center"/>
    </xf>
    <xf numFmtId="2" fontId="8" fillId="1" borderId="0" xfId="0" applyNumberFormat="1" applyFont="1" applyFill="1" applyAlignment="1">
      <alignment horizontal="center"/>
    </xf>
    <xf numFmtId="171" fontId="7" fillId="1" borderId="0" xfId="1" applyNumberFormat="1" applyFont="1" applyFill="1" applyBorder="1"/>
    <xf numFmtId="0" fontId="8" fillId="1" borderId="0" xfId="0" applyFont="1" applyFill="1" applyAlignment="1">
      <alignment horizontal="center"/>
    </xf>
    <xf numFmtId="171" fontId="9" fillId="0" borderId="16" xfId="1" applyNumberFormat="1" applyFont="1" applyBorder="1" applyAlignment="1">
      <alignment horizontal="center"/>
    </xf>
    <xf numFmtId="171" fontId="7" fillId="0" borderId="14" xfId="1" applyNumberFormat="1" applyFont="1" applyFill="1" applyBorder="1"/>
    <xf numFmtId="0" fontId="11" fillId="0" borderId="0" xfId="0" applyFont="1"/>
    <xf numFmtId="0" fontId="13" fillId="0" borderId="0" xfId="0" applyFont="1"/>
    <xf numFmtId="0" fontId="12" fillId="0" borderId="0" xfId="0" applyFont="1" applyAlignment="1">
      <alignment horizontal="center"/>
    </xf>
    <xf numFmtId="0" fontId="7" fillId="0" borderId="0" xfId="0" applyFont="1"/>
    <xf numFmtId="1" fontId="6" fillId="0" borderId="0" xfId="0" applyNumberFormat="1" applyFont="1"/>
    <xf numFmtId="167" fontId="6" fillId="0" borderId="0" xfId="0" applyNumberFormat="1" applyFont="1"/>
    <xf numFmtId="0" fontId="11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" fontId="6" fillId="0" borderId="7" xfId="0" applyNumberFormat="1" applyFont="1" applyBorder="1"/>
    <xf numFmtId="167" fontId="6" fillId="0" borderId="8" xfId="0" applyNumberFormat="1" applyFont="1" applyBorder="1"/>
    <xf numFmtId="1" fontId="6" fillId="0" borderId="1" xfId="0" applyNumberFormat="1" applyFont="1" applyBorder="1"/>
    <xf numFmtId="167" fontId="6" fillId="0" borderId="18" xfId="0" applyNumberFormat="1" applyFont="1" applyBorder="1"/>
    <xf numFmtId="167" fontId="6" fillId="0" borderId="12" xfId="0" applyNumberFormat="1" applyFont="1" applyBorder="1"/>
    <xf numFmtId="1" fontId="6" fillId="0" borderId="8" xfId="0" applyNumberFormat="1" applyFont="1" applyBorder="1"/>
    <xf numFmtId="1" fontId="6" fillId="0" borderId="18" xfId="0" applyNumberFormat="1" applyFont="1" applyBorder="1"/>
    <xf numFmtId="2" fontId="14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9" fillId="0" borderId="0" xfId="0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2" fontId="22" fillId="0" borderId="0" xfId="0" applyNumberFormat="1" applyFont="1" applyAlignment="1">
      <alignment horizontal="center"/>
    </xf>
    <xf numFmtId="171" fontId="22" fillId="0" borderId="0" xfId="1" applyNumberFormat="1" applyFont="1" applyFill="1" applyBorder="1"/>
    <xf numFmtId="15" fontId="7" fillId="0" borderId="0" xfId="0" quotePrefix="1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71" fontId="7" fillId="0" borderId="0" xfId="1" applyNumberFormat="1" applyFont="1" applyFill="1" applyBorder="1"/>
    <xf numFmtId="0" fontId="8" fillId="0" borderId="0" xfId="0" applyFont="1" applyAlignment="1">
      <alignment horizontal="center"/>
    </xf>
    <xf numFmtId="171" fontId="8" fillId="0" borderId="0" xfId="1" applyNumberFormat="1" applyFont="1" applyFill="1" applyBorder="1"/>
    <xf numFmtId="171" fontId="22" fillId="0" borderId="0" xfId="1" applyNumberFormat="1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2" fontId="22" fillId="0" borderId="0" xfId="0" applyNumberFormat="1" applyFont="1" applyAlignment="1">
      <alignment horizontal="right"/>
    </xf>
    <xf numFmtId="2" fontId="22" fillId="0" borderId="0" xfId="0" applyNumberFormat="1" applyFont="1"/>
    <xf numFmtId="171" fontId="7" fillId="0" borderId="0" xfId="1" applyNumberFormat="1" applyFont="1" applyFill="1" applyBorder="1" applyAlignment="1">
      <alignment horizontal="center"/>
    </xf>
    <xf numFmtId="15" fontId="7" fillId="0" borderId="0" xfId="0" applyNumberFormat="1" applyFont="1" applyAlignment="1">
      <alignment horizontal="center"/>
    </xf>
    <xf numFmtId="2" fontId="7" fillId="0" borderId="0" xfId="0" applyNumberFormat="1" applyFont="1"/>
    <xf numFmtId="1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16" fillId="0" borderId="0" xfId="0" quotePrefix="1" applyFont="1"/>
    <xf numFmtId="0" fontId="24" fillId="0" borderId="0" xfId="0" applyFont="1"/>
    <xf numFmtId="0" fontId="8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5" fontId="25" fillId="0" borderId="0" xfId="0" applyNumberFormat="1" applyFont="1" applyAlignment="1">
      <alignment horizontal="center"/>
    </xf>
    <xf numFmtId="0" fontId="25" fillId="0" borderId="0" xfId="0" applyFont="1"/>
    <xf numFmtId="0" fontId="18" fillId="0" borderId="0" xfId="0" applyFont="1"/>
    <xf numFmtId="2" fontId="17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0" xfId="0" applyFont="1"/>
    <xf numFmtId="0" fontId="7" fillId="0" borderId="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4" xfId="0" applyFont="1" applyBorder="1"/>
    <xf numFmtId="171" fontId="7" fillId="0" borderId="16" xfId="1" applyNumberFormat="1" applyFont="1" applyBorder="1"/>
    <xf numFmtId="0" fontId="8" fillId="0" borderId="14" xfId="0" applyFont="1" applyBorder="1" applyAlignment="1">
      <alignment horizontal="center"/>
    </xf>
    <xf numFmtId="15" fontId="7" fillId="0" borderId="37" xfId="0" quotePrefix="1" applyNumberFormat="1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Continuous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166" fontId="14" fillId="0" borderId="4" xfId="0" quotePrefix="1" applyNumberFormat="1" applyFont="1" applyBorder="1" applyAlignment="1">
      <alignment horizontal="right"/>
    </xf>
    <xf numFmtId="0" fontId="14" fillId="0" borderId="4" xfId="0" quotePrefix="1" applyFont="1" applyBorder="1" applyAlignment="1">
      <alignment horizontal="right"/>
    </xf>
    <xf numFmtId="2" fontId="14" fillId="0" borderId="3" xfId="0" quotePrefix="1" applyNumberFormat="1" applyFont="1" applyBorder="1" applyAlignment="1">
      <alignment horizontal="right"/>
    </xf>
    <xf numFmtId="165" fontId="14" fillId="0" borderId="3" xfId="0" quotePrefix="1" applyNumberFormat="1" applyFont="1" applyBorder="1" applyAlignment="1">
      <alignment horizontal="right"/>
    </xf>
    <xf numFmtId="2" fontId="14" fillId="0" borderId="3" xfId="0" applyNumberFormat="1" applyFont="1" applyBorder="1" applyAlignment="1">
      <alignment horizontal="right"/>
    </xf>
    <xf numFmtId="1" fontId="14" fillId="0" borderId="3" xfId="0" applyNumberFormat="1" applyFont="1" applyBorder="1" applyAlignment="1">
      <alignment horizontal="right"/>
    </xf>
    <xf numFmtId="165" fontId="14" fillId="0" borderId="3" xfId="0" applyNumberFormat="1" applyFont="1" applyBorder="1" applyAlignment="1">
      <alignment horizontal="right"/>
    </xf>
    <xf numFmtId="1" fontId="14" fillId="0" borderId="3" xfId="1" applyNumberFormat="1" applyFont="1" applyBorder="1"/>
    <xf numFmtId="166" fontId="14" fillId="0" borderId="3" xfId="0" quotePrefix="1" applyNumberFormat="1" applyFont="1" applyBorder="1" applyAlignment="1">
      <alignment horizontal="right"/>
    </xf>
    <xf numFmtId="0" fontId="14" fillId="0" borderId="3" xfId="0" quotePrefix="1" applyFont="1" applyBorder="1" applyAlignment="1">
      <alignment horizontal="right"/>
    </xf>
    <xf numFmtId="2" fontId="14" fillId="0" borderId="4" xfId="0" quotePrefix="1" applyNumberFormat="1" applyFont="1" applyBorder="1" applyAlignment="1">
      <alignment horizontal="right"/>
    </xf>
    <xf numFmtId="165" fontId="14" fillId="0" borderId="4" xfId="0" quotePrefix="1" applyNumberFormat="1" applyFont="1" applyBorder="1" applyAlignment="1">
      <alignment horizontal="right"/>
    </xf>
    <xf numFmtId="2" fontId="14" fillId="0" borderId="4" xfId="0" applyNumberFormat="1" applyFont="1" applyBorder="1" applyAlignment="1">
      <alignment horizontal="right"/>
    </xf>
    <xf numFmtId="1" fontId="14" fillId="0" borderId="4" xfId="0" applyNumberFormat="1" applyFont="1" applyBorder="1" applyAlignment="1">
      <alignment horizontal="right"/>
    </xf>
    <xf numFmtId="165" fontId="14" fillId="0" borderId="4" xfId="0" applyNumberFormat="1" applyFont="1" applyBorder="1" applyAlignment="1">
      <alignment horizontal="right"/>
    </xf>
    <xf numFmtId="1" fontId="14" fillId="0" borderId="4" xfId="1" applyNumberFormat="1" applyFont="1" applyBorder="1"/>
    <xf numFmtId="2" fontId="6" fillId="0" borderId="0" xfId="0" applyNumberFormat="1" applyFont="1"/>
    <xf numFmtId="0" fontId="8" fillId="0" borderId="0" xfId="0" applyFont="1" applyAlignment="1">
      <alignment horizontal="right" vertical="top" wrapText="1"/>
    </xf>
    <xf numFmtId="0" fontId="10" fillId="0" borderId="11" xfId="0" applyFont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/>
    <xf numFmtId="168" fontId="6" fillId="0" borderId="0" xfId="0" applyNumberFormat="1" applyFont="1"/>
    <xf numFmtId="165" fontId="6" fillId="0" borderId="0" xfId="0" applyNumberFormat="1" applyFont="1"/>
    <xf numFmtId="167" fontId="6" fillId="0" borderId="1" xfId="0" applyNumberFormat="1" applyFont="1" applyBorder="1"/>
    <xf numFmtId="0" fontId="28" fillId="0" borderId="23" xfId="0" applyFont="1" applyBorder="1" applyAlignment="1">
      <alignment horizontal="centerContinuous"/>
    </xf>
    <xf numFmtId="0" fontId="6" fillId="0" borderId="18" xfId="0" applyFont="1" applyBorder="1"/>
    <xf numFmtId="2" fontId="6" fillId="0" borderId="18" xfId="0" applyNumberFormat="1" applyFont="1" applyBorder="1"/>
    <xf numFmtId="0" fontId="6" fillId="0" borderId="11" xfId="0" applyFont="1" applyBorder="1"/>
    <xf numFmtId="167" fontId="6" fillId="0" borderId="9" xfId="0" applyNumberFormat="1" applyFont="1" applyBorder="1"/>
    <xf numFmtId="0" fontId="6" fillId="0" borderId="12" xfId="0" applyFont="1" applyBorder="1"/>
    <xf numFmtId="167" fontId="6" fillId="0" borderId="7" xfId="0" applyNumberFormat="1" applyFont="1" applyBorder="1"/>
    <xf numFmtId="0" fontId="28" fillId="0" borderId="23" xfId="0" applyFont="1" applyBorder="1" applyAlignment="1">
      <alignment horizontal="center"/>
    </xf>
    <xf numFmtId="0" fontId="6" fillId="0" borderId="9" xfId="0" applyFont="1" applyBorder="1"/>
    <xf numFmtId="0" fontId="6" fillId="0" borderId="21" xfId="0" applyFont="1" applyBorder="1"/>
    <xf numFmtId="0" fontId="6" fillId="0" borderId="20" xfId="0" applyFont="1" applyBorder="1"/>
    <xf numFmtId="0" fontId="6" fillId="0" borderId="24" xfId="0" applyFont="1" applyBorder="1"/>
    <xf numFmtId="0" fontId="6" fillId="0" borderId="23" xfId="0" applyFont="1" applyBorder="1"/>
    <xf numFmtId="0" fontId="6" fillId="0" borderId="22" xfId="0" applyFont="1" applyBorder="1"/>
    <xf numFmtId="0" fontId="6" fillId="0" borderId="25" xfId="0" applyFont="1" applyBorder="1"/>
    <xf numFmtId="167" fontId="6" fillId="0" borderId="26" xfId="0" applyNumberFormat="1" applyFont="1" applyBorder="1"/>
    <xf numFmtId="0" fontId="6" fillId="0" borderId="27" xfId="0" applyFont="1" applyBorder="1"/>
    <xf numFmtId="167" fontId="6" fillId="0" borderId="27" xfId="0" applyNumberFormat="1" applyFont="1" applyBorder="1"/>
    <xf numFmtId="0" fontId="6" fillId="0" borderId="28" xfId="0" applyFont="1" applyBorder="1"/>
    <xf numFmtId="167" fontId="6" fillId="0" borderId="10" xfId="0" applyNumberFormat="1" applyFont="1" applyBorder="1"/>
    <xf numFmtId="1" fontId="6" fillId="0" borderId="11" xfId="0" applyNumberFormat="1" applyFont="1" applyBorder="1"/>
    <xf numFmtId="172" fontId="6" fillId="0" borderId="0" xfId="0" applyNumberFormat="1" applyFont="1"/>
    <xf numFmtId="0" fontId="6" fillId="0" borderId="19" xfId="0" applyFont="1" applyBorder="1"/>
    <xf numFmtId="9" fontId="6" fillId="0" borderId="20" xfId="0" applyNumberFormat="1" applyFont="1" applyBorder="1"/>
    <xf numFmtId="169" fontId="6" fillId="0" borderId="0" xfId="0" applyNumberFormat="1" applyFont="1"/>
    <xf numFmtId="170" fontId="6" fillId="0" borderId="0" xfId="0" applyNumberFormat="1" applyFont="1"/>
    <xf numFmtId="11" fontId="6" fillId="0" borderId="0" xfId="0" applyNumberFormat="1" applyFont="1"/>
    <xf numFmtId="2" fontId="5" fillId="0" borderId="2" xfId="0" quotePrefix="1" applyNumberFormat="1" applyFont="1" applyBorder="1" applyAlignment="1">
      <alignment horizontal="center"/>
    </xf>
    <xf numFmtId="1" fontId="5" fillId="0" borderId="2" xfId="0" quotePrefix="1" applyNumberFormat="1" applyFont="1" applyBorder="1" applyAlignment="1">
      <alignment horizontal="center"/>
    </xf>
    <xf numFmtId="2" fontId="5" fillId="0" borderId="5" xfId="0" quotePrefix="1" applyNumberFormat="1" applyFont="1" applyBorder="1" applyAlignment="1">
      <alignment horizontal="center"/>
    </xf>
    <xf numFmtId="1" fontId="5" fillId="0" borderId="5" xfId="0" quotePrefix="1" applyNumberFormat="1" applyFont="1" applyBorder="1" applyAlignment="1">
      <alignment horizontal="center"/>
    </xf>
    <xf numFmtId="2" fontId="5" fillId="0" borderId="3" xfId="0" quotePrefix="1" applyNumberFormat="1" applyFont="1" applyBorder="1" applyAlignment="1">
      <alignment horizontal="center"/>
    </xf>
    <xf numFmtId="1" fontId="5" fillId="0" borderId="3" xfId="0" quotePrefix="1" applyNumberFormat="1" applyFont="1" applyBorder="1" applyAlignment="1">
      <alignment horizontal="center"/>
    </xf>
    <xf numFmtId="167" fontId="14" fillId="0" borderId="3" xfId="0" quotePrefix="1" applyNumberFormat="1" applyFont="1" applyBorder="1" applyAlignment="1">
      <alignment horizontal="right"/>
    </xf>
    <xf numFmtId="167" fontId="14" fillId="0" borderId="4" xfId="0" quotePrefix="1" applyNumberFormat="1" applyFont="1" applyBorder="1" applyAlignment="1">
      <alignment horizontal="right"/>
    </xf>
    <xf numFmtId="0" fontId="27" fillId="0" borderId="0" xfId="0" applyFont="1"/>
    <xf numFmtId="2" fontId="7" fillId="4" borderId="0" xfId="0" applyNumberFormat="1" applyFont="1" applyFill="1" applyAlignment="1">
      <alignment horizontal="center"/>
    </xf>
    <xf numFmtId="2" fontId="7" fillId="2" borderId="14" xfId="0" applyNumberFormat="1" applyFont="1" applyFill="1" applyBorder="1" applyAlignment="1">
      <alignment horizontal="center"/>
    </xf>
    <xf numFmtId="2" fontId="7" fillId="2" borderId="16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right"/>
    </xf>
    <xf numFmtId="168" fontId="6" fillId="5" borderId="0" xfId="0" applyNumberFormat="1" applyFont="1" applyFill="1"/>
    <xf numFmtId="0" fontId="5" fillId="0" borderId="2" xfId="0" quotePrefix="1" applyFont="1" applyBorder="1" applyAlignment="1">
      <alignment horizontal="center" wrapText="1"/>
    </xf>
    <xf numFmtId="2" fontId="5" fillId="0" borderId="2" xfId="0" quotePrefix="1" applyNumberFormat="1" applyFont="1" applyBorder="1" applyAlignment="1">
      <alignment horizontal="center" wrapText="1"/>
    </xf>
    <xf numFmtId="1" fontId="5" fillId="0" borderId="2" xfId="0" quotePrefix="1" applyNumberFormat="1" applyFont="1" applyBorder="1" applyAlignment="1">
      <alignment horizontal="center" wrapText="1"/>
    </xf>
    <xf numFmtId="0" fontId="6" fillId="0" borderId="2" xfId="0" applyFont="1" applyBorder="1" applyAlignment="1">
      <alignment wrapText="1"/>
    </xf>
    <xf numFmtId="0" fontId="5" fillId="0" borderId="6" xfId="0" quotePrefix="1" applyFont="1" applyBorder="1" applyAlignment="1">
      <alignment horizontal="right"/>
    </xf>
    <xf numFmtId="2" fontId="5" fillId="0" borderId="6" xfId="0" quotePrefix="1" applyNumberFormat="1" applyFont="1" applyBorder="1" applyAlignment="1">
      <alignment horizontal="center"/>
    </xf>
    <xf numFmtId="1" fontId="5" fillId="0" borderId="6" xfId="0" quotePrefix="1" applyNumberFormat="1" applyFont="1" applyBorder="1" applyAlignment="1">
      <alignment horizontal="center"/>
    </xf>
    <xf numFmtId="0" fontId="5" fillId="0" borderId="39" xfId="0" applyFont="1" applyBorder="1"/>
    <xf numFmtId="165" fontId="5" fillId="0" borderId="40" xfId="0" applyNumberFormat="1" applyFont="1" applyBorder="1"/>
    <xf numFmtId="11" fontId="5" fillId="0" borderId="41" xfId="0" applyNumberFormat="1" applyFont="1" applyBorder="1"/>
    <xf numFmtId="0" fontId="5" fillId="0" borderId="38" xfId="0" applyFont="1" applyBorder="1"/>
    <xf numFmtId="2" fontId="5" fillId="0" borderId="17" xfId="0" applyNumberFormat="1" applyFont="1" applyBorder="1"/>
    <xf numFmtId="2" fontId="5" fillId="0" borderId="30" xfId="0" applyNumberFormat="1" applyFont="1" applyBorder="1"/>
    <xf numFmtId="0" fontId="6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2" fontId="7" fillId="0" borderId="14" xfId="0" quotePrefix="1" applyNumberFormat="1" applyFont="1" applyBorder="1" applyAlignment="1">
      <alignment horizontal="center"/>
    </xf>
    <xf numFmtId="0" fontId="1" fillId="0" borderId="0" xfId="3"/>
    <xf numFmtId="167" fontId="5" fillId="0" borderId="6" xfId="0" quotePrefix="1" applyNumberFormat="1" applyFont="1" applyBorder="1" applyAlignment="1">
      <alignment horizontal="right"/>
    </xf>
    <xf numFmtId="167" fontId="5" fillId="0" borderId="3" xfId="0" quotePrefix="1" applyNumberFormat="1" applyFont="1" applyBorder="1" applyAlignment="1">
      <alignment horizontal="right"/>
    </xf>
    <xf numFmtId="0" fontId="27" fillId="0" borderId="21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colors>
    <mruColors>
      <color rgb="FF00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EQA01 Fatigue test</c:v>
            </c:pt>
          </c:strCache>
        </c:strRef>
      </c:tx>
      <c:layout>
        <c:manualLayout>
          <c:xMode val="edge"/>
          <c:yMode val="edge"/>
          <c:x val="0.41916580489486566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26645984143735E-2"/>
          <c:y val="7.0621468926553674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Results!$A$23:$A$34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10766</c:v>
                </c:pt>
                <c:pt idx="3">
                  <c:v>148187</c:v>
                </c:pt>
                <c:pt idx="4">
                  <c:v>581856</c:v>
                </c:pt>
                <c:pt idx="5">
                  <c:v>290916</c:v>
                </c:pt>
                <c:pt idx="6">
                  <c:v>0</c:v>
                </c:pt>
                <c:pt idx="7">
                  <c:v>0</c:v>
                </c:pt>
                <c:pt idx="8">
                  <c:v>35032</c:v>
                </c:pt>
                <c:pt idx="9">
                  <c:v>2000000</c:v>
                </c:pt>
                <c:pt idx="10">
                  <c:v>53299</c:v>
                </c:pt>
                <c:pt idx="11">
                  <c:v>1350848</c:v>
                </c:pt>
              </c:numCache>
            </c:numRef>
          </c:xVal>
          <c:yVal>
            <c:numRef>
              <c:f>Results!$B$23:$B$34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1.1000000000000001</c:v>
                </c:pt>
                <c:pt idx="4">
                  <c:v>0.9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1.3</c:v>
                </c:pt>
                <c:pt idx="9">
                  <c:v>0.8</c:v>
                </c:pt>
                <c:pt idx="10">
                  <c:v>1.2</c:v>
                </c:pt>
                <c:pt idx="11">
                  <c:v>0.85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31-4EEE-B2E6-281D0058A921}"/>
            </c:ext>
          </c:extLst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Results!$A$23</c:f>
              <c:numCache>
                <c:formatCode>0</c:formatCode>
                <c:ptCount val="1"/>
                <c:pt idx="0">
                  <c:v>0</c:v>
                </c:pt>
              </c:numCache>
            </c:numRef>
          </c:xVal>
          <c:yVal>
            <c:numRef>
              <c:f>Results!$B$23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31-4EEE-B2E6-281D0058A921}"/>
            </c:ext>
          </c:extLst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Strain)'!$T$2:$T$102</c:f>
              <c:numCache>
                <c:formatCode>0</c:formatCode>
                <c:ptCount val="101"/>
                <c:pt idx="0">
                  <c:v>10194.898651127462</c:v>
                </c:pt>
                <c:pt idx="1">
                  <c:v>10656.748579732946</c:v>
                </c:pt>
                <c:pt idx="2">
                  <c:v>11142.1750669188</c:v>
                </c:pt>
                <c:pt idx="3">
                  <c:v>11652.518615397204</c:v>
                </c:pt>
                <c:pt idx="4">
                  <c:v>12189.203819148273</c:v>
                </c:pt>
                <c:pt idx="5">
                  <c:v>12753.745137991255</c:v>
                </c:pt>
                <c:pt idx="6">
                  <c:v>13347.753103377667</c:v>
                </c:pt>
                <c:pt idx="7">
                  <c:v>13972.940990226614</c:v>
                </c:pt>
                <c:pt idx="8">
                  <c:v>14631.131992649322</c:v>
                </c:pt>
                <c:pt idx="9">
                  <c:v>15324.26694471633</c:v>
                </c:pt>
                <c:pt idx="10">
                  <c:v>16054.412631038269</c:v>
                </c:pt>
                <c:pt idx="11">
                  <c:v>16823.770735888778</c:v>
                </c:pt>
                <c:pt idx="12">
                  <c:v>17634.687483930731</c:v>
                </c:pt>
                <c:pt idx="13">
                  <c:v>18489.664030351883</c:v>
                </c:pt>
                <c:pt idx="14">
                  <c:v>19391.367663417033</c:v>
                </c:pt>
                <c:pt idx="15">
                  <c:v>20342.643888144703</c:v>
                </c:pt>
                <c:pt idx="16">
                  <c:v>21346.529466071239</c:v>
                </c:pt>
                <c:pt idx="17">
                  <c:v>22406.26649292927</c:v>
                </c:pt>
                <c:pt idx="18">
                  <c:v>23525.317603607418</c:v>
                </c:pt>
                <c:pt idx="19">
                  <c:v>24707.382402039191</c:v>
                </c:pt>
                <c:pt idx="20">
                  <c:v>25956.415222776515</c:v>
                </c:pt>
                <c:pt idx="21">
                  <c:v>27276.644341018087</c:v>
                </c:pt>
                <c:pt idx="22">
                  <c:v>28672.59275888704</c:v>
                </c:pt>
                <c:pt idx="23">
                  <c:v>30149.100707890782</c:v>
                </c:pt>
                <c:pt idx="24">
                  <c:v>31711.350020871785</c:v>
                </c:pt>
                <c:pt idx="25">
                  <c:v>33364.89054150202</c:v>
                </c:pt>
                <c:pt idx="26">
                  <c:v>35115.668755643412</c:v>
                </c:pt>
                <c:pt idx="27">
                  <c:v>36970.0588468469</c:v>
                </c:pt>
                <c:pt idx="28">
                  <c:v>38934.896398096127</c:v>
                </c:pt>
                <c:pt idx="29">
                  <c:v>41017.514983813948</c:v>
                </c:pt>
                <c:pt idx="30">
                  <c:v>43225.785920383038</c:v>
                </c:pt>
                <c:pt idx="31">
                  <c:v>45568.161470245854</c:v>
                </c:pt>
                <c:pt idx="32">
                  <c:v>48053.721824334869</c:v>
                </c:pt>
                <c:pt idx="33">
                  <c:v>50692.226220479672</c:v>
                </c:pt>
                <c:pt idx="34">
                  <c:v>53494.168591893409</c:v>
                </c:pt>
                <c:pt idx="35">
                  <c:v>56470.838180301296</c:v>
                </c:pt>
                <c:pt idx="36">
                  <c:v>59634.385593169398</c:v>
                </c:pt>
                <c:pt idx="37">
                  <c:v>62997.894834381426</c:v>
                </c:pt>
                <c:pt idx="38">
                  <c:v>66575.461893153959</c:v>
                </c:pt>
                <c:pt idx="39">
                  <c:v>70382.280537661092</c:v>
                </c:pt>
                <c:pt idx="40">
                  <c:v>74434.736028498926</c:v>
                </c:pt>
                <c:pt idx="41">
                  <c:v>78750.507543600572</c:v>
                </c:pt>
                <c:pt idx="42">
                  <c:v>83348.680191465435</c:v>
                </c:pt>
                <c:pt idx="43">
                  <c:v>88249.867584681764</c:v>
                </c:pt>
                <c:pt idx="44">
                  <c:v>93476.346051892804</c:v>
                </c:pt>
                <c:pt idx="45">
                  <c:v>99052.201684980741</c:v>
                </c:pt>
                <c:pt idx="46">
                  <c:v>105003.4915508797</c:v>
                </c:pt>
                <c:pt idx="47">
                  <c:v>111358.42054581836</c:v>
                </c:pt>
                <c:pt idx="48">
                  <c:v>118147.53553599074</c:v>
                </c:pt>
                <c:pt idx="49">
                  <c:v>125403.93861487716</c:v>
                </c:pt>
                <c:pt idx="50">
                  <c:v>133163.52151634023</c:v>
                </c:pt>
                <c:pt idx="51">
                  <c:v>141465.22345707502</c:v>
                </c:pt>
                <c:pt idx="52">
                  <c:v>150351.3149454318</c:v>
                </c:pt>
                <c:pt idx="53">
                  <c:v>159867.7103897935</c:v>
                </c:pt>
                <c:pt idx="54">
                  <c:v>170064.31267300155</c:v>
                </c:pt>
                <c:pt idx="55">
                  <c:v>180995.39323472406</c:v>
                </c:pt>
                <c:pt idx="56">
                  <c:v>192720.01162684476</c:v>
                </c:pt>
                <c:pt idx="57">
                  <c:v>205302.47898443136</c:v>
                </c:pt>
                <c:pt idx="58">
                  <c:v>218812.87039407078</c:v>
                </c:pt>
                <c:pt idx="59">
                  <c:v>233327.59175086516</c:v>
                </c:pt>
                <c:pt idx="60">
                  <c:v>248930.00738497806</c:v>
                </c:pt>
                <c:pt idx="61">
                  <c:v>265711.13551958901</c:v>
                </c:pt>
                <c:pt idx="62">
                  <c:v>283770.41950733523</c:v>
                </c:pt>
                <c:pt idx="63">
                  <c:v>303216.58379679924</c:v>
                </c:pt>
                <c:pt idx="64">
                  <c:v>324168.58472140634</c:v>
                </c:pt>
                <c:pt idx="65">
                  <c:v>346756.66750016471</c:v>
                </c:pt>
                <c:pt idx="66">
                  <c:v>371123.54231578397</c:v>
                </c:pt>
                <c:pt idx="67">
                  <c:v>397425.6940174225</c:v>
                </c:pt>
                <c:pt idx="68">
                  <c:v>425834.84191321209</c:v>
                </c:pt>
                <c:pt idx="69">
                  <c:v>456539.56830735045</c:v>
                </c:pt>
                <c:pt idx="70">
                  <c:v>489747.13693912618</c:v>
                </c:pt>
                <c:pt idx="71">
                  <c:v>525685.52534470393</c:v>
                </c:pt>
                <c:pt idx="72">
                  <c:v>564605.6984424335</c:v>
                </c:pt>
                <c:pt idx="73">
                  <c:v>606784.1544039466</c:v>
                </c:pt>
                <c:pt idx="74">
                  <c:v>652525.77819183609</c:v>
                </c:pt>
                <c:pt idx="75">
                  <c:v>702167.04310886911</c:v>
                </c:pt>
                <c:pt idx="76">
                  <c:v>756079.60641666932</c:v>
                </c:pt>
                <c:pt idx="77">
                  <c:v>814674.35166474828</c:v>
                </c:pt>
                <c:pt idx="78">
                  <c:v>878405.93796555791</c:v>
                </c:pt>
                <c:pt idx="79">
                  <c:v>947777.92522446113</c:v>
                </c:pt>
                <c:pt idx="80">
                  <c:v>1023348.5544812749</c:v>
                </c:pt>
                <c:pt idx="81">
                  <c:v>1105737.2742728663</c:v>
                </c:pt>
                <c:pt idx="82">
                  <c:v>1195632.1175565275</c:v>
                </c:pt>
                <c:pt idx="83">
                  <c:v>1293798.0495627681</c:v>
                </c:pt>
                <c:pt idx="84">
                  <c:v>1401086.4253540768</c:v>
                </c:pt>
                <c:pt idx="85">
                  <c:v>1518445.7173033943</c:v>
                </c:pt>
                <c:pt idx="86">
                  <c:v>1646933.6977073736</c:v>
                </c:pt>
                <c:pt idx="87">
                  <c:v>1787731.2909498541</c:v>
                </c:pt>
                <c:pt idx="88">
                  <c:v>1942158.3437870648</c:v>
                </c:pt>
                <c:pt idx="89">
                  <c:v>2111691.6023400095</c:v>
                </c:pt>
                <c:pt idx="90">
                  <c:v>2297985.2313280832</c:v>
                </c:pt>
                <c:pt idx="91">
                  <c:v>2502894.2662517894</c:v>
                </c:pt>
                <c:pt idx="92">
                  <c:v>2728501.4541761791</c:v>
                </c:pt>
                <c:pt idx="93">
                  <c:v>2977148.0153376241</c:v>
                </c:pt>
                <c:pt idx="94">
                  <c:v>3251468.9482279741</c:v>
                </c:pt>
                <c:pt idx="95">
                  <c:v>3554433.6077951733</c:v>
                </c:pt>
                <c:pt idx="96">
                  <c:v>3889392.4131905371</c:v>
                </c:pt>
                <c:pt idx="97">
                  <c:v>4260130.6920261346</c:v>
                </c:pt>
                <c:pt idx="98">
                  <c:v>4670930.8471546909</c:v>
                </c:pt>
                <c:pt idx="99">
                  <c:v>5126644.2453491297</c:v>
                </c:pt>
                <c:pt idx="100">
                  <c:v>5632774.482003402</c:v>
                </c:pt>
              </c:numCache>
            </c:numRef>
          </c:xVal>
          <c:yVal>
            <c:numRef>
              <c:f>'ASTM E739 stat (Max Strain)'!$U$2:$U$102</c:f>
              <c:numCache>
                <c:formatCode>0.0</c:formatCode>
                <c:ptCount val="101"/>
                <c:pt idx="0">
                  <c:v>1.5</c:v>
                </c:pt>
                <c:pt idx="1">
                  <c:v>1.492</c:v>
                </c:pt>
                <c:pt idx="2">
                  <c:v>1.484</c:v>
                </c:pt>
                <c:pt idx="3">
                  <c:v>1.476</c:v>
                </c:pt>
                <c:pt idx="4">
                  <c:v>1.468</c:v>
                </c:pt>
                <c:pt idx="5">
                  <c:v>1.46</c:v>
                </c:pt>
                <c:pt idx="6">
                  <c:v>1.452</c:v>
                </c:pt>
                <c:pt idx="7">
                  <c:v>1.444</c:v>
                </c:pt>
                <c:pt idx="8">
                  <c:v>1.4359999999999999</c:v>
                </c:pt>
                <c:pt idx="9">
                  <c:v>1.4279999999999999</c:v>
                </c:pt>
                <c:pt idx="10">
                  <c:v>1.42</c:v>
                </c:pt>
                <c:pt idx="11">
                  <c:v>1.4119999999999999</c:v>
                </c:pt>
                <c:pt idx="12">
                  <c:v>1.4039999999999999</c:v>
                </c:pt>
                <c:pt idx="13">
                  <c:v>1.3959999999999999</c:v>
                </c:pt>
                <c:pt idx="14">
                  <c:v>1.3879999999999999</c:v>
                </c:pt>
                <c:pt idx="15">
                  <c:v>1.38</c:v>
                </c:pt>
                <c:pt idx="16">
                  <c:v>1.3719999999999999</c:v>
                </c:pt>
                <c:pt idx="17">
                  <c:v>1.3639999999999999</c:v>
                </c:pt>
                <c:pt idx="18">
                  <c:v>1.3559999999999999</c:v>
                </c:pt>
                <c:pt idx="19">
                  <c:v>1.3479999999999999</c:v>
                </c:pt>
                <c:pt idx="20">
                  <c:v>1.34</c:v>
                </c:pt>
                <c:pt idx="21">
                  <c:v>1.3320000000000001</c:v>
                </c:pt>
                <c:pt idx="22">
                  <c:v>1.3240000000000001</c:v>
                </c:pt>
                <c:pt idx="23">
                  <c:v>1.3160000000000001</c:v>
                </c:pt>
                <c:pt idx="24">
                  <c:v>1.3080000000000001</c:v>
                </c:pt>
                <c:pt idx="25">
                  <c:v>1.3</c:v>
                </c:pt>
                <c:pt idx="26">
                  <c:v>1.292</c:v>
                </c:pt>
                <c:pt idx="27">
                  <c:v>1.284</c:v>
                </c:pt>
                <c:pt idx="28">
                  <c:v>1.276</c:v>
                </c:pt>
                <c:pt idx="29">
                  <c:v>1.268</c:v>
                </c:pt>
                <c:pt idx="30">
                  <c:v>1.26</c:v>
                </c:pt>
                <c:pt idx="31">
                  <c:v>1.252</c:v>
                </c:pt>
                <c:pt idx="32">
                  <c:v>1.244</c:v>
                </c:pt>
                <c:pt idx="33">
                  <c:v>1.236</c:v>
                </c:pt>
                <c:pt idx="34">
                  <c:v>1.228</c:v>
                </c:pt>
                <c:pt idx="35">
                  <c:v>1.22</c:v>
                </c:pt>
                <c:pt idx="36">
                  <c:v>1.212</c:v>
                </c:pt>
                <c:pt idx="37">
                  <c:v>1.204</c:v>
                </c:pt>
                <c:pt idx="38">
                  <c:v>1.196</c:v>
                </c:pt>
                <c:pt idx="39">
                  <c:v>1.1879999999999999</c:v>
                </c:pt>
                <c:pt idx="40">
                  <c:v>1.18</c:v>
                </c:pt>
                <c:pt idx="41">
                  <c:v>1.1719999999999999</c:v>
                </c:pt>
                <c:pt idx="42">
                  <c:v>1.1639999999999999</c:v>
                </c:pt>
                <c:pt idx="43">
                  <c:v>1.1560000000000001</c:v>
                </c:pt>
                <c:pt idx="44">
                  <c:v>1.1479999999999999</c:v>
                </c:pt>
                <c:pt idx="45">
                  <c:v>1.1400000000000001</c:v>
                </c:pt>
                <c:pt idx="46">
                  <c:v>1.1319999999999999</c:v>
                </c:pt>
                <c:pt idx="47">
                  <c:v>1.1240000000000001</c:v>
                </c:pt>
                <c:pt idx="48">
                  <c:v>1.1159999999999999</c:v>
                </c:pt>
                <c:pt idx="49">
                  <c:v>1.1080000000000001</c:v>
                </c:pt>
                <c:pt idx="50">
                  <c:v>1.1000000000000001</c:v>
                </c:pt>
                <c:pt idx="51">
                  <c:v>1.0920000000000001</c:v>
                </c:pt>
                <c:pt idx="52">
                  <c:v>1.0840000000000001</c:v>
                </c:pt>
                <c:pt idx="53">
                  <c:v>1.0760000000000001</c:v>
                </c:pt>
                <c:pt idx="54">
                  <c:v>1.0680000000000001</c:v>
                </c:pt>
                <c:pt idx="55">
                  <c:v>1.06</c:v>
                </c:pt>
                <c:pt idx="56">
                  <c:v>1.052</c:v>
                </c:pt>
                <c:pt idx="57">
                  <c:v>1.044</c:v>
                </c:pt>
                <c:pt idx="58">
                  <c:v>1.036</c:v>
                </c:pt>
                <c:pt idx="59">
                  <c:v>1.028</c:v>
                </c:pt>
                <c:pt idx="60">
                  <c:v>1.02</c:v>
                </c:pt>
                <c:pt idx="61">
                  <c:v>1.012</c:v>
                </c:pt>
                <c:pt idx="62">
                  <c:v>1.004</c:v>
                </c:pt>
                <c:pt idx="63">
                  <c:v>0.996</c:v>
                </c:pt>
                <c:pt idx="64">
                  <c:v>0.98799999999999999</c:v>
                </c:pt>
                <c:pt idx="65">
                  <c:v>0.98</c:v>
                </c:pt>
                <c:pt idx="66">
                  <c:v>0.97199999999999998</c:v>
                </c:pt>
                <c:pt idx="67">
                  <c:v>0.96399999999999997</c:v>
                </c:pt>
                <c:pt idx="68">
                  <c:v>0.95600000000000007</c:v>
                </c:pt>
                <c:pt idx="69">
                  <c:v>0.94799999999999995</c:v>
                </c:pt>
                <c:pt idx="70">
                  <c:v>0.94000000000000006</c:v>
                </c:pt>
                <c:pt idx="71">
                  <c:v>0.93199999999999983</c:v>
                </c:pt>
                <c:pt idx="72">
                  <c:v>0.92400000000000004</c:v>
                </c:pt>
                <c:pt idx="73">
                  <c:v>0.91599999999999993</c:v>
                </c:pt>
                <c:pt idx="74">
                  <c:v>0.90799999999999992</c:v>
                </c:pt>
                <c:pt idx="75">
                  <c:v>0.89999999999999991</c:v>
                </c:pt>
                <c:pt idx="76">
                  <c:v>0.8919999999999999</c:v>
                </c:pt>
                <c:pt idx="77">
                  <c:v>0.88400000000000001</c:v>
                </c:pt>
                <c:pt idx="78">
                  <c:v>0.87599999999999978</c:v>
                </c:pt>
                <c:pt idx="79">
                  <c:v>0.86799999999999988</c:v>
                </c:pt>
                <c:pt idx="80">
                  <c:v>0.86</c:v>
                </c:pt>
                <c:pt idx="81">
                  <c:v>0.85199999999999998</c:v>
                </c:pt>
                <c:pt idx="82">
                  <c:v>0.84399999999999986</c:v>
                </c:pt>
                <c:pt idx="83">
                  <c:v>0.83599999999999997</c:v>
                </c:pt>
                <c:pt idx="84">
                  <c:v>0.82799999999999996</c:v>
                </c:pt>
                <c:pt idx="85">
                  <c:v>0.82000000000000006</c:v>
                </c:pt>
                <c:pt idx="86">
                  <c:v>0.81199999999999994</c:v>
                </c:pt>
                <c:pt idx="87">
                  <c:v>0.80399999999999994</c:v>
                </c:pt>
                <c:pt idx="88">
                  <c:v>0.79599999999999993</c:v>
                </c:pt>
                <c:pt idx="89">
                  <c:v>0.78799999999999981</c:v>
                </c:pt>
                <c:pt idx="90">
                  <c:v>0.78</c:v>
                </c:pt>
                <c:pt idx="91">
                  <c:v>0.77200000000000002</c:v>
                </c:pt>
                <c:pt idx="92">
                  <c:v>0.7639999999999999</c:v>
                </c:pt>
                <c:pt idx="93">
                  <c:v>0.75599999999999989</c:v>
                </c:pt>
                <c:pt idx="94">
                  <c:v>0.748</c:v>
                </c:pt>
                <c:pt idx="95">
                  <c:v>0.74</c:v>
                </c:pt>
                <c:pt idx="96">
                  <c:v>0.73199999999999976</c:v>
                </c:pt>
                <c:pt idx="97">
                  <c:v>0.72399999999999987</c:v>
                </c:pt>
                <c:pt idx="98">
                  <c:v>0.71599999999999986</c:v>
                </c:pt>
                <c:pt idx="99">
                  <c:v>0.70799999999999996</c:v>
                </c:pt>
                <c:pt idx="100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31-4EEE-B2E6-281D0058A921}"/>
            </c:ext>
          </c:extLst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Strain)'!$V$2:$V$102</c:f>
              <c:numCache>
                <c:formatCode>0</c:formatCode>
                <c:ptCount val="101"/>
                <c:pt idx="0">
                  <c:v>6920.5161796363127</c:v>
                </c:pt>
                <c:pt idx="1">
                  <c:v>7269.4433597675661</c:v>
                </c:pt>
                <c:pt idx="2">
                  <c:v>7637.7992363202957</c:v>
                </c:pt>
                <c:pt idx="3">
                  <c:v>8026.7620719966035</c:v>
                </c:pt>
                <c:pt idx="4">
                  <c:v>8437.5867600103011</c:v>
                </c:pt>
                <c:pt idx="5">
                  <c:v>8871.6100610913018</c:v>
                </c:pt>
                <c:pt idx="6">
                  <c:v>9330.2562046940202</c:v>
                </c:pt>
                <c:pt idx="7">
                  <c:v>9815.0428786067423</c:v>
                </c:pt>
                <c:pt idx="8">
                  <c:v>10327.587632444156</c:v>
                </c:pt>
                <c:pt idx="9">
                  <c:v>10869.61472179569</c:v>
                </c:pt>
                <c:pt idx="10">
                  <c:v>11442.962421083586</c:v>
                </c:pt>
                <c:pt idx="11">
                  <c:v>12049.590834446226</c:v>
                </c:pt>
                <c:pt idx="12">
                  <c:v>12691.590235178955</c:v>
                </c:pt>
                <c:pt idx="13">
                  <c:v>13371.189965426738</c:v>
                </c:pt>
                <c:pt idx="14">
                  <c:v>14090.767928903073</c:v>
                </c:pt>
                <c:pt idx="15">
                  <c:v>14852.860710385821</c:v>
                </c:pt>
                <c:pt idx="16">
                  <c:v>15660.174356599215</c:v>
                </c:pt>
                <c:pt idx="17">
                  <c:v>16515.595853799859</c:v>
                </c:pt>
                <c:pt idx="18">
                  <c:v>17422.205337939406</c:v>
                </c:pt>
                <c:pt idx="19">
                  <c:v>18383.289073660089</c:v>
                </c:pt>
                <c:pt idx="20">
                  <c:v>19402.353238600546</c:v>
                </c:pt>
                <c:pt idx="21">
                  <c:v>20483.13854956163</c:v>
                </c:pt>
                <c:pt idx="22">
                  <c:v>21629.635767056989</c:v>
                </c:pt>
                <c:pt idx="23">
                  <c:v>22846.102114725214</c:v>
                </c:pt>
                <c:pt idx="24">
                  <c:v>24137.078650136045</c:v>
                </c:pt>
                <c:pt idx="25">
                  <c:v>25507.408623863375</c:v>
                </c:pt>
                <c:pt idx="26">
                  <c:v>26962.256864596955</c:v>
                </c:pt>
                <c:pt idx="27">
                  <c:v>28507.130229862192</c:v>
                </c:pt>
                <c:pt idx="28">
                  <c:v>30147.899165107796</c:v>
                </c:pt>
                <c:pt idx="29">
                  <c:v>31890.82041910624</c:v>
                </c:pt>
                <c:pt idx="30">
                  <c:v>33742.560971566592</c:v>
                </c:pt>
                <c:pt idx="31">
                  <c:v>35710.22324052648</c:v>
                </c:pt>
                <c:pt idx="32">
                  <c:v>37801.371653587659</c:v>
                </c:pt>
                <c:pt idx="33">
                  <c:v>40024.060689670951</c:v>
                </c:pt>
                <c:pt idx="34">
                  <c:v>42386.864528092061</c:v>
                </c:pt>
                <c:pt idx="35">
                  <c:v>44898.908480893864</c:v>
                </c:pt>
                <c:pt idx="36">
                  <c:v>47569.902433890449</c:v>
                </c:pt>
                <c:pt idx="37">
                  <c:v>50410.176583059234</c:v>
                </c:pt>
                <c:pt idx="38">
                  <c:v>53430.719826492714</c:v>
                </c:pt>
                <c:pt idx="39">
                  <c:v>56643.221258296893</c:v>
                </c:pt>
                <c:pt idx="40">
                  <c:v>60060.11530876012</c:v>
                </c:pt>
                <c:pt idx="41">
                  <c:v>63694.631182829005</c:v>
                </c:pt>
                <c:pt idx="42">
                  <c:v>67560.847363034452</c:v>
                </c:pt>
                <c:pt idx="43">
                  <c:v>71673.752058609884</c:v>
                </c:pt>
                <c:pt idx="44">
                  <c:v>76049.310593461254</c:v>
                </c:pt>
                <c:pt idx="45">
                  <c:v>80704.540824764103</c:v>
                </c:pt>
                <c:pt idx="46">
                  <c:v>85657.597764018035</c:v>
                </c:pt>
                <c:pt idx="47">
                  <c:v>90927.868626992742</c:v>
                </c:pt>
                <c:pt idx="48">
                  <c:v>96536.079563936932</c:v>
                </c:pt>
                <c:pt idx="49">
                  <c:v>102504.41531584597</c:v>
                </c:pt>
                <c:pt idx="50">
                  <c:v>108856.65301016725</c:v>
                </c:pt>
                <c:pt idx="51">
                  <c:v>115618.31125861086</c:v>
                </c:pt>
                <c:pt idx="52">
                  <c:v>122816.81566407492</c:v>
                </c:pt>
                <c:pt idx="53">
                  <c:v>130481.68179989392</c:v>
                </c:pt>
                <c:pt idx="54">
                  <c:v>138644.71671129321</c:v>
                </c:pt>
                <c:pt idx="55">
                  <c:v>147340.24002388917</c:v>
                </c:pt>
                <c:pt idx="56">
                  <c:v>156605.3258421428</c:v>
                </c:pt>
                <c:pt idx="57">
                  <c:v>166480.06679170593</c:v>
                </c:pt>
                <c:pt idx="58">
                  <c:v>177007.8618075414</c:v>
                </c:pt>
                <c:pt idx="59">
                  <c:v>188235.7295927371</c:v>
                </c:pt>
                <c:pt idx="60">
                  <c:v>200214.65006468765</c:v>
                </c:pt>
                <c:pt idx="61">
                  <c:v>212999.93655677809</c:v>
                </c:pt>
                <c:pt idx="62">
                  <c:v>226651.64204541573</c:v>
                </c:pt>
                <c:pt idx="63">
                  <c:v>241235.0032165653</c:v>
                </c:pt>
                <c:pt idx="64">
                  <c:v>256820.92676842323</c:v>
                </c:pt>
                <c:pt idx="65">
                  <c:v>273486.52296743455</c:v>
                </c:pt>
                <c:pt idx="66">
                  <c:v>291315.69213800499</c:v>
                </c:pt>
                <c:pt idx="67">
                  <c:v>310399.77048079314</c:v>
                </c:pt>
                <c:pt idx="68">
                  <c:v>330838.24239312165</c:v>
                </c:pt>
                <c:pt idx="69">
                  <c:v>352739.52732361492</c:v>
                </c:pt>
                <c:pt idx="70">
                  <c:v>376221.85015018948</c:v>
                </c:pt>
                <c:pt idx="71">
                  <c:v>401414.20514666126</c:v>
                </c:pt>
                <c:pt idx="72">
                  <c:v>428457.42482144001</c:v>
                </c:pt>
                <c:pt idx="73">
                  <c:v>457505.36629694444</c:v>
                </c:pt>
                <c:pt idx="74">
                  <c:v>488726.22947842226</c:v>
                </c:pt>
                <c:pt idx="75">
                  <c:v>522304.02306636749</c:v>
                </c:pt>
                <c:pt idx="76">
                  <c:v>558440.19653266016</c:v>
                </c:pt>
                <c:pt idx="77">
                  <c:v>597355.45854638831</c:v>
                </c:pt>
                <c:pt idx="78">
                  <c:v>639291.80504641705</c:v>
                </c:pt>
                <c:pt idx="79">
                  <c:v>684514.78326680267</c:v>
                </c:pt>
                <c:pt idx="80">
                  <c:v>733316.02158893587</c:v>
                </c:pt>
                <c:pt idx="81">
                  <c:v>786016.05919207586</c:v>
                </c:pt>
                <c:pt idx="82">
                  <c:v>842967.5141844789</c:v>
                </c:pt>
                <c:pt idx="83">
                  <c:v>904558.63431822124</c:v>
                </c:pt>
                <c:pt idx="84">
                  <c:v>971217.28063557111</c:v>
                </c:pt>
                <c:pt idx="85">
                  <c:v>1043415.4015975142</c:v>
                </c:pt>
                <c:pt idx="86">
                  <c:v>1121674.0635629415</c:v>
                </c:pt>
                <c:pt idx="87">
                  <c:v>1206569.1131053492</c:v>
                </c:pt>
                <c:pt idx="88">
                  <c:v>1298737.5577908179</c:v>
                </c:pt>
                <c:pt idx="89">
                  <c:v>1398884.7649549237</c:v>
                </c:pt>
                <c:pt idx="90">
                  <c:v>1507792.5930111837</c:v>
                </c:pt>
                <c:pt idx="91">
                  <c:v>1626328.587261643</c:v>
                </c:pt>
                <c:pt idx="92">
                  <c:v>1755456.3924890875</c:v>
                </c:pt>
                <c:pt idx="93">
                  <c:v>1896247.5582997333</c:v>
                </c:pt>
                <c:pt idx="94">
                  <c:v>2049894.9408607588</c:v>
                </c:pt>
                <c:pt idx="95">
                  <c:v>2217727.9370618891</c:v>
                </c:pt>
                <c:pt idx="96">
                  <c:v>2401229.8250878053</c:v>
                </c:pt>
                <c:pt idx="97">
                  <c:v>2602057.5299515189</c:v>
                </c:pt>
                <c:pt idx="98">
                  <c:v>2822064.1849480714</c:v>
                </c:pt>
                <c:pt idx="99">
                  <c:v>3063324.9217310385</c:v>
                </c:pt>
                <c:pt idx="100">
                  <c:v>3328166.3945847927</c:v>
                </c:pt>
              </c:numCache>
            </c:numRef>
          </c:xVal>
          <c:yVal>
            <c:numRef>
              <c:f>'ASTM E739 stat (Max Strain)'!$W$2:$W$102</c:f>
              <c:numCache>
                <c:formatCode>0.0</c:formatCode>
                <c:ptCount val="101"/>
                <c:pt idx="0">
                  <c:v>1.5</c:v>
                </c:pt>
                <c:pt idx="1">
                  <c:v>1.492</c:v>
                </c:pt>
                <c:pt idx="2">
                  <c:v>1.484</c:v>
                </c:pt>
                <c:pt idx="3">
                  <c:v>1.476</c:v>
                </c:pt>
                <c:pt idx="4">
                  <c:v>1.468</c:v>
                </c:pt>
                <c:pt idx="5">
                  <c:v>1.46</c:v>
                </c:pt>
                <c:pt idx="6">
                  <c:v>1.452</c:v>
                </c:pt>
                <c:pt idx="7">
                  <c:v>1.444</c:v>
                </c:pt>
                <c:pt idx="8">
                  <c:v>1.4359999999999999</c:v>
                </c:pt>
                <c:pt idx="9">
                  <c:v>1.4279999999999999</c:v>
                </c:pt>
                <c:pt idx="10">
                  <c:v>1.42</c:v>
                </c:pt>
                <c:pt idx="11">
                  <c:v>1.4119999999999999</c:v>
                </c:pt>
                <c:pt idx="12">
                  <c:v>1.4039999999999999</c:v>
                </c:pt>
                <c:pt idx="13">
                  <c:v>1.3959999999999999</c:v>
                </c:pt>
                <c:pt idx="14">
                  <c:v>1.3879999999999999</c:v>
                </c:pt>
                <c:pt idx="15">
                  <c:v>1.38</c:v>
                </c:pt>
                <c:pt idx="16">
                  <c:v>1.3719999999999999</c:v>
                </c:pt>
                <c:pt idx="17">
                  <c:v>1.3639999999999999</c:v>
                </c:pt>
                <c:pt idx="18">
                  <c:v>1.3559999999999999</c:v>
                </c:pt>
                <c:pt idx="19">
                  <c:v>1.3479999999999999</c:v>
                </c:pt>
                <c:pt idx="20">
                  <c:v>1.34</c:v>
                </c:pt>
                <c:pt idx="21">
                  <c:v>1.3320000000000001</c:v>
                </c:pt>
                <c:pt idx="22">
                  <c:v>1.3240000000000001</c:v>
                </c:pt>
                <c:pt idx="23">
                  <c:v>1.3160000000000001</c:v>
                </c:pt>
                <c:pt idx="24">
                  <c:v>1.3080000000000001</c:v>
                </c:pt>
                <c:pt idx="25">
                  <c:v>1.3</c:v>
                </c:pt>
                <c:pt idx="26">
                  <c:v>1.292</c:v>
                </c:pt>
                <c:pt idx="27">
                  <c:v>1.284</c:v>
                </c:pt>
                <c:pt idx="28">
                  <c:v>1.276</c:v>
                </c:pt>
                <c:pt idx="29">
                  <c:v>1.268</c:v>
                </c:pt>
                <c:pt idx="30">
                  <c:v>1.26</c:v>
                </c:pt>
                <c:pt idx="31">
                  <c:v>1.252</c:v>
                </c:pt>
                <c:pt idx="32">
                  <c:v>1.244</c:v>
                </c:pt>
                <c:pt idx="33">
                  <c:v>1.236</c:v>
                </c:pt>
                <c:pt idx="34">
                  <c:v>1.228</c:v>
                </c:pt>
                <c:pt idx="35">
                  <c:v>1.22</c:v>
                </c:pt>
                <c:pt idx="36">
                  <c:v>1.212</c:v>
                </c:pt>
                <c:pt idx="37">
                  <c:v>1.204</c:v>
                </c:pt>
                <c:pt idx="38">
                  <c:v>1.196</c:v>
                </c:pt>
                <c:pt idx="39">
                  <c:v>1.1879999999999999</c:v>
                </c:pt>
                <c:pt idx="40">
                  <c:v>1.18</c:v>
                </c:pt>
                <c:pt idx="41">
                  <c:v>1.1719999999999999</c:v>
                </c:pt>
                <c:pt idx="42">
                  <c:v>1.1639999999999999</c:v>
                </c:pt>
                <c:pt idx="43">
                  <c:v>1.1560000000000001</c:v>
                </c:pt>
                <c:pt idx="44">
                  <c:v>1.1479999999999999</c:v>
                </c:pt>
                <c:pt idx="45">
                  <c:v>1.1400000000000001</c:v>
                </c:pt>
                <c:pt idx="46">
                  <c:v>1.1319999999999999</c:v>
                </c:pt>
                <c:pt idx="47">
                  <c:v>1.1240000000000001</c:v>
                </c:pt>
                <c:pt idx="48">
                  <c:v>1.1159999999999999</c:v>
                </c:pt>
                <c:pt idx="49">
                  <c:v>1.1080000000000001</c:v>
                </c:pt>
                <c:pt idx="50">
                  <c:v>1.1000000000000001</c:v>
                </c:pt>
                <c:pt idx="51">
                  <c:v>1.0920000000000001</c:v>
                </c:pt>
                <c:pt idx="52">
                  <c:v>1.0840000000000001</c:v>
                </c:pt>
                <c:pt idx="53">
                  <c:v>1.0760000000000001</c:v>
                </c:pt>
                <c:pt idx="54">
                  <c:v>1.0680000000000001</c:v>
                </c:pt>
                <c:pt idx="55">
                  <c:v>1.06</c:v>
                </c:pt>
                <c:pt idx="56">
                  <c:v>1.052</c:v>
                </c:pt>
                <c:pt idx="57">
                  <c:v>1.044</c:v>
                </c:pt>
                <c:pt idx="58">
                  <c:v>1.036</c:v>
                </c:pt>
                <c:pt idx="59">
                  <c:v>1.028</c:v>
                </c:pt>
                <c:pt idx="60">
                  <c:v>1.02</c:v>
                </c:pt>
                <c:pt idx="61">
                  <c:v>1.012</c:v>
                </c:pt>
                <c:pt idx="62">
                  <c:v>1.004</c:v>
                </c:pt>
                <c:pt idx="63">
                  <c:v>0.996</c:v>
                </c:pt>
                <c:pt idx="64">
                  <c:v>0.98799999999999999</c:v>
                </c:pt>
                <c:pt idx="65">
                  <c:v>0.98</c:v>
                </c:pt>
                <c:pt idx="66">
                  <c:v>0.97199999999999998</c:v>
                </c:pt>
                <c:pt idx="67">
                  <c:v>0.96399999999999997</c:v>
                </c:pt>
                <c:pt idx="68">
                  <c:v>0.95600000000000007</c:v>
                </c:pt>
                <c:pt idx="69">
                  <c:v>0.94799999999999995</c:v>
                </c:pt>
                <c:pt idx="70">
                  <c:v>0.94000000000000006</c:v>
                </c:pt>
                <c:pt idx="71">
                  <c:v>0.93199999999999983</c:v>
                </c:pt>
                <c:pt idx="72">
                  <c:v>0.92400000000000004</c:v>
                </c:pt>
                <c:pt idx="73">
                  <c:v>0.91599999999999993</c:v>
                </c:pt>
                <c:pt idx="74">
                  <c:v>0.90799999999999992</c:v>
                </c:pt>
                <c:pt idx="75">
                  <c:v>0.89999999999999991</c:v>
                </c:pt>
                <c:pt idx="76">
                  <c:v>0.8919999999999999</c:v>
                </c:pt>
                <c:pt idx="77">
                  <c:v>0.88400000000000001</c:v>
                </c:pt>
                <c:pt idx="78">
                  <c:v>0.87599999999999978</c:v>
                </c:pt>
                <c:pt idx="79">
                  <c:v>0.86799999999999988</c:v>
                </c:pt>
                <c:pt idx="80">
                  <c:v>0.86</c:v>
                </c:pt>
                <c:pt idx="81">
                  <c:v>0.85199999999999998</c:v>
                </c:pt>
                <c:pt idx="82">
                  <c:v>0.84399999999999986</c:v>
                </c:pt>
                <c:pt idx="83">
                  <c:v>0.83599999999999997</c:v>
                </c:pt>
                <c:pt idx="84">
                  <c:v>0.82799999999999996</c:v>
                </c:pt>
                <c:pt idx="85">
                  <c:v>0.82000000000000006</c:v>
                </c:pt>
                <c:pt idx="86">
                  <c:v>0.81199999999999994</c:v>
                </c:pt>
                <c:pt idx="87">
                  <c:v>0.80399999999999994</c:v>
                </c:pt>
                <c:pt idx="88">
                  <c:v>0.79599999999999993</c:v>
                </c:pt>
                <c:pt idx="89">
                  <c:v>0.78799999999999981</c:v>
                </c:pt>
                <c:pt idx="90">
                  <c:v>0.78</c:v>
                </c:pt>
                <c:pt idx="91">
                  <c:v>0.77200000000000002</c:v>
                </c:pt>
                <c:pt idx="92">
                  <c:v>0.7639999999999999</c:v>
                </c:pt>
                <c:pt idx="93">
                  <c:v>0.75599999999999989</c:v>
                </c:pt>
                <c:pt idx="94">
                  <c:v>0.748</c:v>
                </c:pt>
                <c:pt idx="95">
                  <c:v>0.74</c:v>
                </c:pt>
                <c:pt idx="96">
                  <c:v>0.73199999999999976</c:v>
                </c:pt>
                <c:pt idx="97">
                  <c:v>0.72399999999999987</c:v>
                </c:pt>
                <c:pt idx="98">
                  <c:v>0.71599999999999986</c:v>
                </c:pt>
                <c:pt idx="99">
                  <c:v>0.70799999999999996</c:v>
                </c:pt>
                <c:pt idx="100">
                  <c:v>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31-4EEE-B2E6-281D0058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584640"/>
        <c:axId val="249586816"/>
      </c:scatterChart>
      <c:valAx>
        <c:axId val="249584640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87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9586816"/>
        <c:crosses val="autoZero"/>
        <c:crossBetween val="midCat"/>
      </c:valAx>
      <c:valAx>
        <c:axId val="249586816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Strain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4958464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008273009307414"/>
          <c:y val="8.8700564971751744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EQA01 Fatigue test</c:v>
            </c:pt>
          </c:strCache>
        </c:strRef>
      </c:tx>
      <c:layout>
        <c:manualLayout>
          <c:xMode val="edge"/>
          <c:yMode val="edge"/>
          <c:x val="0.4260599793174791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832471561530524E-2"/>
          <c:y val="8.6440677966101193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(Results!$C$25:$C$28,Results!$C$31,Results!$C$33:$C$34)</c:f>
              <c:numCache>
                <c:formatCode>0</c:formatCode>
                <c:ptCount val="7"/>
                <c:pt idx="0">
                  <c:v>10766</c:v>
                </c:pt>
                <c:pt idx="1">
                  <c:v>148187</c:v>
                </c:pt>
                <c:pt idx="2">
                  <c:v>581856</c:v>
                </c:pt>
                <c:pt idx="3">
                  <c:v>290916</c:v>
                </c:pt>
                <c:pt idx="4">
                  <c:v>35032</c:v>
                </c:pt>
                <c:pt idx="5">
                  <c:v>53299</c:v>
                </c:pt>
                <c:pt idx="6">
                  <c:v>1350848</c:v>
                </c:pt>
              </c:numCache>
            </c:numRef>
          </c:xVal>
          <c:yVal>
            <c:numRef>
              <c:f>(Results!$D$25:$D$28,Results!$D$31,Results!$D$33:$D$34)</c:f>
              <c:numCache>
                <c:formatCode>0.000</c:formatCode>
                <c:ptCount val="7"/>
                <c:pt idx="0">
                  <c:v>1.35</c:v>
                </c:pt>
                <c:pt idx="1">
                  <c:v>0.9900000000000001</c:v>
                </c:pt>
                <c:pt idx="2">
                  <c:v>0.81</c:v>
                </c:pt>
                <c:pt idx="3">
                  <c:v>0.9</c:v>
                </c:pt>
                <c:pt idx="4">
                  <c:v>1.1700000000000002</c:v>
                </c:pt>
                <c:pt idx="5">
                  <c:v>1.08</c:v>
                </c:pt>
                <c:pt idx="6">
                  <c:v>0.76500000000000001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EC-4362-AEC7-40F589340BAE}"/>
            </c:ext>
          </c:extLst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Results!$C$32</c:f>
              <c:numCache>
                <c:formatCode>0</c:formatCode>
                <c:ptCount val="1"/>
                <c:pt idx="0">
                  <c:v>2000000</c:v>
                </c:pt>
              </c:numCache>
            </c:numRef>
          </c:xVal>
          <c:yVal>
            <c:numRef>
              <c:f>Results!$D$32</c:f>
              <c:numCache>
                <c:formatCode>0.000</c:formatCode>
                <c:ptCount val="1"/>
                <c:pt idx="0">
                  <c:v>0.72000000000000008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CEC-4362-AEC7-40F589340BAE}"/>
            </c:ext>
          </c:extLst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(Strain Range)'!$T$2:$T$102</c:f>
              <c:numCache>
                <c:formatCode>0</c:formatCode>
                <c:ptCount val="101"/>
                <c:pt idx="0">
                  <c:v>1863152.7427717615</c:v>
                </c:pt>
                <c:pt idx="1">
                  <c:v>1733409.1078822426</c:v>
                </c:pt>
                <c:pt idx="2">
                  <c:v>1613706.0518702944</c:v>
                </c:pt>
                <c:pt idx="3">
                  <c:v>1503190.0220057226</c:v>
                </c:pt>
                <c:pt idx="4">
                  <c:v>1401086.4253540742</c:v>
                </c:pt>
                <c:pt idx="5">
                  <c:v>1306691.7421406761</c:v>
                </c:pt>
                <c:pt idx="6">
                  <c:v>1219366.4840621534</c:v>
                </c:pt>
                <c:pt idx="7">
                  <c:v>1138528.9009890708</c:v>
                </c:pt>
                <c:pt idx="8">
                  <c:v>1063649.3512156317</c:v>
                </c:pt>
                <c:pt idx="9">
                  <c:v>994245.26062284957</c:v>
                </c:pt>
                <c:pt idx="10">
                  <c:v>929876.60503340082</c:v>
                </c:pt>
                <c:pt idx="11">
                  <c:v>870141.85782301135</c:v>
                </c:pt>
                <c:pt idx="12">
                  <c:v>814674.35166474676</c:v>
                </c:pt>
                <c:pt idx="13">
                  <c:v>763139.00924731931</c:v>
                </c:pt>
                <c:pt idx="14">
                  <c:v>715229.40303742723</c:v>
                </c:pt>
                <c:pt idx="15">
                  <c:v>670665.10874494887</c:v>
                </c:pt>
                <c:pt idx="16">
                  <c:v>629189.32118089939</c:v>
                </c:pt>
                <c:pt idx="17">
                  <c:v>590566.70474294387</c:v>
                </c:pt>
                <c:pt idx="18">
                  <c:v>554581.45388369344</c:v>
                </c:pt>
                <c:pt idx="19">
                  <c:v>521035.54166657757</c:v>
                </c:pt>
                <c:pt idx="20">
                  <c:v>489747.13693912618</c:v>
                </c:pt>
                <c:pt idx="21">
                  <c:v>460549.17279452196</c:v>
                </c:pt>
                <c:pt idx="22">
                  <c:v>433288.0508842225</c:v>
                </c:pt>
                <c:pt idx="23">
                  <c:v>407822.4678178844</c:v>
                </c:pt>
                <c:pt idx="24">
                  <c:v>384022.35136839456</c:v>
                </c:pt>
                <c:pt idx="25">
                  <c:v>361767.89551260171</c:v>
                </c:pt>
                <c:pt idx="26">
                  <c:v>340948.68450273824</c:v>
                </c:pt>
                <c:pt idx="27">
                  <c:v>321462.89719709114</c:v>
                </c:pt>
                <c:pt idx="28">
                  <c:v>303216.58379679924</c:v>
                </c:pt>
                <c:pt idx="29">
                  <c:v>286123.00795223669</c:v>
                </c:pt>
                <c:pt idx="30">
                  <c:v>270102.04792916472</c:v>
                </c:pt>
                <c:pt idx="31">
                  <c:v>255079.65117212862</c:v>
                </c:pt>
                <c:pt idx="32">
                  <c:v>240987.33717962744</c:v>
                </c:pt>
                <c:pt idx="33">
                  <c:v>227761.74412033588</c:v>
                </c:pt>
                <c:pt idx="34">
                  <c:v>215344.21507934763</c:v>
                </c:pt>
                <c:pt idx="35">
                  <c:v>203680.42023408739</c:v>
                </c:pt>
                <c:pt idx="36">
                  <c:v>192720.01162684441</c:v>
                </c:pt>
                <c:pt idx="37">
                  <c:v>182416.30752956713</c:v>
                </c:pt>
                <c:pt idx="38">
                  <c:v>172726.00369094822</c:v>
                </c:pt>
                <c:pt idx="39">
                  <c:v>163608.90901966771</c:v>
                </c:pt>
                <c:pt idx="40">
                  <c:v>155027.70349431509</c:v>
                </c:pt>
                <c:pt idx="41">
                  <c:v>146947.71630293335</c:v>
                </c:pt>
                <c:pt idx="42">
                  <c:v>139336.72240590394</c:v>
                </c:pt>
                <c:pt idx="43">
                  <c:v>132164.7558873996</c:v>
                </c:pt>
                <c:pt idx="44">
                  <c:v>125403.93861487716</c:v>
                </c:pt>
                <c:pt idx="45">
                  <c:v>119028.32286492748</c:v>
                </c:pt>
                <c:pt idx="46">
                  <c:v>113013.74669885382</c:v>
                </c:pt>
                <c:pt idx="47">
                  <c:v>107337.70098405988</c:v>
                </c:pt>
                <c:pt idx="48">
                  <c:v>101979.20705898515</c:v>
                </c:pt>
                <c:pt idx="49">
                  <c:v>96918.704131062608</c:v>
                </c:pt>
                <c:pt idx="50">
                  <c:v>92137.945580023676</c:v>
                </c:pt>
                <c:pt idx="51">
                  <c:v>87619.903413737615</c:v>
                </c:pt>
                <c:pt idx="52">
                  <c:v>83348.680191465275</c:v>
                </c:pt>
                <c:pt idx="53">
                  <c:v>79309.427790651433</c:v>
                </c:pt>
                <c:pt idx="54">
                  <c:v>75488.272448824137</c:v>
                </c:pt>
                <c:pt idx="55">
                  <c:v>71872.245562400552</c:v>
                </c:pt>
                <c:pt idx="56">
                  <c:v>68449.219769717776</c:v>
                </c:pt>
                <c:pt idx="57">
                  <c:v>65207.849886902244</c:v>
                </c:pt>
                <c:pt idx="58">
                  <c:v>62137.518302652083</c:v>
                </c:pt>
                <c:pt idx="59">
                  <c:v>59228.284472034204</c:v>
                </c:pt>
                <c:pt idx="60">
                  <c:v>56470.838180301194</c:v>
                </c:pt>
                <c:pt idx="61">
                  <c:v>53856.456275830067</c:v>
                </c:pt>
                <c:pt idx="62">
                  <c:v>51376.962596838079</c:v>
                </c:pt>
                <c:pt idx="63">
                  <c:v>49024.690839786505</c:v>
                </c:pt>
                <c:pt idx="64">
                  <c:v>46792.450138555054</c:v>
                </c:pt>
                <c:pt idx="65">
                  <c:v>44673.493142759013</c:v>
                </c:pt>
                <c:pt idx="66">
                  <c:v>42661.486401164351</c:v>
                </c:pt>
                <c:pt idx="67">
                  <c:v>40750.482872186833</c:v>
                </c:pt>
                <c:pt idx="68">
                  <c:v>38934.896398096054</c:v>
                </c:pt>
                <c:pt idx="69">
                  <c:v>37209.477992895801</c:v>
                </c:pt>
                <c:pt idx="70">
                  <c:v>35569.293806054804</c:v>
                </c:pt>
                <c:pt idx="71">
                  <c:v>34009.704635407965</c:v>
                </c:pt>
                <c:pt idx="72">
                  <c:v>32526.346872740698</c:v>
                </c:pt>
                <c:pt idx="73">
                  <c:v>31115.114774891816</c:v>
                </c:pt>
                <c:pt idx="74">
                  <c:v>29772.143961742804</c:v>
                </c:pt>
                <c:pt idx="75">
                  <c:v>28493.796050273038</c:v>
                </c:pt>
                <c:pt idx="76">
                  <c:v>27276.644341018087</c:v>
                </c:pt>
                <c:pt idx="77">
                  <c:v>26117.460479825277</c:v>
                </c:pt>
                <c:pt idx="78">
                  <c:v>25013.202023815473</c:v>
                </c:pt>
                <c:pt idx="79">
                  <c:v>23961.000845976159</c:v>
                </c:pt>
                <c:pt idx="80">
                  <c:v>22958.152317874086</c:v>
                </c:pt>
                <c:pt idx="81">
                  <c:v>22002.10521462289</c:v>
                </c:pt>
                <c:pt idx="82">
                  <c:v>21090.452290512731</c:v>
                </c:pt>
                <c:pt idx="83">
                  <c:v>20220.9214776318</c:v>
                </c:pt>
                <c:pt idx="84">
                  <c:v>19391.367663417001</c:v>
                </c:pt>
                <c:pt idx="85">
                  <c:v>18599.765006389349</c:v>
                </c:pt>
                <c:pt idx="86">
                  <c:v>17844.199752383676</c:v>
                </c:pt>
                <c:pt idx="87">
                  <c:v>17122.863516391215</c:v>
                </c:pt>
                <c:pt idx="88">
                  <c:v>16434.046997723566</c:v>
                </c:pt>
                <c:pt idx="89">
                  <c:v>15776.134098590304</c:v>
                </c:pt>
                <c:pt idx="90">
                  <c:v>15147.596418381147</c:v>
                </c:pt>
                <c:pt idx="91">
                  <c:v>14546.988097969817</c:v>
                </c:pt>
                <c:pt idx="92">
                  <c:v>13972.940990226589</c:v>
                </c:pt>
                <c:pt idx="93">
                  <c:v>13424.160134652031</c:v>
                </c:pt>
                <c:pt idx="94">
                  <c:v>12899.419515636278</c:v>
                </c:pt>
                <c:pt idx="95">
                  <c:v>12397.55808532005</c:v>
                </c:pt>
                <c:pt idx="96">
                  <c:v>11917.476033392157</c:v>
                </c:pt>
                <c:pt idx="97">
                  <c:v>11458.131287414109</c:v>
                </c:pt>
                <c:pt idx="98">
                  <c:v>11018.536228424011</c:v>
                </c:pt>
                <c:pt idx="99">
                  <c:v>10597.75460764635</c:v>
                </c:pt>
                <c:pt idx="100">
                  <c:v>10194.898651127462</c:v>
                </c:pt>
              </c:numCache>
            </c:numRef>
          </c:xVal>
          <c:yVal>
            <c:numRef>
              <c:f>'ASTM E739 stat (Strain Range)'!$U$2:$U$102</c:f>
              <c:numCache>
                <c:formatCode>0.0</c:formatCode>
                <c:ptCount val="101"/>
                <c:pt idx="0">
                  <c:v>0.7200000000000002</c:v>
                </c:pt>
                <c:pt idx="1">
                  <c:v>0.72630000000000006</c:v>
                </c:pt>
                <c:pt idx="2">
                  <c:v>0.73260000000000014</c:v>
                </c:pt>
                <c:pt idx="3">
                  <c:v>0.73890000000000011</c:v>
                </c:pt>
                <c:pt idx="4">
                  <c:v>0.74519999999999997</c:v>
                </c:pt>
                <c:pt idx="5">
                  <c:v>0.75150000000000006</c:v>
                </c:pt>
                <c:pt idx="6">
                  <c:v>0.75780000000000003</c:v>
                </c:pt>
                <c:pt idx="7">
                  <c:v>0.76410000000000011</c:v>
                </c:pt>
                <c:pt idx="8">
                  <c:v>0.77040000000000008</c:v>
                </c:pt>
                <c:pt idx="9">
                  <c:v>0.77670000000000006</c:v>
                </c:pt>
                <c:pt idx="10">
                  <c:v>0.78300000000000014</c:v>
                </c:pt>
                <c:pt idx="11">
                  <c:v>0.78930000000000011</c:v>
                </c:pt>
                <c:pt idx="12">
                  <c:v>0.79559999999999997</c:v>
                </c:pt>
                <c:pt idx="13">
                  <c:v>0.80189999999999995</c:v>
                </c:pt>
                <c:pt idx="14">
                  <c:v>0.80820000000000003</c:v>
                </c:pt>
                <c:pt idx="15">
                  <c:v>0.81450000000000011</c:v>
                </c:pt>
                <c:pt idx="16">
                  <c:v>0.82079999999999997</c:v>
                </c:pt>
                <c:pt idx="17">
                  <c:v>0.82709999999999995</c:v>
                </c:pt>
                <c:pt idx="18">
                  <c:v>0.83340000000000014</c:v>
                </c:pt>
                <c:pt idx="19">
                  <c:v>0.83970000000000011</c:v>
                </c:pt>
                <c:pt idx="20">
                  <c:v>0.84600000000000009</c:v>
                </c:pt>
                <c:pt idx="21">
                  <c:v>0.85230000000000017</c:v>
                </c:pt>
                <c:pt idx="22">
                  <c:v>0.85860000000000003</c:v>
                </c:pt>
                <c:pt idx="23">
                  <c:v>0.86490000000000011</c:v>
                </c:pt>
                <c:pt idx="24">
                  <c:v>0.87120000000000009</c:v>
                </c:pt>
                <c:pt idx="25">
                  <c:v>0.87749999999999995</c:v>
                </c:pt>
                <c:pt idx="26">
                  <c:v>0.88380000000000003</c:v>
                </c:pt>
                <c:pt idx="27">
                  <c:v>0.89010000000000011</c:v>
                </c:pt>
                <c:pt idx="28">
                  <c:v>0.89640000000000009</c:v>
                </c:pt>
                <c:pt idx="29">
                  <c:v>0.90270000000000017</c:v>
                </c:pt>
                <c:pt idx="30">
                  <c:v>0.90899999999999992</c:v>
                </c:pt>
                <c:pt idx="31">
                  <c:v>0.91530000000000011</c:v>
                </c:pt>
                <c:pt idx="32">
                  <c:v>0.92159999999999997</c:v>
                </c:pt>
                <c:pt idx="33">
                  <c:v>0.92790000000000006</c:v>
                </c:pt>
                <c:pt idx="34">
                  <c:v>0.93420000000000014</c:v>
                </c:pt>
                <c:pt idx="35">
                  <c:v>0.94050000000000022</c:v>
                </c:pt>
                <c:pt idx="36">
                  <c:v>0.9468000000000002</c:v>
                </c:pt>
                <c:pt idx="37">
                  <c:v>0.95310000000000006</c:v>
                </c:pt>
                <c:pt idx="38">
                  <c:v>0.95939999999999992</c:v>
                </c:pt>
                <c:pt idx="39">
                  <c:v>0.96570000000000022</c:v>
                </c:pt>
                <c:pt idx="40">
                  <c:v>0.97199999999999998</c:v>
                </c:pt>
                <c:pt idx="41">
                  <c:v>0.97830000000000006</c:v>
                </c:pt>
                <c:pt idx="42">
                  <c:v>0.98460000000000003</c:v>
                </c:pt>
                <c:pt idx="43">
                  <c:v>0.99090000000000023</c:v>
                </c:pt>
                <c:pt idx="44">
                  <c:v>0.9972000000000002</c:v>
                </c:pt>
                <c:pt idx="45">
                  <c:v>1.0035000000000001</c:v>
                </c:pt>
                <c:pt idx="46">
                  <c:v>1.0098</c:v>
                </c:pt>
                <c:pt idx="47">
                  <c:v>1.0161</c:v>
                </c:pt>
                <c:pt idx="48">
                  <c:v>1.0224000000000002</c:v>
                </c:pt>
                <c:pt idx="49">
                  <c:v>1.0287000000000002</c:v>
                </c:pt>
                <c:pt idx="50">
                  <c:v>1.0350000000000001</c:v>
                </c:pt>
                <c:pt idx="51">
                  <c:v>1.0413000000000001</c:v>
                </c:pt>
                <c:pt idx="52">
                  <c:v>1.0476000000000001</c:v>
                </c:pt>
                <c:pt idx="53">
                  <c:v>1.0539000000000001</c:v>
                </c:pt>
                <c:pt idx="54">
                  <c:v>1.0602</c:v>
                </c:pt>
                <c:pt idx="55">
                  <c:v>1.0665</c:v>
                </c:pt>
                <c:pt idx="56">
                  <c:v>1.0728</c:v>
                </c:pt>
                <c:pt idx="57">
                  <c:v>1.0791000000000002</c:v>
                </c:pt>
                <c:pt idx="58">
                  <c:v>1.0854000000000001</c:v>
                </c:pt>
                <c:pt idx="59">
                  <c:v>1.0917000000000001</c:v>
                </c:pt>
                <c:pt idx="60">
                  <c:v>1.0980000000000001</c:v>
                </c:pt>
                <c:pt idx="61">
                  <c:v>1.1043000000000001</c:v>
                </c:pt>
                <c:pt idx="62">
                  <c:v>1.1106</c:v>
                </c:pt>
                <c:pt idx="63">
                  <c:v>1.1169</c:v>
                </c:pt>
                <c:pt idx="64">
                  <c:v>1.1232000000000002</c:v>
                </c:pt>
                <c:pt idx="65">
                  <c:v>1.1295000000000002</c:v>
                </c:pt>
                <c:pt idx="66">
                  <c:v>1.1358000000000001</c:v>
                </c:pt>
                <c:pt idx="67">
                  <c:v>1.1421000000000001</c:v>
                </c:pt>
                <c:pt idx="68">
                  <c:v>1.1484000000000001</c:v>
                </c:pt>
                <c:pt idx="69">
                  <c:v>1.1547000000000001</c:v>
                </c:pt>
                <c:pt idx="70">
                  <c:v>1.161</c:v>
                </c:pt>
                <c:pt idx="71">
                  <c:v>1.1673</c:v>
                </c:pt>
                <c:pt idx="72">
                  <c:v>1.1736</c:v>
                </c:pt>
                <c:pt idx="73">
                  <c:v>1.1799000000000002</c:v>
                </c:pt>
                <c:pt idx="74">
                  <c:v>1.1861999999999999</c:v>
                </c:pt>
                <c:pt idx="75">
                  <c:v>1.1925000000000001</c:v>
                </c:pt>
                <c:pt idx="76">
                  <c:v>1.1988000000000001</c:v>
                </c:pt>
                <c:pt idx="77">
                  <c:v>1.2051000000000001</c:v>
                </c:pt>
                <c:pt idx="78">
                  <c:v>1.2114</c:v>
                </c:pt>
                <c:pt idx="79">
                  <c:v>1.2177000000000002</c:v>
                </c:pt>
                <c:pt idx="80">
                  <c:v>1.2240000000000002</c:v>
                </c:pt>
                <c:pt idx="81">
                  <c:v>1.2303000000000002</c:v>
                </c:pt>
                <c:pt idx="82">
                  <c:v>1.2366000000000001</c:v>
                </c:pt>
                <c:pt idx="83">
                  <c:v>1.2429000000000001</c:v>
                </c:pt>
                <c:pt idx="84">
                  <c:v>1.2492000000000001</c:v>
                </c:pt>
                <c:pt idx="85">
                  <c:v>1.2555000000000001</c:v>
                </c:pt>
                <c:pt idx="86">
                  <c:v>1.2618</c:v>
                </c:pt>
                <c:pt idx="87">
                  <c:v>1.2681</c:v>
                </c:pt>
                <c:pt idx="88">
                  <c:v>1.2744</c:v>
                </c:pt>
                <c:pt idx="89">
                  <c:v>1.2806999999999999</c:v>
                </c:pt>
                <c:pt idx="90">
                  <c:v>1.2870000000000001</c:v>
                </c:pt>
                <c:pt idx="91">
                  <c:v>1.2933000000000001</c:v>
                </c:pt>
                <c:pt idx="92">
                  <c:v>1.2996000000000001</c:v>
                </c:pt>
                <c:pt idx="93">
                  <c:v>1.3059000000000003</c:v>
                </c:pt>
                <c:pt idx="94">
                  <c:v>1.3122</c:v>
                </c:pt>
                <c:pt idx="95">
                  <c:v>1.3185000000000002</c:v>
                </c:pt>
                <c:pt idx="96">
                  <c:v>1.3248000000000002</c:v>
                </c:pt>
                <c:pt idx="97">
                  <c:v>1.3311000000000002</c:v>
                </c:pt>
                <c:pt idx="98">
                  <c:v>1.3374000000000004</c:v>
                </c:pt>
                <c:pt idx="99">
                  <c:v>1.3437000000000001</c:v>
                </c:pt>
                <c:pt idx="100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EC-4362-AEC7-40F589340BAE}"/>
            </c:ext>
          </c:extLst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(Strain Range)'!$V$2:$V$102</c:f>
              <c:numCache>
                <c:formatCode>0</c:formatCode>
                <c:ptCount val="101"/>
                <c:pt idx="0">
                  <c:v>1251701.7682120567</c:v>
                </c:pt>
                <c:pt idx="1">
                  <c:v>1173916.745847923</c:v>
                </c:pt>
                <c:pt idx="2">
                  <c:v>1101510.7241942077</c:v>
                </c:pt>
                <c:pt idx="3">
                  <c:v>1034070.3887172292</c:v>
                </c:pt>
                <c:pt idx="4">
                  <c:v>971217.28063556075</c:v>
                </c:pt>
                <c:pt idx="5">
                  <c:v>912604.59935461532</c:v>
                </c:pt>
                <c:pt idx="6">
                  <c:v>857914.32185203291</c:v>
                </c:pt>
                <c:pt idx="7">
                  <c:v>806854.6053367547</c:v>
                </c:pt>
                <c:pt idx="8">
                  <c:v>759157.4433245887</c:v>
                </c:pt>
                <c:pt idx="9">
                  <c:v>714576.54863279779</c:v>
                </c:pt>
                <c:pt idx="10">
                  <c:v>672885.43975471391</c:v>
                </c:pt>
                <c:pt idx="11">
                  <c:v>633875.70968246437</c:v>
                </c:pt>
                <c:pt idx="12">
                  <c:v>597355.45854638191</c:v>
                </c:pt>
                <c:pt idx="13">
                  <c:v>563147.87347075855</c:v>
                </c:pt>
                <c:pt idx="14">
                  <c:v>531089.94084090693</c:v>
                </c:pt>
                <c:pt idx="15">
                  <c:v>501031.27776455006</c:v>
                </c:pt>
                <c:pt idx="16">
                  <c:v>472833.07091632596</c:v>
                </c:pt>
                <c:pt idx="17">
                  <c:v>446367.11219950975</c:v>
                </c:pt>
                <c:pt idx="18">
                  <c:v>421514.92176303978</c:v>
                </c:pt>
                <c:pt idx="19">
                  <c:v>398166.94989094842</c:v>
                </c:pt>
                <c:pt idx="20">
                  <c:v>376221.85015018616</c:v>
                </c:pt>
                <c:pt idx="21">
                  <c:v>355585.81695424375</c:v>
                </c:pt>
                <c:pt idx="22">
                  <c:v>336171.98138521361</c:v>
                </c:pt>
                <c:pt idx="23">
                  <c:v>317899.85972613381</c:v>
                </c:pt>
                <c:pt idx="24">
                  <c:v>300694.84969754663</c:v>
                </c:pt>
                <c:pt idx="25">
                  <c:v>284487.76987520751</c:v>
                </c:pt>
                <c:pt idx="26">
                  <c:v>269214.43819732178</c:v>
                </c:pt>
                <c:pt idx="27">
                  <c:v>254815.28585614453</c:v>
                </c:pt>
                <c:pt idx="28">
                  <c:v>241235.00321656358</c:v>
                </c:pt>
                <c:pt idx="29">
                  <c:v>228422.21471912085</c:v>
                </c:pt>
                <c:pt idx="30">
                  <c:v>216329.18001203384</c:v>
                </c:pt>
                <c:pt idx="31">
                  <c:v>204911.5188208491</c:v>
                </c:pt>
                <c:pt idx="32">
                  <c:v>194127.95730959182</c:v>
                </c:pt>
                <c:pt idx="33">
                  <c:v>183940.09391683366</c:v>
                </c:pt>
                <c:pt idx="34">
                  <c:v>174312.18286670098</c:v>
                </c:pt>
                <c:pt idx="35">
                  <c:v>165210.93375971288</c:v>
                </c:pt>
                <c:pt idx="36">
                  <c:v>156605.32584214141</c:v>
                </c:pt>
                <c:pt idx="37">
                  <c:v>148466.43573450093</c:v>
                </c:pt>
                <c:pt idx="38">
                  <c:v>140767.27756837985</c:v>
                </c:pt>
                <c:pt idx="39">
                  <c:v>133482.65463382754</c:v>
                </c:pt>
                <c:pt idx="40">
                  <c:v>126589.02177436669</c:v>
                </c:pt>
                <c:pt idx="41">
                  <c:v>120064.35788099663</c:v>
                </c:pt>
                <c:pt idx="42">
                  <c:v>113888.04792840888</c:v>
                </c:pt>
                <c:pt idx="43">
                  <c:v>108040.77406522978</c:v>
                </c:pt>
                <c:pt idx="44">
                  <c:v>102504.4153158456</c:v>
                </c:pt>
                <c:pt idx="45">
                  <c:v>97261.955476103496</c:v>
                </c:pt>
                <c:pt idx="46">
                  <c:v>92297.398792098378</c:v>
                </c:pt>
                <c:pt idx="47">
                  <c:v>87595.693004500266</c:v>
                </c:pt>
                <c:pt idx="48">
                  <c:v>83142.659325347442</c:v>
                </c:pt>
                <c:pt idx="49">
                  <c:v>78924.928894788813</c:v>
                </c:pt>
                <c:pt idx="50">
                  <c:v>74929.88524654675</c:v>
                </c:pt>
                <c:pt idx="51">
                  <c:v>71145.612296649284</c:v>
                </c:pt>
                <c:pt idx="52">
                  <c:v>67560.847363033856</c:v>
                </c:pt>
                <c:pt idx="53">
                  <c:v>64164.938725531261</c:v>
                </c:pt>
                <c:pt idx="54">
                  <c:v>60947.807246989389</c:v>
                </c:pt>
                <c:pt idx="55">
                  <c:v>57899.911596377155</c:v>
                </c:pt>
                <c:pt idx="56">
                  <c:v>55012.216642394669</c:v>
                </c:pt>
                <c:pt idx="57">
                  <c:v>52276.164619683521</c:v>
                </c:pt>
                <c:pt idx="58">
                  <c:v>49683.648707263681</c:v>
                </c:pt>
                <c:pt idx="59">
                  <c:v>47226.988698392379</c:v>
                </c:pt>
                <c:pt idx="60">
                  <c:v>44898.908480893384</c:v>
                </c:pt>
                <c:pt idx="61">
                  <c:v>42692.515085676263</c:v>
                </c:pt>
                <c:pt idx="62">
                  <c:v>40601.279097505249</c:v>
                </c:pt>
                <c:pt idx="63">
                  <c:v>38619.016255303919</c:v>
                </c:pt>
                <c:pt idx="64">
                  <c:v>36739.870098908708</c:v>
                </c:pt>
                <c:pt idx="65">
                  <c:v>34958.295545010791</c:v>
                </c:pt>
                <c:pt idx="66">
                  <c:v>33269.043297072516</c:v>
                </c:pt>
                <c:pt idx="67">
                  <c:v>31667.145012452129</c:v>
                </c:pt>
                <c:pt idx="68">
                  <c:v>30147.899165107476</c:v>
                </c:pt>
                <c:pt idx="69">
                  <c:v>28706.85755443271</c:v>
                </c:pt>
                <c:pt idx="70">
                  <c:v>27339.812420404913</c:v>
                </c:pt>
                <c:pt idx="71">
                  <c:v>26042.784132661087</c:v>
                </c:pt>
                <c:pt idx="72">
                  <c:v>24812.00942675754</c:v>
                </c:pt>
                <c:pt idx="73">
                  <c:v>23643.930165028669</c:v>
                </c:pt>
                <c:pt idx="74">
                  <c:v>22535.182602456705</c:v>
                </c:pt>
                <c:pt idx="75">
                  <c:v>21482.587140042418</c:v>
                </c:pt>
                <c:pt idx="76">
                  <c:v>20483.138549561485</c:v>
                </c:pt>
                <c:pt idx="77">
                  <c:v>19533.996654467974</c:v>
                </c:pt>
                <c:pt idx="78">
                  <c:v>18632.477452224073</c:v>
                </c:pt>
                <c:pt idx="79">
                  <c:v>17776.044663601901</c:v>
                </c:pt>
                <c:pt idx="80">
                  <c:v>16962.301694616563</c:v>
                </c:pt>
                <c:pt idx="81">
                  <c:v>16188.983996768759</c:v>
                </c:pt>
                <c:pt idx="82">
                  <c:v>15453.951811262601</c:v>
                </c:pt>
                <c:pt idx="83">
                  <c:v>14755.183282842887</c:v>
                </c:pt>
                <c:pt idx="84">
                  <c:v>14090.767928902924</c:v>
                </c:pt>
                <c:pt idx="85">
                  <c:v>13458.900449553788</c:v>
                </c:pt>
                <c:pt idx="86">
                  <c:v>12857.874864436895</c:v>
                </c:pt>
                <c:pt idx="87">
                  <c:v>12286.078962199286</c:v>
                </c:pt>
                <c:pt idx="88">
                  <c:v>11741.989048742866</c:v>
                </c:pt>
                <c:pt idx="89">
                  <c:v>11224.16498059619</c:v>
                </c:pt>
                <c:pt idx="90">
                  <c:v>10731.245470040354</c:v>
                </c:pt>
                <c:pt idx="91">
                  <c:v>10261.943648942766</c:v>
                </c:pt>
                <c:pt idx="92">
                  <c:v>9815.0428786066186</c:v>
                </c:pt>
                <c:pt idx="93">
                  <c:v>9389.392793328303</c:v>
                </c:pt>
                <c:pt idx="94">
                  <c:v>8983.9055657584904</c:v>
                </c:pt>
                <c:pt idx="95">
                  <c:v>8597.5523825849323</c:v>
                </c:pt>
                <c:pt idx="96">
                  <c:v>8229.3601194885705</c:v>
                </c:pt>
                <c:pt idx="97">
                  <c:v>7878.408204763663</c:v>
                </c:pt>
                <c:pt idx="98">
                  <c:v>7543.8256614377087</c:v>
                </c:pt>
                <c:pt idx="99">
                  <c:v>7224.7883181684911</c:v>
                </c:pt>
                <c:pt idx="100">
                  <c:v>6920.5161796362381</c:v>
                </c:pt>
              </c:numCache>
            </c:numRef>
          </c:xVal>
          <c:yVal>
            <c:numRef>
              <c:f>'ASTM E739 stat (Strain Range)'!$W$2:$W$102</c:f>
              <c:numCache>
                <c:formatCode>0.0</c:formatCode>
                <c:ptCount val="101"/>
                <c:pt idx="0">
                  <c:v>0.7200000000000002</c:v>
                </c:pt>
                <c:pt idx="1">
                  <c:v>0.72630000000000006</c:v>
                </c:pt>
                <c:pt idx="2">
                  <c:v>0.73260000000000014</c:v>
                </c:pt>
                <c:pt idx="3">
                  <c:v>0.73890000000000011</c:v>
                </c:pt>
                <c:pt idx="4">
                  <c:v>0.74519999999999997</c:v>
                </c:pt>
                <c:pt idx="5">
                  <c:v>0.75150000000000006</c:v>
                </c:pt>
                <c:pt idx="6">
                  <c:v>0.75780000000000003</c:v>
                </c:pt>
                <c:pt idx="7">
                  <c:v>0.76410000000000011</c:v>
                </c:pt>
                <c:pt idx="8">
                  <c:v>0.77040000000000008</c:v>
                </c:pt>
                <c:pt idx="9">
                  <c:v>0.77670000000000006</c:v>
                </c:pt>
                <c:pt idx="10">
                  <c:v>0.78300000000000014</c:v>
                </c:pt>
                <c:pt idx="11">
                  <c:v>0.78930000000000011</c:v>
                </c:pt>
                <c:pt idx="12">
                  <c:v>0.79559999999999997</c:v>
                </c:pt>
                <c:pt idx="13">
                  <c:v>0.80189999999999995</c:v>
                </c:pt>
                <c:pt idx="14">
                  <c:v>0.80820000000000003</c:v>
                </c:pt>
                <c:pt idx="15">
                  <c:v>0.81450000000000011</c:v>
                </c:pt>
                <c:pt idx="16">
                  <c:v>0.82079999999999997</c:v>
                </c:pt>
                <c:pt idx="17">
                  <c:v>0.82709999999999995</c:v>
                </c:pt>
                <c:pt idx="18">
                  <c:v>0.83340000000000014</c:v>
                </c:pt>
                <c:pt idx="19">
                  <c:v>0.83970000000000011</c:v>
                </c:pt>
                <c:pt idx="20">
                  <c:v>0.84600000000000009</c:v>
                </c:pt>
                <c:pt idx="21">
                  <c:v>0.85230000000000017</c:v>
                </c:pt>
                <c:pt idx="22">
                  <c:v>0.85860000000000003</c:v>
                </c:pt>
                <c:pt idx="23">
                  <c:v>0.86490000000000011</c:v>
                </c:pt>
                <c:pt idx="24">
                  <c:v>0.87120000000000009</c:v>
                </c:pt>
                <c:pt idx="25">
                  <c:v>0.87749999999999995</c:v>
                </c:pt>
                <c:pt idx="26">
                  <c:v>0.88380000000000003</c:v>
                </c:pt>
                <c:pt idx="27">
                  <c:v>0.89010000000000011</c:v>
                </c:pt>
                <c:pt idx="28">
                  <c:v>0.89640000000000009</c:v>
                </c:pt>
                <c:pt idx="29">
                  <c:v>0.90270000000000017</c:v>
                </c:pt>
                <c:pt idx="30">
                  <c:v>0.90899999999999992</c:v>
                </c:pt>
                <c:pt idx="31">
                  <c:v>0.91530000000000011</c:v>
                </c:pt>
                <c:pt idx="32">
                  <c:v>0.92159999999999997</c:v>
                </c:pt>
                <c:pt idx="33">
                  <c:v>0.92790000000000006</c:v>
                </c:pt>
                <c:pt idx="34">
                  <c:v>0.93420000000000014</c:v>
                </c:pt>
                <c:pt idx="35">
                  <c:v>0.94050000000000022</c:v>
                </c:pt>
                <c:pt idx="36">
                  <c:v>0.9468000000000002</c:v>
                </c:pt>
                <c:pt idx="37">
                  <c:v>0.95310000000000006</c:v>
                </c:pt>
                <c:pt idx="38">
                  <c:v>0.95939999999999992</c:v>
                </c:pt>
                <c:pt idx="39">
                  <c:v>0.96570000000000022</c:v>
                </c:pt>
                <c:pt idx="40">
                  <c:v>0.97199999999999998</c:v>
                </c:pt>
                <c:pt idx="41">
                  <c:v>0.97830000000000006</c:v>
                </c:pt>
                <c:pt idx="42">
                  <c:v>0.98460000000000003</c:v>
                </c:pt>
                <c:pt idx="43">
                  <c:v>0.99090000000000023</c:v>
                </c:pt>
                <c:pt idx="44">
                  <c:v>0.9972000000000002</c:v>
                </c:pt>
                <c:pt idx="45">
                  <c:v>1.0035000000000001</c:v>
                </c:pt>
                <c:pt idx="46">
                  <c:v>1.0098</c:v>
                </c:pt>
                <c:pt idx="47">
                  <c:v>1.0161</c:v>
                </c:pt>
                <c:pt idx="48">
                  <c:v>1.0224000000000002</c:v>
                </c:pt>
                <c:pt idx="49">
                  <c:v>1.0287000000000002</c:v>
                </c:pt>
                <c:pt idx="50">
                  <c:v>1.0350000000000001</c:v>
                </c:pt>
                <c:pt idx="51">
                  <c:v>1.0413000000000001</c:v>
                </c:pt>
                <c:pt idx="52">
                  <c:v>1.0476000000000001</c:v>
                </c:pt>
                <c:pt idx="53">
                  <c:v>1.0539000000000001</c:v>
                </c:pt>
                <c:pt idx="54">
                  <c:v>1.0602</c:v>
                </c:pt>
                <c:pt idx="55">
                  <c:v>1.0665</c:v>
                </c:pt>
                <c:pt idx="56">
                  <c:v>1.0728</c:v>
                </c:pt>
                <c:pt idx="57">
                  <c:v>1.0791000000000002</c:v>
                </c:pt>
                <c:pt idx="58">
                  <c:v>1.0854000000000001</c:v>
                </c:pt>
                <c:pt idx="59">
                  <c:v>1.0917000000000001</c:v>
                </c:pt>
                <c:pt idx="60">
                  <c:v>1.0980000000000001</c:v>
                </c:pt>
                <c:pt idx="61">
                  <c:v>1.1043000000000001</c:v>
                </c:pt>
                <c:pt idx="62">
                  <c:v>1.1106</c:v>
                </c:pt>
                <c:pt idx="63">
                  <c:v>1.1169</c:v>
                </c:pt>
                <c:pt idx="64">
                  <c:v>1.1232000000000002</c:v>
                </c:pt>
                <c:pt idx="65">
                  <c:v>1.1295000000000002</c:v>
                </c:pt>
                <c:pt idx="66">
                  <c:v>1.1358000000000001</c:v>
                </c:pt>
                <c:pt idx="67">
                  <c:v>1.1421000000000001</c:v>
                </c:pt>
                <c:pt idx="68">
                  <c:v>1.1484000000000001</c:v>
                </c:pt>
                <c:pt idx="69">
                  <c:v>1.1547000000000001</c:v>
                </c:pt>
                <c:pt idx="70">
                  <c:v>1.161</c:v>
                </c:pt>
                <c:pt idx="71">
                  <c:v>1.1673</c:v>
                </c:pt>
                <c:pt idx="72">
                  <c:v>1.1736</c:v>
                </c:pt>
                <c:pt idx="73">
                  <c:v>1.1799000000000002</c:v>
                </c:pt>
                <c:pt idx="74">
                  <c:v>1.1861999999999999</c:v>
                </c:pt>
                <c:pt idx="75">
                  <c:v>1.1925000000000001</c:v>
                </c:pt>
                <c:pt idx="76">
                  <c:v>1.1988000000000001</c:v>
                </c:pt>
                <c:pt idx="77">
                  <c:v>1.2051000000000001</c:v>
                </c:pt>
                <c:pt idx="78">
                  <c:v>1.2114</c:v>
                </c:pt>
                <c:pt idx="79">
                  <c:v>1.2177000000000002</c:v>
                </c:pt>
                <c:pt idx="80">
                  <c:v>1.2240000000000002</c:v>
                </c:pt>
                <c:pt idx="81">
                  <c:v>1.2303000000000002</c:v>
                </c:pt>
                <c:pt idx="82">
                  <c:v>1.2366000000000001</c:v>
                </c:pt>
                <c:pt idx="83">
                  <c:v>1.2429000000000001</c:v>
                </c:pt>
                <c:pt idx="84">
                  <c:v>1.2492000000000001</c:v>
                </c:pt>
                <c:pt idx="85">
                  <c:v>1.2555000000000001</c:v>
                </c:pt>
                <c:pt idx="86">
                  <c:v>1.2618</c:v>
                </c:pt>
                <c:pt idx="87">
                  <c:v>1.2681</c:v>
                </c:pt>
                <c:pt idx="88">
                  <c:v>1.2744</c:v>
                </c:pt>
                <c:pt idx="89">
                  <c:v>1.2806999999999999</c:v>
                </c:pt>
                <c:pt idx="90">
                  <c:v>1.2870000000000001</c:v>
                </c:pt>
                <c:pt idx="91">
                  <c:v>1.2933000000000001</c:v>
                </c:pt>
                <c:pt idx="92">
                  <c:v>1.2996000000000001</c:v>
                </c:pt>
                <c:pt idx="93">
                  <c:v>1.3059000000000003</c:v>
                </c:pt>
                <c:pt idx="94">
                  <c:v>1.3122</c:v>
                </c:pt>
                <c:pt idx="95">
                  <c:v>1.3185000000000002</c:v>
                </c:pt>
                <c:pt idx="96">
                  <c:v>1.3248000000000002</c:v>
                </c:pt>
                <c:pt idx="97">
                  <c:v>1.3311000000000002</c:v>
                </c:pt>
                <c:pt idx="98">
                  <c:v>1.3374000000000004</c:v>
                </c:pt>
                <c:pt idx="99">
                  <c:v>1.3437000000000001</c:v>
                </c:pt>
                <c:pt idx="100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CEC-4362-AEC7-40F589340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0016896"/>
        <c:axId val="250018816"/>
      </c:scatterChart>
      <c:valAx>
        <c:axId val="250016896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493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0018816"/>
        <c:crosses val="autoZero"/>
        <c:crossBetween val="midCat"/>
      </c:valAx>
      <c:valAx>
        <c:axId val="250018816"/>
        <c:scaling>
          <c:orientation val="minMax"/>
          <c:max val="1.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Strain Range (%)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001689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74"/>
          <c:y val="8.644067796610122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Results!$D$1</c:f>
          <c:strCache>
            <c:ptCount val="1"/>
            <c:pt idx="0">
              <c:v>EQA01 Fatigue test</c:v>
            </c:pt>
          </c:strCache>
        </c:strRef>
      </c:tx>
      <c:layout>
        <c:manualLayout>
          <c:xMode val="edge"/>
          <c:yMode val="edge"/>
          <c:x val="0.4260599793174793"/>
          <c:y val="1.58192090395480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600" b="1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453636677007934E-2"/>
          <c:y val="8.4180790960452265E-2"/>
          <c:w val="0.87073422957601065"/>
          <c:h val="0.81016949152542372"/>
        </c:manualLayout>
      </c:layout>
      <c:scatterChart>
        <c:scatterStyle val="smoothMarker"/>
        <c:varyColors val="0"/>
        <c:ser>
          <c:idx val="1"/>
          <c:order val="0"/>
          <c:tx>
            <c:v>R = 0.10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(Results!$E$25:$E$28,Results!$E$31,Results!$E$33)</c:f>
              <c:numCache>
                <c:formatCode>0</c:formatCode>
                <c:ptCount val="6"/>
                <c:pt idx="0">
                  <c:v>10766</c:v>
                </c:pt>
                <c:pt idx="1">
                  <c:v>148187</c:v>
                </c:pt>
                <c:pt idx="2">
                  <c:v>581856</c:v>
                </c:pt>
                <c:pt idx="3">
                  <c:v>290916</c:v>
                </c:pt>
                <c:pt idx="4">
                  <c:v>35032</c:v>
                </c:pt>
                <c:pt idx="5">
                  <c:v>53299</c:v>
                </c:pt>
              </c:numCache>
            </c:numRef>
          </c:xVal>
          <c:yVal>
            <c:numRef>
              <c:f>(Results!$F$25:$F$28,Results!$F$31,Results!$F$33)</c:f>
              <c:numCache>
                <c:formatCode>0.00</c:formatCode>
                <c:ptCount val="6"/>
                <c:pt idx="0">
                  <c:v>573.42718500000001</c:v>
                </c:pt>
                <c:pt idx="1">
                  <c:v>417.16890599999999</c:v>
                </c:pt>
                <c:pt idx="2">
                  <c:v>348.11374500000005</c:v>
                </c:pt>
                <c:pt idx="3">
                  <c:v>376.86881999999997</c:v>
                </c:pt>
                <c:pt idx="4">
                  <c:v>512.45767299999989</c:v>
                </c:pt>
                <c:pt idx="5">
                  <c:v>467.13604800000002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32-4559-8385-5EBE2CCD4E52}"/>
            </c:ext>
          </c:extLst>
        </c:ser>
        <c:ser>
          <c:idx val="5"/>
          <c:order val="1"/>
          <c:tx>
            <c:v>R = 0.10 run out</c:v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Results!$E$32</c:f>
              <c:numCache>
                <c:formatCode>0</c:formatCode>
                <c:ptCount val="1"/>
                <c:pt idx="0">
                  <c:v>2000000</c:v>
                </c:pt>
              </c:numCache>
            </c:numRef>
          </c:xVal>
          <c:yVal>
            <c:numRef>
              <c:f>Results!$F$32</c:f>
              <c:numCache>
                <c:formatCode>0.00</c:formatCode>
                <c:ptCount val="1"/>
                <c:pt idx="0">
                  <c:v>306.26963199999994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32-4559-8385-5EBE2CCD4E52}"/>
            </c:ext>
          </c:extLst>
        </c:ser>
        <c:ser>
          <c:idx val="0"/>
          <c:order val="2"/>
          <c:tx>
            <c:v>50% Basquin line (S independent)</c:v>
          </c:tx>
          <c:spPr>
            <a:ln w="19050">
              <a:solidFill>
                <a:srgbClr val="0033CC"/>
              </a:solidFill>
            </a:ln>
          </c:spPr>
          <c:marker>
            <c:symbol val="none"/>
          </c:marker>
          <c:xVal>
            <c:numRef>
              <c:f>'ASTM E739 stat (Max Stress)'!$T$2:$T$102</c:f>
              <c:numCache>
                <c:formatCode>0</c:formatCode>
                <c:ptCount val="101"/>
                <c:pt idx="0">
                  <c:v>1625324.6343039046</c:v>
                </c:pt>
                <c:pt idx="1">
                  <c:v>1518094.8376177859</c:v>
                </c:pt>
                <c:pt idx="2">
                  <c:v>1418772.9891762121</c:v>
                </c:pt>
                <c:pt idx="3">
                  <c:v>1326715.4450460619</c:v>
                </c:pt>
                <c:pt idx="4">
                  <c:v>1241335.7880814644</c:v>
                </c:pt>
                <c:pt idx="5">
                  <c:v>1162099.3166083673</c:v>
                </c:pt>
                <c:pt idx="6">
                  <c:v>1088518.1039865443</c:v>
                </c:pt>
                <c:pt idx="7">
                  <c:v>1020146.5658291252</c:v>
                </c:pt>
                <c:pt idx="8">
                  <c:v>956577.47910561517</c:v>
                </c:pt>
                <c:pt idx="9">
                  <c:v>897438.40387278609</c:v>
                </c:pt>
                <c:pt idx="10">
                  <c:v>842388.46408853645</c:v>
                </c:pt>
                <c:pt idx="11">
                  <c:v>791115.44897420262</c:v>
                </c:pt>
                <c:pt idx="12">
                  <c:v>743333.20079007896</c:v>
                </c:pt>
                <c:pt idx="13">
                  <c:v>698779.2587563619</c:v>
                </c:pt>
                <c:pt idx="14">
                  <c:v>657212.73225541133</c:v>
                </c:pt>
                <c:pt idx="15">
                  <c:v>618412.37944881956</c:v>
                </c:pt>
                <c:pt idx="16">
                  <c:v>582174.87008684059</c:v>
                </c:pt>
                <c:pt idx="17">
                  <c:v>548313.21362067608</c:v>
                </c:pt>
                <c:pt idx="18">
                  <c:v>516655.33579009306</c:v>
                </c:pt>
                <c:pt idx="19">
                  <c:v>487042.78868184745</c:v>
                </c:pt>
                <c:pt idx="20">
                  <c:v>459329.58086826187</c:v>
                </c:pt>
                <c:pt idx="21">
                  <c:v>433381.11566545488</c:v>
                </c:pt>
                <c:pt idx="22">
                  <c:v>409073.22681871394</c:v>
                </c:pt>
                <c:pt idx="23">
                  <c:v>386291.30204816564</c:v>
                </c:pt>
                <c:pt idx="24">
                  <c:v>364929.48588814185</c:v>
                </c:pt>
                <c:pt idx="25">
                  <c:v>344889.95414270618</c:v>
                </c:pt>
                <c:pt idx="26">
                  <c:v>326082.25307136279</c:v>
                </c:pt>
                <c:pt idx="27">
                  <c:v>308422.69712395227</c:v>
                </c:pt>
                <c:pt idx="28">
                  <c:v>291833.81967211835</c:v>
                </c:pt>
                <c:pt idx="29">
                  <c:v>276243.871745507</c:v>
                </c:pt>
                <c:pt idx="30">
                  <c:v>261586.36428159635</c:v>
                </c:pt>
                <c:pt idx="31">
                  <c:v>247799.64984544515</c:v>
                </c:pt>
                <c:pt idx="32">
                  <c:v>234826.54017586715</c:v>
                </c:pt>
                <c:pt idx="33">
                  <c:v>222613.95627280095</c:v>
                </c:pt>
                <c:pt idx="34">
                  <c:v>211112.60806141625</c:v>
                </c:pt>
                <c:pt idx="35">
                  <c:v>200276.70095621177</c:v>
                </c:pt>
                <c:pt idx="36">
                  <c:v>190063.66690637855</c:v>
                </c:pt>
                <c:pt idx="37">
                  <c:v>180433.91773533652</c:v>
                </c:pt>
                <c:pt idx="38">
                  <c:v>171350.61879554694</c:v>
                </c:pt>
                <c:pt idx="39">
                  <c:v>162779.48114680729</c:v>
                </c:pt>
                <c:pt idx="40">
                  <c:v>154688.57063456503</c:v>
                </c:pt>
                <c:pt idx="41">
                  <c:v>147048.13239643432</c:v>
                </c:pt>
                <c:pt idx="42">
                  <c:v>139830.42946161589</c:v>
                </c:pt>
                <c:pt idx="43">
                  <c:v>133009.59423110913</c:v>
                </c:pt>
                <c:pt idx="44">
                  <c:v>126561.49173762735</c:v>
                </c:pt>
                <c:pt idx="45">
                  <c:v>120463.59368448188</c:v>
                </c:pt>
                <c:pt idx="46">
                  <c:v>114694.86235325012</c:v>
                </c:pt>
                <c:pt idx="47">
                  <c:v>109235.6435519728</c:v>
                </c:pt>
                <c:pt idx="48">
                  <c:v>104067.56784968855</c:v>
                </c:pt>
                <c:pt idx="49">
                  <c:v>99173.459410168769</c:v>
                </c:pt>
                <c:pt idx="50">
                  <c:v>94537.251798453115</c:v>
                </c:pt>
                <c:pt idx="51">
                  <c:v>90143.910188801165</c:v>
                </c:pt>
                <c:pt idx="52">
                  <c:v>85979.359452589619</c:v>
                </c:pt>
                <c:pt idx="53">
                  <c:v>82030.417649971845</c:v>
                </c:pt>
                <c:pt idx="54">
                  <c:v>78284.734490193543</c:v>
                </c:pt>
                <c:pt idx="55">
                  <c:v>74730.734362834657</c:v>
                </c:pt>
                <c:pt idx="56">
                  <c:v>71357.563576167231</c:v>
                </c:pt>
                <c:pt idx="57">
                  <c:v>68155.041469691016</c:v>
                </c:pt>
                <c:pt idx="58">
                  <c:v>65113.615095993722</c:v>
                </c:pt>
                <c:pt idx="59">
                  <c:v>62224.317192668648</c:v>
                </c:pt>
                <c:pt idx="60">
                  <c:v>59478.727188298835</c:v>
                </c:pt>
                <c:pt idx="61">
                  <c:v>56868.935007769483</c:v>
                </c:pt>
                <c:pt idx="62">
                  <c:v>54387.507461521876</c:v>
                </c:pt>
                <c:pt idx="63">
                  <c:v>52027.457021035741</c:v>
                </c:pt>
                <c:pt idx="64">
                  <c:v>49782.212798963956</c:v>
                </c:pt>
                <c:pt idx="65">
                  <c:v>47645.593567060059</c:v>
                </c:pt>
                <c:pt idx="66">
                  <c:v>45611.78265852615</c:v>
                </c:pt>
                <c:pt idx="67">
                  <c:v>43675.304613698638</c:v>
                </c:pt>
                <c:pt idx="68">
                  <c:v>41831.003439265449</c:v>
                </c:pt>
                <c:pt idx="69">
                  <c:v>40074.022361512063</c:v>
                </c:pt>
                <c:pt idx="70">
                  <c:v>38399.784963530605</c:v>
                </c:pt>
                <c:pt idx="71">
                  <c:v>36803.977604972984</c:v>
                </c:pt>
                <c:pt idx="72">
                  <c:v>35282.533030863102</c:v>
                </c:pt>
                <c:pt idx="73">
                  <c:v>33831.615083240053</c:v>
                </c:pt>
                <c:pt idx="74">
                  <c:v>32447.604436081896</c:v>
                </c:pt>
                <c:pt idx="75">
                  <c:v>31127.085280073086</c:v>
                </c:pt>
                <c:pt idx="76">
                  <c:v>29866.832889409314</c:v>
                </c:pt>
                <c:pt idx="77">
                  <c:v>28663.802007984003</c:v>
                </c:pt>
                <c:pt idx="78">
                  <c:v>27515.115997060762</c:v>
                </c:pt>
                <c:pt idx="79">
                  <c:v>26418.056690889931</c:v>
                </c:pt>
                <c:pt idx="80">
                  <c:v>25370.05491075118</c:v>
                </c:pt>
                <c:pt idx="81">
                  <c:v>24368.681591591114</c:v>
                </c:pt>
                <c:pt idx="82">
                  <c:v>23411.639478836238</c:v>
                </c:pt>
                <c:pt idx="83">
                  <c:v>22496.755356086698</c:v>
                </c:pt>
                <c:pt idx="84">
                  <c:v>21621.972767294035</c:v>
                </c:pt>
                <c:pt idx="85">
                  <c:v>20785.345199679883</c:v>
                </c:pt>
                <c:pt idx="86">
                  <c:v>19985.029696117377</c:v>
                </c:pt>
                <c:pt idx="87">
                  <c:v>19219.280867954581</c:v>
                </c:pt>
                <c:pt idx="88">
                  <c:v>18486.445281358439</c:v>
                </c:pt>
                <c:pt idx="89">
                  <c:v>17784.95619218377</c:v>
                </c:pt>
                <c:pt idx="90">
                  <c:v>17113.32860615983</c:v>
                </c:pt>
                <c:pt idx="91">
                  <c:v>16470.154642834281</c:v>
                </c:pt>
                <c:pt idx="92">
                  <c:v>15854.09918323929</c:v>
                </c:pt>
                <c:pt idx="93">
                  <c:v>15263.895782654821</c:v>
                </c:pt>
                <c:pt idx="94">
                  <c:v>14698.342831149161</c:v>
                </c:pt>
                <c:pt idx="95">
                  <c:v>14156.299945783538</c:v>
                </c:pt>
                <c:pt idx="96">
                  <c:v>13636.684579485778</c:v>
                </c:pt>
                <c:pt idx="97">
                  <c:v>13138.468832635643</c:v>
                </c:pt>
                <c:pt idx="98">
                  <c:v>12660.676454360437</c:v>
                </c:pt>
                <c:pt idx="99">
                  <c:v>12202.380021434114</c:v>
                </c:pt>
                <c:pt idx="100">
                  <c:v>11762.698283491689</c:v>
                </c:pt>
              </c:numCache>
            </c:numRef>
          </c:xVal>
          <c:yVal>
            <c:numRef>
              <c:f>'ASTM E739 stat (Max Stress)'!$U$2:$U$102</c:f>
              <c:numCache>
                <c:formatCode>0.0</c:formatCode>
                <c:ptCount val="101"/>
                <c:pt idx="0">
                  <c:v>306.26963200000017</c:v>
                </c:pt>
                <c:pt idx="1">
                  <c:v>308.94120752999993</c:v>
                </c:pt>
                <c:pt idx="2">
                  <c:v>311.61278306000014</c:v>
                </c:pt>
                <c:pt idx="3">
                  <c:v>314.28435859000024</c:v>
                </c:pt>
                <c:pt idx="4">
                  <c:v>316.95593411999999</c:v>
                </c:pt>
                <c:pt idx="5">
                  <c:v>319.62750965000004</c:v>
                </c:pt>
                <c:pt idx="6">
                  <c:v>322.29908517999996</c:v>
                </c:pt>
                <c:pt idx="7">
                  <c:v>324.97066070999989</c:v>
                </c:pt>
                <c:pt idx="8">
                  <c:v>327.64223624000005</c:v>
                </c:pt>
                <c:pt idx="9">
                  <c:v>330.3138117700002</c:v>
                </c:pt>
                <c:pt idx="10">
                  <c:v>332.98538730000024</c:v>
                </c:pt>
                <c:pt idx="11">
                  <c:v>335.65696283000028</c:v>
                </c:pt>
                <c:pt idx="12">
                  <c:v>338.32853836000015</c:v>
                </c:pt>
                <c:pt idx="13">
                  <c:v>341.00011389000002</c:v>
                </c:pt>
                <c:pt idx="14">
                  <c:v>343.67168942000012</c:v>
                </c:pt>
                <c:pt idx="15">
                  <c:v>346.34326495000005</c:v>
                </c:pt>
                <c:pt idx="16">
                  <c:v>349.01484048000015</c:v>
                </c:pt>
                <c:pt idx="17">
                  <c:v>351.68641601000013</c:v>
                </c:pt>
                <c:pt idx="18">
                  <c:v>354.35799154000017</c:v>
                </c:pt>
                <c:pt idx="19">
                  <c:v>357.02956707000021</c:v>
                </c:pt>
                <c:pt idx="20">
                  <c:v>359.70114260000014</c:v>
                </c:pt>
                <c:pt idx="21">
                  <c:v>362.37271813000024</c:v>
                </c:pt>
                <c:pt idx="22">
                  <c:v>365.04429366000016</c:v>
                </c:pt>
                <c:pt idx="23">
                  <c:v>367.71586919000021</c:v>
                </c:pt>
                <c:pt idx="24">
                  <c:v>370.38744472000025</c:v>
                </c:pt>
                <c:pt idx="25">
                  <c:v>373.0590202500004</c:v>
                </c:pt>
                <c:pt idx="26">
                  <c:v>375.73059578000033</c:v>
                </c:pt>
                <c:pt idx="27">
                  <c:v>378.40217131000048</c:v>
                </c:pt>
                <c:pt idx="28">
                  <c:v>381.07374684000007</c:v>
                </c:pt>
                <c:pt idx="29">
                  <c:v>383.74532237000011</c:v>
                </c:pt>
                <c:pt idx="30">
                  <c:v>386.41689790000021</c:v>
                </c:pt>
                <c:pt idx="31">
                  <c:v>389.08847343000014</c:v>
                </c:pt>
                <c:pt idx="32">
                  <c:v>391.76004896000018</c:v>
                </c:pt>
                <c:pt idx="33">
                  <c:v>394.43162449000005</c:v>
                </c:pt>
                <c:pt idx="34">
                  <c:v>397.10320001999992</c:v>
                </c:pt>
                <c:pt idx="35">
                  <c:v>399.77477555000019</c:v>
                </c:pt>
                <c:pt idx="36">
                  <c:v>402.44635108000034</c:v>
                </c:pt>
                <c:pt idx="37">
                  <c:v>405.11792661000015</c:v>
                </c:pt>
                <c:pt idx="38">
                  <c:v>407.7895021400002</c:v>
                </c:pt>
                <c:pt idx="39">
                  <c:v>410.4610776699999</c:v>
                </c:pt>
                <c:pt idx="40">
                  <c:v>413.13265320000011</c:v>
                </c:pt>
                <c:pt idx="41">
                  <c:v>415.80422872999998</c:v>
                </c:pt>
                <c:pt idx="42">
                  <c:v>418.47580426000013</c:v>
                </c:pt>
                <c:pt idx="43">
                  <c:v>421.14737979</c:v>
                </c:pt>
                <c:pt idx="44">
                  <c:v>423.81895532000044</c:v>
                </c:pt>
                <c:pt idx="45">
                  <c:v>426.49053085000014</c:v>
                </c:pt>
                <c:pt idx="46">
                  <c:v>429.16210638000013</c:v>
                </c:pt>
                <c:pt idx="47">
                  <c:v>431.83368191000028</c:v>
                </c:pt>
                <c:pt idx="48">
                  <c:v>434.50525744000015</c:v>
                </c:pt>
                <c:pt idx="49">
                  <c:v>437.17683297000031</c:v>
                </c:pt>
                <c:pt idx="50">
                  <c:v>439.84840850000046</c:v>
                </c:pt>
                <c:pt idx="51">
                  <c:v>442.51998403000027</c:v>
                </c:pt>
                <c:pt idx="52">
                  <c:v>445.19155956000026</c:v>
                </c:pt>
                <c:pt idx="53">
                  <c:v>447.86313509000013</c:v>
                </c:pt>
                <c:pt idx="54">
                  <c:v>450.53471062000017</c:v>
                </c:pt>
                <c:pt idx="55">
                  <c:v>453.20628615000015</c:v>
                </c:pt>
                <c:pt idx="56">
                  <c:v>455.87786168000042</c:v>
                </c:pt>
                <c:pt idx="57">
                  <c:v>458.54943721000018</c:v>
                </c:pt>
                <c:pt idx="58">
                  <c:v>461.2210127400005</c:v>
                </c:pt>
                <c:pt idx="59">
                  <c:v>463.89258826999986</c:v>
                </c:pt>
                <c:pt idx="60">
                  <c:v>466.56416380000013</c:v>
                </c:pt>
                <c:pt idx="61">
                  <c:v>469.23573933000063</c:v>
                </c:pt>
                <c:pt idx="62">
                  <c:v>471.90731486000033</c:v>
                </c:pt>
                <c:pt idx="63">
                  <c:v>474.57889039000014</c:v>
                </c:pt>
                <c:pt idx="64">
                  <c:v>477.25046592000007</c:v>
                </c:pt>
                <c:pt idx="65">
                  <c:v>479.92204145000039</c:v>
                </c:pt>
                <c:pt idx="66">
                  <c:v>482.59361698000021</c:v>
                </c:pt>
                <c:pt idx="67">
                  <c:v>485.26519251000008</c:v>
                </c:pt>
                <c:pt idx="68">
                  <c:v>487.93676804000029</c:v>
                </c:pt>
                <c:pt idx="69">
                  <c:v>490.60834357000044</c:v>
                </c:pt>
                <c:pt idx="70">
                  <c:v>493.27991910000065</c:v>
                </c:pt>
                <c:pt idx="71">
                  <c:v>495.95149463000018</c:v>
                </c:pt>
                <c:pt idx="72">
                  <c:v>498.62307016000034</c:v>
                </c:pt>
                <c:pt idx="73">
                  <c:v>501.29464569000044</c:v>
                </c:pt>
                <c:pt idx="74">
                  <c:v>503.96622122000031</c:v>
                </c:pt>
                <c:pt idx="75">
                  <c:v>506.63779675000058</c:v>
                </c:pt>
                <c:pt idx="76">
                  <c:v>509.3093722800005</c:v>
                </c:pt>
                <c:pt idx="77">
                  <c:v>511.98094781000037</c:v>
                </c:pt>
                <c:pt idx="78">
                  <c:v>514.65252334000013</c:v>
                </c:pt>
                <c:pt idx="79">
                  <c:v>517.32409886999994</c:v>
                </c:pt>
                <c:pt idx="80">
                  <c:v>519.99567440000033</c:v>
                </c:pt>
                <c:pt idx="81">
                  <c:v>522.66724993000014</c:v>
                </c:pt>
                <c:pt idx="82">
                  <c:v>525.33882546000007</c:v>
                </c:pt>
                <c:pt idx="83">
                  <c:v>528.01040099000068</c:v>
                </c:pt>
                <c:pt idx="84">
                  <c:v>530.68197652000003</c:v>
                </c:pt>
                <c:pt idx="85">
                  <c:v>533.35355205000064</c:v>
                </c:pt>
                <c:pt idx="86">
                  <c:v>536.02512758000046</c:v>
                </c:pt>
                <c:pt idx="87">
                  <c:v>538.69670311000039</c:v>
                </c:pt>
                <c:pt idx="88">
                  <c:v>541.36827864000031</c:v>
                </c:pt>
                <c:pt idx="89">
                  <c:v>544.03985417000001</c:v>
                </c:pt>
                <c:pt idx="90">
                  <c:v>546.71142970000039</c:v>
                </c:pt>
                <c:pt idx="91">
                  <c:v>549.38300523000021</c:v>
                </c:pt>
                <c:pt idx="92">
                  <c:v>552.05458076000014</c:v>
                </c:pt>
                <c:pt idx="93">
                  <c:v>554.72615629000029</c:v>
                </c:pt>
                <c:pt idx="94">
                  <c:v>557.39773182000056</c:v>
                </c:pt>
                <c:pt idx="95">
                  <c:v>560.06930735000037</c:v>
                </c:pt>
                <c:pt idx="96">
                  <c:v>562.7408828800003</c:v>
                </c:pt>
                <c:pt idx="97">
                  <c:v>565.41245841000011</c:v>
                </c:pt>
                <c:pt idx="98">
                  <c:v>568.08403394000027</c:v>
                </c:pt>
                <c:pt idx="99">
                  <c:v>570.75560947000031</c:v>
                </c:pt>
                <c:pt idx="100">
                  <c:v>573.42718500000001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32-4559-8385-5EBE2CCD4E52}"/>
            </c:ext>
          </c:extLst>
        </c:ser>
        <c:ser>
          <c:idx val="4"/>
          <c:order val="3"/>
          <c:tx>
            <c:v>Lower 95% confi.</c:v>
          </c:tx>
          <c:spPr>
            <a:ln w="19050">
              <a:solidFill>
                <a:srgbClr val="0070C0"/>
              </a:solidFill>
              <a:prstDash val="sysDash"/>
            </a:ln>
          </c:spPr>
          <c:marker>
            <c:symbol val="none"/>
          </c:marker>
          <c:xVal>
            <c:numRef>
              <c:f>'ASTM E739 stat (Max Stress)'!$V$2:$V$102</c:f>
              <c:numCache>
                <c:formatCode>0</c:formatCode>
                <c:ptCount val="101"/>
                <c:pt idx="0">
                  <c:v>1207425.9096038803</c:v>
                </c:pt>
                <c:pt idx="1">
                  <c:v>1134330.1391801245</c:v>
                </c:pt>
                <c:pt idx="2">
                  <c:v>1066183.547128083</c:v>
                </c:pt>
                <c:pt idx="3">
                  <c:v>1002612.9930648854</c:v>
                </c:pt>
                <c:pt idx="4">
                  <c:v>943276.27343053196</c:v>
                </c:pt>
                <c:pt idx="5">
                  <c:v>887859.32735651848</c:v>
                </c:pt>
                <c:pt idx="6">
                  <c:v>836073.71550574875</c:v>
                </c:pt>
                <c:pt idx="7">
                  <c:v>787654.34326386789</c:v>
                </c:pt>
                <c:pt idx="8">
                  <c:v>742357.40286685969</c:v>
                </c:pt>
                <c:pt idx="9">
                  <c:v>699958.5118737244</c:v>
                </c:pt>
                <c:pt idx="10">
                  <c:v>660251.0278827654</c:v>
                </c:pt>
                <c:pt idx="11">
                  <c:v>623044.52158853295</c:v>
                </c:pt>
                <c:pt idx="12">
                  <c:v>588163.39221869665</c:v>
                </c:pt>
                <c:pt idx="13">
                  <c:v>555445.61110789364</c:v>
                </c:pt>
                <c:pt idx="14">
                  <c:v>524741.58068676887</c:v>
                </c:pt>
                <c:pt idx="15">
                  <c:v>495913.09751142497</c:v>
                </c:pt>
                <c:pt idx="16">
                  <c:v>468832.40915374737</c:v>
                </c:pt>
                <c:pt idx="17">
                  <c:v>443381.35583310737</c:v>
                </c:pt>
                <c:pt idx="18">
                  <c:v>419450.58861196536</c:v>
                </c:pt>
                <c:pt idx="19">
                  <c:v>396938.85681472148</c:v>
                </c:pt>
                <c:pt idx="20">
                  <c:v>375752.35807359865</c:v>
                </c:pt>
                <c:pt idx="21">
                  <c:v>355804.14506811654</c:v>
                </c:pt>
                <c:pt idx="22">
                  <c:v>337013.58361487364</c:v>
                </c:pt>
                <c:pt idx="23">
                  <c:v>319305.85729075351</c:v>
                </c:pt>
                <c:pt idx="24">
                  <c:v>302611.51424272865</c:v>
                </c:pt>
                <c:pt idx="25">
                  <c:v>286866.05225748761</c:v>
                </c:pt>
                <c:pt idx="26">
                  <c:v>272009.53854066279</c:v>
                </c:pt>
                <c:pt idx="27">
                  <c:v>257986.26099363895</c:v>
                </c:pt>
                <c:pt idx="28">
                  <c:v>244744.40808057328</c:v>
                </c:pt>
                <c:pt idx="29">
                  <c:v>232235.77465403703</c:v>
                </c:pt>
                <c:pt idx="30">
                  <c:v>220415.49135829153</c:v>
                </c:pt>
                <c:pt idx="31">
                  <c:v>209241.77545807688</c:v>
                </c:pt>
                <c:pt idx="32">
                  <c:v>198675.70115099323</c:v>
                </c:pt>
                <c:pt idx="33">
                  <c:v>188680.98761541522</c:v>
                </c:pt>
                <c:pt idx="34">
                  <c:v>179223.8032251728</c:v>
                </c:pt>
                <c:pt idx="35">
                  <c:v>170272.58452844567</c:v>
                </c:pt>
                <c:pt idx="36">
                  <c:v>161797.86874198064</c:v>
                </c:pt>
                <c:pt idx="37">
                  <c:v>153772.13865313755</c:v>
                </c:pt>
                <c:pt idx="38">
                  <c:v>146169.67895130685</c:v>
                </c:pt>
                <c:pt idx="39">
                  <c:v>138966.44312625931</c:v>
                </c:pt>
                <c:pt idx="40">
                  <c:v>132139.93017348438</c:v>
                </c:pt>
                <c:pt idx="41">
                  <c:v>125669.0704351232</c:v>
                </c:pt>
                <c:pt idx="42">
                  <c:v>119534.11997927343</c:v>
                </c:pt>
                <c:pt idx="43">
                  <c:v>113716.56298060695</c:v>
                </c:pt>
                <c:pt idx="44">
                  <c:v>108199.02161192067</c:v>
                </c:pt>
                <c:pt idx="45">
                  <c:v>102965.17299085476</c:v>
                </c:pt>
                <c:pt idx="46">
                  <c:v>97999.672750144673</c:v>
                </c:pt>
                <c:pt idx="47">
                  <c:v>93288.084815710172</c:v>
                </c:pt>
                <c:pt idx="48">
                  <c:v>88816.816986865393</c:v>
                </c:pt>
                <c:pt idx="49">
                  <c:v>84573.061919392407</c:v>
                </c:pt>
                <c:pt idx="50">
                  <c:v>80544.743117374615</c:v>
                </c:pt>
                <c:pt idx="51">
                  <c:v>76720.465545329425</c:v>
                </c:pt>
                <c:pt idx="52">
                  <c:v>73089.470479856289</c:v>
                </c:pt>
                <c:pt idx="53">
                  <c:v>69641.594230583898</c:v>
                </c:pt>
                <c:pt idx="54">
                  <c:v>66367.230374094608</c:v>
                </c:pt>
                <c:pt idx="55">
                  <c:v>63257.295161819762</c:v>
                </c:pt>
                <c:pt idx="56">
                  <c:v>60303.195783166244</c:v>
                </c:pt>
                <c:pt idx="57">
                  <c:v>57496.801187822937</c:v>
                </c:pt>
                <c:pt idx="58">
                  <c:v>54830.415195533351</c:v>
                </c:pt>
                <c:pt idx="59">
                  <c:v>52296.751646812292</c:v>
                </c:pt>
                <c:pt idx="60">
                  <c:v>49888.911373332143</c:v>
                </c:pt>
                <c:pt idx="61">
                  <c:v>47600.360791374202</c:v>
                </c:pt>
                <c:pt idx="62">
                  <c:v>45424.911945220985</c:v>
                </c:pt>
                <c:pt idx="63">
                  <c:v>43356.703849259276</c:v>
                </c:pt>
                <c:pt idx="64">
                  <c:v>41390.184997593533</c:v>
                </c:pt>
                <c:pt idx="65">
                  <c:v>39520.096927931241</c:v>
                </c:pt>
                <c:pt idx="66">
                  <c:v>37741.458742423347</c:v>
                </c:pt>
                <c:pt idx="67">
                  <c:v>36049.552501975319</c:v>
                </c:pt>
                <c:pt idx="68">
                  <c:v>34439.909422464101</c:v>
                </c:pt>
                <c:pt idx="69">
                  <c:v>32908.296811420762</c:v>
                </c:pt>
                <c:pt idx="70">
                  <c:v>31450.705692228745</c:v>
                </c:pt>
                <c:pt idx="71">
                  <c:v>30063.339069975813</c:v>
                </c:pt>
                <c:pt idx="72">
                  <c:v>28742.600798935731</c:v>
                </c:pt>
                <c:pt idx="73">
                  <c:v>27485.085016435267</c:v>
                </c:pt>
                <c:pt idx="74">
                  <c:v>26287.566111763474</c:v>
                </c:pt>
                <c:pt idx="75">
                  <c:v>25146.989201941607</c:v>
                </c:pt>
                <c:pt idx="76">
                  <c:v>24060.461088739947</c:v>
                </c:pt>
                <c:pt idx="77">
                  <c:v>23025.241673397486</c:v>
                </c:pt>
                <c:pt idx="78">
                  <c:v>22038.735807210218</c:v>
                </c:pt>
                <c:pt idx="79">
                  <c:v>21098.485557532895</c:v>
                </c:pt>
                <c:pt idx="80">
                  <c:v>20202.16286991127</c:v>
                </c:pt>
                <c:pt idx="81">
                  <c:v>19347.562608029846</c:v>
                </c:pt>
                <c:pt idx="82">
                  <c:v>18532.595954016651</c:v>
                </c:pt>
                <c:pt idx="83">
                  <c:v>17755.284152380798</c:v>
                </c:pt>
                <c:pt idx="84">
                  <c:v>17013.752581539047</c:v>
                </c:pt>
                <c:pt idx="85">
                  <c:v>16306.225137496092</c:v>
                </c:pt>
                <c:pt idx="86">
                  <c:v>15631.018914832064</c:v>
                </c:pt>
                <c:pt idx="87">
                  <c:v>14986.539170693151</c:v>
                </c:pt>
                <c:pt idx="88">
                  <c:v>14371.274558022993</c:v>
                </c:pt>
                <c:pt idx="89">
                  <c:v>13783.792614785048</c:v>
                </c:pt>
                <c:pt idx="90">
                  <c:v>13222.735496437672</c:v>
                </c:pt>
                <c:pt idx="91">
                  <c:v>12686.815939421476</c:v>
                </c:pt>
                <c:pt idx="92">
                  <c:v>12174.813443909978</c:v>
                </c:pt>
                <c:pt idx="93">
                  <c:v>11685.570664558827</c:v>
                </c:pt>
                <c:pt idx="94">
                  <c:v>11217.989998464103</c:v>
                </c:pt>
                <c:pt idx="95">
                  <c:v>10771.030360008112</c:v>
                </c:pt>
                <c:pt idx="96">
                  <c:v>10343.704132726843</c:v>
                </c:pt>
                <c:pt idx="97">
                  <c:v>9935.0742887849246</c:v>
                </c:pt>
                <c:pt idx="98">
                  <c:v>9544.2516670754103</c:v>
                </c:pt>
                <c:pt idx="99">
                  <c:v>9170.3924013922988</c:v>
                </c:pt>
                <c:pt idx="100">
                  <c:v>8812.6954905304774</c:v>
                </c:pt>
              </c:numCache>
            </c:numRef>
          </c:xVal>
          <c:yVal>
            <c:numRef>
              <c:f>'ASTM E739 stat (Max Stress)'!$W$2:$W$102</c:f>
              <c:numCache>
                <c:formatCode>0.0</c:formatCode>
                <c:ptCount val="101"/>
                <c:pt idx="0">
                  <c:v>306.26963200000017</c:v>
                </c:pt>
                <c:pt idx="1">
                  <c:v>308.94120752999993</c:v>
                </c:pt>
                <c:pt idx="2">
                  <c:v>311.61278306000014</c:v>
                </c:pt>
                <c:pt idx="3">
                  <c:v>314.28435859000024</c:v>
                </c:pt>
                <c:pt idx="4">
                  <c:v>316.95593411999999</c:v>
                </c:pt>
                <c:pt idx="5">
                  <c:v>319.62750965000004</c:v>
                </c:pt>
                <c:pt idx="6">
                  <c:v>322.29908517999996</c:v>
                </c:pt>
                <c:pt idx="7">
                  <c:v>324.97066070999989</c:v>
                </c:pt>
                <c:pt idx="8">
                  <c:v>327.64223624000005</c:v>
                </c:pt>
                <c:pt idx="9">
                  <c:v>330.3138117700002</c:v>
                </c:pt>
                <c:pt idx="10">
                  <c:v>332.98538730000024</c:v>
                </c:pt>
                <c:pt idx="11">
                  <c:v>335.65696283000028</c:v>
                </c:pt>
                <c:pt idx="12">
                  <c:v>338.32853836000015</c:v>
                </c:pt>
                <c:pt idx="13">
                  <c:v>341.00011389000002</c:v>
                </c:pt>
                <c:pt idx="14">
                  <c:v>343.67168942000012</c:v>
                </c:pt>
                <c:pt idx="15">
                  <c:v>346.34326495000005</c:v>
                </c:pt>
                <c:pt idx="16">
                  <c:v>349.01484048000015</c:v>
                </c:pt>
                <c:pt idx="17">
                  <c:v>351.68641601000013</c:v>
                </c:pt>
                <c:pt idx="18">
                  <c:v>354.35799154000017</c:v>
                </c:pt>
                <c:pt idx="19">
                  <c:v>357.02956707000021</c:v>
                </c:pt>
                <c:pt idx="20">
                  <c:v>359.70114260000014</c:v>
                </c:pt>
                <c:pt idx="21">
                  <c:v>362.37271813000024</c:v>
                </c:pt>
                <c:pt idx="22">
                  <c:v>365.04429366000016</c:v>
                </c:pt>
                <c:pt idx="23">
                  <c:v>367.71586919000021</c:v>
                </c:pt>
                <c:pt idx="24">
                  <c:v>370.38744472000025</c:v>
                </c:pt>
                <c:pt idx="25">
                  <c:v>373.0590202500004</c:v>
                </c:pt>
                <c:pt idx="26">
                  <c:v>375.73059578000033</c:v>
                </c:pt>
                <c:pt idx="27">
                  <c:v>378.40217131000048</c:v>
                </c:pt>
                <c:pt idx="28">
                  <c:v>381.07374684000007</c:v>
                </c:pt>
                <c:pt idx="29">
                  <c:v>383.74532237000011</c:v>
                </c:pt>
                <c:pt idx="30">
                  <c:v>386.41689790000021</c:v>
                </c:pt>
                <c:pt idx="31">
                  <c:v>389.08847343000014</c:v>
                </c:pt>
                <c:pt idx="32">
                  <c:v>391.76004896000018</c:v>
                </c:pt>
                <c:pt idx="33">
                  <c:v>394.43162449000005</c:v>
                </c:pt>
                <c:pt idx="34">
                  <c:v>397.10320001999992</c:v>
                </c:pt>
                <c:pt idx="35">
                  <c:v>399.77477555000019</c:v>
                </c:pt>
                <c:pt idx="36">
                  <c:v>402.44635108000034</c:v>
                </c:pt>
                <c:pt idx="37">
                  <c:v>405.11792661000015</c:v>
                </c:pt>
                <c:pt idx="38">
                  <c:v>407.7895021400002</c:v>
                </c:pt>
                <c:pt idx="39">
                  <c:v>410.4610776699999</c:v>
                </c:pt>
                <c:pt idx="40">
                  <c:v>413.13265320000011</c:v>
                </c:pt>
                <c:pt idx="41">
                  <c:v>415.80422872999998</c:v>
                </c:pt>
                <c:pt idx="42">
                  <c:v>418.47580426000013</c:v>
                </c:pt>
                <c:pt idx="43">
                  <c:v>421.14737979</c:v>
                </c:pt>
                <c:pt idx="44">
                  <c:v>423.81895532000044</c:v>
                </c:pt>
                <c:pt idx="45">
                  <c:v>426.49053085000014</c:v>
                </c:pt>
                <c:pt idx="46">
                  <c:v>429.16210638000013</c:v>
                </c:pt>
                <c:pt idx="47">
                  <c:v>431.83368191000028</c:v>
                </c:pt>
                <c:pt idx="48">
                  <c:v>434.50525744000015</c:v>
                </c:pt>
                <c:pt idx="49">
                  <c:v>437.17683297000031</c:v>
                </c:pt>
                <c:pt idx="50">
                  <c:v>439.84840850000046</c:v>
                </c:pt>
                <c:pt idx="51">
                  <c:v>442.51998403000027</c:v>
                </c:pt>
                <c:pt idx="52">
                  <c:v>445.19155956000026</c:v>
                </c:pt>
                <c:pt idx="53">
                  <c:v>447.86313509000013</c:v>
                </c:pt>
                <c:pt idx="54">
                  <c:v>450.53471062000017</c:v>
                </c:pt>
                <c:pt idx="55">
                  <c:v>453.20628615000015</c:v>
                </c:pt>
                <c:pt idx="56">
                  <c:v>455.87786168000042</c:v>
                </c:pt>
                <c:pt idx="57">
                  <c:v>458.54943721000018</c:v>
                </c:pt>
                <c:pt idx="58">
                  <c:v>461.2210127400005</c:v>
                </c:pt>
                <c:pt idx="59">
                  <c:v>463.89258826999986</c:v>
                </c:pt>
                <c:pt idx="60">
                  <c:v>466.56416380000013</c:v>
                </c:pt>
                <c:pt idx="61">
                  <c:v>469.23573933000063</c:v>
                </c:pt>
                <c:pt idx="62">
                  <c:v>471.90731486000033</c:v>
                </c:pt>
                <c:pt idx="63">
                  <c:v>474.57889039000014</c:v>
                </c:pt>
                <c:pt idx="64">
                  <c:v>477.25046592000007</c:v>
                </c:pt>
                <c:pt idx="65">
                  <c:v>479.92204145000039</c:v>
                </c:pt>
                <c:pt idx="66">
                  <c:v>482.59361698000021</c:v>
                </c:pt>
                <c:pt idx="67">
                  <c:v>485.26519251000008</c:v>
                </c:pt>
                <c:pt idx="68">
                  <c:v>487.93676804000029</c:v>
                </c:pt>
                <c:pt idx="69">
                  <c:v>490.60834357000044</c:v>
                </c:pt>
                <c:pt idx="70">
                  <c:v>493.27991910000065</c:v>
                </c:pt>
                <c:pt idx="71">
                  <c:v>495.95149463000018</c:v>
                </c:pt>
                <c:pt idx="72">
                  <c:v>498.62307016000034</c:v>
                </c:pt>
                <c:pt idx="73">
                  <c:v>501.29464569000044</c:v>
                </c:pt>
                <c:pt idx="74">
                  <c:v>503.96622122000031</c:v>
                </c:pt>
                <c:pt idx="75">
                  <c:v>506.63779675000058</c:v>
                </c:pt>
                <c:pt idx="76">
                  <c:v>509.3093722800005</c:v>
                </c:pt>
                <c:pt idx="77">
                  <c:v>511.98094781000037</c:v>
                </c:pt>
                <c:pt idx="78">
                  <c:v>514.65252334000013</c:v>
                </c:pt>
                <c:pt idx="79">
                  <c:v>517.32409886999994</c:v>
                </c:pt>
                <c:pt idx="80">
                  <c:v>519.99567440000033</c:v>
                </c:pt>
                <c:pt idx="81">
                  <c:v>522.66724993000014</c:v>
                </c:pt>
                <c:pt idx="82">
                  <c:v>525.33882546000007</c:v>
                </c:pt>
                <c:pt idx="83">
                  <c:v>528.01040099000068</c:v>
                </c:pt>
                <c:pt idx="84">
                  <c:v>530.68197652000003</c:v>
                </c:pt>
                <c:pt idx="85">
                  <c:v>533.35355205000064</c:v>
                </c:pt>
                <c:pt idx="86">
                  <c:v>536.02512758000046</c:v>
                </c:pt>
                <c:pt idx="87">
                  <c:v>538.69670311000039</c:v>
                </c:pt>
                <c:pt idx="88">
                  <c:v>541.36827864000031</c:v>
                </c:pt>
                <c:pt idx="89">
                  <c:v>544.03985417000001</c:v>
                </c:pt>
                <c:pt idx="90">
                  <c:v>546.71142970000039</c:v>
                </c:pt>
                <c:pt idx="91">
                  <c:v>549.38300523000021</c:v>
                </c:pt>
                <c:pt idx="92">
                  <c:v>552.05458076000014</c:v>
                </c:pt>
                <c:pt idx="93">
                  <c:v>554.72615629000029</c:v>
                </c:pt>
                <c:pt idx="94">
                  <c:v>557.39773182000056</c:v>
                </c:pt>
                <c:pt idx="95">
                  <c:v>560.06930735000037</c:v>
                </c:pt>
                <c:pt idx="96">
                  <c:v>562.7408828800003</c:v>
                </c:pt>
                <c:pt idx="97">
                  <c:v>565.41245841000011</c:v>
                </c:pt>
                <c:pt idx="98">
                  <c:v>568.08403394000027</c:v>
                </c:pt>
                <c:pt idx="99">
                  <c:v>570.75560947000031</c:v>
                </c:pt>
                <c:pt idx="100">
                  <c:v>573.42718500000001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32-4559-8385-5EBE2CCD4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218944"/>
        <c:axId val="251225216"/>
      </c:scatterChart>
      <c:valAx>
        <c:axId val="251218944"/>
        <c:scaling>
          <c:logBase val="10"/>
          <c:orientation val="minMax"/>
          <c:max val="10000000"/>
          <c:min val="10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Number of cycles to faliure</a:t>
                </a:r>
              </a:p>
            </c:rich>
          </c:tx>
          <c:layout>
            <c:manualLayout>
              <c:xMode val="edge"/>
              <c:yMode val="edge"/>
              <c:x val="0.39193381592555504"/>
              <c:y val="0.947457627118644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225216"/>
        <c:crosses val="autoZero"/>
        <c:crossBetween val="midCat"/>
      </c:valAx>
      <c:valAx>
        <c:axId val="251225216"/>
        <c:scaling>
          <c:orientation val="minMax"/>
          <c:max val="8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Max Stress (MPa)</a:t>
                </a:r>
              </a:p>
            </c:rich>
          </c:tx>
          <c:layout>
            <c:manualLayout>
              <c:xMode val="edge"/>
              <c:yMode val="edge"/>
              <c:x val="1.0341261633919601E-3"/>
              <c:y val="0.3694915254237287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121894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txPr>
          <a:bodyPr/>
          <a:lstStyle/>
          <a:p>
            <a:pPr>
              <a:defRPr>
                <a:latin typeface="+mn-lt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594622543950685"/>
          <c:y val="8.6440677966101193E-2"/>
          <c:w val="0.23937268441238024"/>
          <c:h val="0.245192045909515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>
              <a:latin typeface="+mn-lt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+mn-lt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5" workbookViewId="0"/>
  </sheetViews>
  <pageMargins left="0.75" right="0.75" top="1" bottom="1" header="0.5" footer="0.5"/>
  <pageSetup paperSize="9" orientation="landscape" horizontalDpi="300" verticalDpi="300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25" workbookViewId="0"/>
  </sheetViews>
  <pageMargins left="0.75" right="0.75" top="1" bottom="1" header="0.5" footer="0.5"/>
  <pageSetup paperSize="9" orientation="landscape" horizontalDpi="300" verticalDpi="300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125" workbookViewId="0"/>
  </sheetViews>
  <pageMargins left="0.75" right="0.75" top="1" bottom="1" header="0.5" footer="0.5"/>
  <pageSetup paperSize="9" orientation="landscape" horizontalDpi="300" verticalDpi="30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261" cy="56156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0.25251</cdr:x>
      <cdr:y>0.32608</cdr:y>
    </cdr:from>
    <cdr:to>
      <cdr:x>0.42976</cdr:x>
      <cdr:y>0.36333</cdr:y>
    </cdr:to>
    <cdr:sp macro="" textlink="'ASTM E739 stat (Max Strain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2321525" y="1823027"/>
          <a:ext cx="1629583" cy="2082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(X=293313.0Y^-8.29)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0.58438</cdr:x>
      <cdr:y>0.34002</cdr:y>
    </cdr:from>
    <cdr:to>
      <cdr:x>0.76163</cdr:x>
      <cdr:y>0.37727</cdr:y>
    </cdr:to>
    <cdr:sp macro="" textlink="'ASTM E739 stat (Strain Range)'!$J$14">
      <cdr:nvSpPr>
        <cdr:cNvPr id="1025" name="Text Box 1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5382497" y="1910838"/>
          <a:ext cx="1632593" cy="20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fld id="{94896840-5BF0-4B2E-B665-803A91061348}" type="TxLink">
            <a:rPr lang="en-US" sz="1000" b="0" i="0" strike="noStrike">
              <a:solidFill>
                <a:srgbClr val="000000"/>
              </a:solidFill>
              <a:latin typeface="+mn-lt"/>
              <a:cs typeface="Arial"/>
            </a:rPr>
            <a:pPr algn="l" rtl="0">
              <a:defRPr sz="1000"/>
            </a:pPr>
            <a:t>(X=122524.3Y^-8.29)</a:t>
          </a:fld>
          <a:endParaRPr lang="en-US" sz="1000" b="0" i="0" strike="noStrike">
            <a:solidFill>
              <a:srgbClr val="000000"/>
            </a:solidFill>
            <a:latin typeface="+mn-lt"/>
            <a:cs typeface="Arial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20200" cy="56235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0.51983</cdr:x>
      <cdr:y>0.25339</cdr:y>
    </cdr:from>
    <cdr:to>
      <cdr:x>0.7157</cdr:x>
      <cdr:y>0.29675</cdr:y>
    </cdr:to>
    <cdr:sp macro="" textlink="'ASTM E739 stat (Max Stress)'!$J$14">
      <cdr:nvSpPr>
        <cdr:cNvPr id="2" name="TextBox 1"/>
        <cdr:cNvSpPr txBox="1"/>
      </cdr:nvSpPr>
      <cdr:spPr>
        <a:xfrm xmlns:a="http://schemas.openxmlformats.org/drawingml/2006/main">
          <a:off x="4792980" y="1424940"/>
          <a:ext cx="180594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6010028A-B93E-4343-B420-A95E999FB473}" type="TxLink">
            <a:rPr lang="en-GB" sz="1100"/>
            <a:pPr/>
            <a:t>(X=5.59E+25Y^-7.86)</a:t>
          </a:fld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zoomScale="75" workbookViewId="0">
      <selection activeCell="G22" sqref="G22:H22"/>
    </sheetView>
  </sheetViews>
  <sheetFormatPr defaultRowHeight="12.75" x14ac:dyDescent="0.2"/>
  <cols>
    <col min="1" max="1" width="15.140625" style="2" customWidth="1"/>
    <col min="2" max="2" width="11.42578125" style="2" bestFit="1" customWidth="1"/>
    <col min="3" max="3" width="14" style="2" customWidth="1"/>
    <col min="4" max="4" width="11.5703125" style="2" bestFit="1" customWidth="1"/>
    <col min="5" max="5" width="11" style="2" bestFit="1" customWidth="1"/>
    <col min="6" max="6" width="12.140625" style="2" bestFit="1" customWidth="1"/>
    <col min="7" max="7" width="15.5703125" style="2" bestFit="1" customWidth="1"/>
    <col min="8" max="8" width="16.140625" style="2" bestFit="1" customWidth="1"/>
    <col min="9" max="9" width="11.140625" style="2" bestFit="1" customWidth="1"/>
    <col min="10" max="10" width="10.85546875" style="2" bestFit="1" customWidth="1"/>
    <col min="11" max="11" width="11.7109375" style="2" bestFit="1" customWidth="1"/>
    <col min="12" max="12" width="18" style="2" bestFit="1" customWidth="1"/>
    <col min="13" max="13" width="49.140625" style="2" bestFit="1" customWidth="1"/>
    <col min="14" max="14" width="15.7109375" style="2" customWidth="1"/>
    <col min="15" max="15" width="52.7109375" style="2" bestFit="1" customWidth="1"/>
    <col min="16" max="16384" width="9.140625" style="2"/>
  </cols>
  <sheetData>
    <row r="1" spans="1:14" ht="15.75" x14ac:dyDescent="0.25">
      <c r="A1" s="62" t="s">
        <v>133</v>
      </c>
      <c r="L1" s="10"/>
    </row>
    <row r="3" spans="1:14" ht="15.75" x14ac:dyDescent="0.25">
      <c r="A3" s="63" t="s">
        <v>132</v>
      </c>
      <c r="B3" s="199" t="s">
        <v>148</v>
      </c>
      <c r="C3" s="9"/>
      <c r="D3" s="9"/>
      <c r="F3" s="9"/>
      <c r="G3" s="9"/>
      <c r="H3" s="9"/>
      <c r="I3" s="9"/>
      <c r="J3" s="9" t="s">
        <v>99</v>
      </c>
      <c r="K3" s="9" t="s">
        <v>100</v>
      </c>
      <c r="M3" s="10"/>
    </row>
    <row r="4" spans="1:14" ht="15.75" x14ac:dyDescent="0.25">
      <c r="A4" s="11" t="s">
        <v>0</v>
      </c>
      <c r="B4" s="200" t="s">
        <v>147</v>
      </c>
      <c r="C4" s="64"/>
      <c r="D4" s="46"/>
      <c r="E4" s="12"/>
      <c r="F4" s="12"/>
      <c r="G4" s="12"/>
      <c r="H4" s="12"/>
      <c r="I4" s="21" t="s">
        <v>26</v>
      </c>
      <c r="J4" s="20"/>
      <c r="K4" s="21"/>
      <c r="M4" s="10"/>
    </row>
    <row r="5" spans="1:14" ht="15.75" x14ac:dyDescent="0.25">
      <c r="A5" s="11" t="s">
        <v>131</v>
      </c>
      <c r="B5" s="11"/>
      <c r="C5" s="47"/>
      <c r="D5" s="13"/>
      <c r="E5" s="11" t="s">
        <v>103</v>
      </c>
      <c r="F5" s="13"/>
      <c r="G5" s="13"/>
      <c r="H5" s="13"/>
      <c r="I5" s="14"/>
      <c r="J5" s="26"/>
      <c r="K5" s="27"/>
      <c r="L5" s="13"/>
      <c r="M5" s="15"/>
    </row>
    <row r="6" spans="1:14" ht="16.5" thickBot="1" x14ac:dyDescent="0.3">
      <c r="A6" s="47"/>
      <c r="B6" s="13" t="s">
        <v>1</v>
      </c>
      <c r="C6" s="47">
        <v>0.1</v>
      </c>
      <c r="D6" s="13"/>
      <c r="E6" s="13" t="s">
        <v>104</v>
      </c>
      <c r="F6" s="11" t="s">
        <v>105</v>
      </c>
      <c r="G6" s="11"/>
      <c r="H6" s="11"/>
      <c r="I6" s="13"/>
      <c r="J6" s="13"/>
      <c r="K6" s="13"/>
      <c r="L6" s="13"/>
      <c r="M6" s="15"/>
    </row>
    <row r="7" spans="1:14" ht="15.75" x14ac:dyDescent="0.25">
      <c r="A7" s="16"/>
      <c r="B7" s="28" t="s">
        <v>2</v>
      </c>
      <c r="C7" s="29" t="s">
        <v>3</v>
      </c>
      <c r="D7" s="29" t="s">
        <v>4</v>
      </c>
      <c r="E7" s="29" t="s">
        <v>17</v>
      </c>
      <c r="F7" s="29" t="s">
        <v>23</v>
      </c>
      <c r="G7" s="29" t="s">
        <v>106</v>
      </c>
      <c r="H7" s="29" t="s">
        <v>107</v>
      </c>
      <c r="I7" s="29" t="s">
        <v>6</v>
      </c>
      <c r="J7" s="29" t="s">
        <v>19</v>
      </c>
      <c r="K7" s="29" t="s">
        <v>8</v>
      </c>
      <c r="L7" s="29" t="s">
        <v>9</v>
      </c>
      <c r="M7" s="30" t="s">
        <v>10</v>
      </c>
      <c r="N7" s="17" t="s">
        <v>24</v>
      </c>
    </row>
    <row r="8" spans="1:14" ht="16.5" thickBot="1" x14ac:dyDescent="0.3">
      <c r="A8" s="106" t="s">
        <v>18</v>
      </c>
      <c r="B8" s="107" t="s">
        <v>11</v>
      </c>
      <c r="C8" s="108" t="s">
        <v>12</v>
      </c>
      <c r="D8" s="108" t="s">
        <v>12</v>
      </c>
      <c r="E8" s="108" t="s">
        <v>21</v>
      </c>
      <c r="F8" s="108" t="s">
        <v>13</v>
      </c>
      <c r="G8" s="108"/>
      <c r="H8" s="108"/>
      <c r="I8" s="108" t="s">
        <v>15</v>
      </c>
      <c r="J8" s="108" t="s">
        <v>15</v>
      </c>
      <c r="K8" s="108" t="s">
        <v>16</v>
      </c>
      <c r="L8" s="108"/>
      <c r="M8" s="109"/>
      <c r="N8" s="23"/>
    </row>
    <row r="9" spans="1:14" ht="37.5" customHeight="1" x14ac:dyDescent="0.25">
      <c r="A9" s="24">
        <v>42223</v>
      </c>
      <c r="B9" s="34" t="str">
        <f t="shared" ref="B9:B17" si="0">+$B$4&amp;"-0"&amp;TEXT((ROW()-8),0)</f>
        <v>EQA01-01</v>
      </c>
      <c r="C9" s="25">
        <v>25.24</v>
      </c>
      <c r="D9" s="25">
        <v>4.25</v>
      </c>
      <c r="E9" s="181">
        <f t="shared" ref="E9:E17" si="1">+C9*D9</f>
        <v>107.27</v>
      </c>
      <c r="F9" s="25"/>
      <c r="G9" s="25">
        <v>37.58</v>
      </c>
      <c r="H9" s="201"/>
      <c r="I9" s="35"/>
      <c r="J9" s="25"/>
      <c r="K9" s="25"/>
      <c r="L9" s="43"/>
      <c r="M9" s="111"/>
      <c r="N9" s="31" t="s">
        <v>149</v>
      </c>
    </row>
    <row r="10" spans="1:14" ht="37.5" customHeight="1" x14ac:dyDescent="0.25">
      <c r="A10" s="112">
        <v>42223</v>
      </c>
      <c r="B10" s="32" t="str">
        <f t="shared" si="0"/>
        <v>EQA01-02</v>
      </c>
      <c r="C10" s="18">
        <v>25.29</v>
      </c>
      <c r="D10" s="18">
        <v>4.34</v>
      </c>
      <c r="E10" s="182">
        <f t="shared" si="1"/>
        <v>109.75859999999999</v>
      </c>
      <c r="F10" s="18"/>
      <c r="G10" s="19">
        <v>37.700000000000003</v>
      </c>
      <c r="H10" s="19"/>
      <c r="I10" s="19"/>
      <c r="J10" s="18"/>
      <c r="K10" s="18"/>
      <c r="L10" s="22"/>
      <c r="M10" s="33"/>
      <c r="N10" s="113" t="s">
        <v>149</v>
      </c>
    </row>
    <row r="11" spans="1:14" ht="37.5" customHeight="1" x14ac:dyDescent="0.3">
      <c r="A11" s="112">
        <v>42223</v>
      </c>
      <c r="B11" s="32" t="str">
        <f t="shared" si="0"/>
        <v>EQA01-03</v>
      </c>
      <c r="C11" s="18">
        <v>25.3</v>
      </c>
      <c r="D11" s="18">
        <v>4.2300000000000004</v>
      </c>
      <c r="E11" s="182">
        <f t="shared" si="1"/>
        <v>107.01900000000002</v>
      </c>
      <c r="F11" s="18">
        <v>1.5</v>
      </c>
      <c r="G11" s="18">
        <v>37.99</v>
      </c>
      <c r="H11" s="18">
        <v>38.229999999999997</v>
      </c>
      <c r="I11" s="19">
        <v>61.37</v>
      </c>
      <c r="J11" s="18">
        <v>6.14</v>
      </c>
      <c r="K11" s="18">
        <v>3</v>
      </c>
      <c r="L11" s="110">
        <v>10766</v>
      </c>
      <c r="M11" s="42" t="s">
        <v>152</v>
      </c>
      <c r="N11" s="113" t="s">
        <v>149</v>
      </c>
    </row>
    <row r="12" spans="1:14" ht="37.5" customHeight="1" x14ac:dyDescent="0.3">
      <c r="A12" s="112">
        <v>42222</v>
      </c>
      <c r="B12" s="32" t="str">
        <f t="shared" si="0"/>
        <v>EQA01-04</v>
      </c>
      <c r="C12" s="18">
        <v>25.29</v>
      </c>
      <c r="D12" s="18">
        <v>4.3</v>
      </c>
      <c r="E12" s="182">
        <f t="shared" si="1"/>
        <v>108.74699999999999</v>
      </c>
      <c r="F12" s="18">
        <v>1.1000000000000001</v>
      </c>
      <c r="G12" s="19">
        <v>37.82</v>
      </c>
      <c r="H12" s="19">
        <v>37.92</v>
      </c>
      <c r="I12" s="19">
        <v>45.37</v>
      </c>
      <c r="J12" s="18">
        <v>4.54</v>
      </c>
      <c r="K12" s="18">
        <v>4</v>
      </c>
      <c r="L12" s="110">
        <v>148187</v>
      </c>
      <c r="M12" s="42" t="s">
        <v>153</v>
      </c>
      <c r="N12" s="113" t="s">
        <v>149</v>
      </c>
    </row>
    <row r="13" spans="1:14" ht="37.5" customHeight="1" x14ac:dyDescent="0.3">
      <c r="A13" s="112">
        <v>42222</v>
      </c>
      <c r="B13" s="32" t="str">
        <f t="shared" si="0"/>
        <v>EQA01-05</v>
      </c>
      <c r="C13" s="18">
        <v>25.26</v>
      </c>
      <c r="D13" s="18">
        <v>4.17</v>
      </c>
      <c r="E13" s="182">
        <f t="shared" si="1"/>
        <v>105.33420000000001</v>
      </c>
      <c r="F13" s="18">
        <v>0.9</v>
      </c>
      <c r="G13" s="18">
        <v>38.549999999999997</v>
      </c>
      <c r="H13" s="18">
        <v>38.68</v>
      </c>
      <c r="I13" s="19">
        <v>36.67</v>
      </c>
      <c r="J13" s="18">
        <v>3.67</v>
      </c>
      <c r="K13" s="18">
        <v>5</v>
      </c>
      <c r="L13" s="22">
        <v>581856</v>
      </c>
      <c r="M13" s="42"/>
      <c r="N13" s="113" t="s">
        <v>150</v>
      </c>
    </row>
    <row r="14" spans="1:14" ht="37.5" customHeight="1" x14ac:dyDescent="0.3">
      <c r="A14" s="112">
        <v>42222</v>
      </c>
      <c r="B14" s="32" t="str">
        <f t="shared" si="0"/>
        <v>EQA01-06</v>
      </c>
      <c r="C14" s="18">
        <v>25.28</v>
      </c>
      <c r="D14" s="18">
        <v>4.26</v>
      </c>
      <c r="E14" s="182">
        <f t="shared" si="1"/>
        <v>107.69280000000001</v>
      </c>
      <c r="F14" s="18">
        <v>1</v>
      </c>
      <c r="G14" s="18">
        <v>37.82</v>
      </c>
      <c r="H14" s="18">
        <v>37.69</v>
      </c>
      <c r="I14" s="19">
        <v>40.57</v>
      </c>
      <c r="J14" s="18">
        <v>4.0599999999999996</v>
      </c>
      <c r="K14" s="18">
        <v>4</v>
      </c>
      <c r="L14" s="22">
        <v>290916</v>
      </c>
      <c r="M14" s="42" t="s">
        <v>154</v>
      </c>
      <c r="N14" s="113" t="s">
        <v>151</v>
      </c>
    </row>
    <row r="15" spans="1:14" ht="37.5" customHeight="1" x14ac:dyDescent="0.3">
      <c r="A15" s="112"/>
      <c r="B15" s="32" t="str">
        <f t="shared" si="0"/>
        <v>EQA01-07</v>
      </c>
      <c r="C15" s="18">
        <v>25.32</v>
      </c>
      <c r="D15" s="18">
        <v>4.07</v>
      </c>
      <c r="E15" s="182">
        <f t="shared" si="1"/>
        <v>103.05240000000001</v>
      </c>
      <c r="F15" s="18"/>
      <c r="G15" s="18"/>
      <c r="H15" s="18"/>
      <c r="I15" s="19"/>
      <c r="J15" s="18"/>
      <c r="K15" s="18"/>
      <c r="L15" s="22"/>
      <c r="M15" s="42"/>
      <c r="N15" s="113"/>
    </row>
    <row r="16" spans="1:14" ht="37.5" customHeight="1" x14ac:dyDescent="0.3">
      <c r="A16" s="112"/>
      <c r="B16" s="32" t="str">
        <f t="shared" si="0"/>
        <v>EQA01-08</v>
      </c>
      <c r="C16" s="18">
        <v>25.39</v>
      </c>
      <c r="D16" s="18">
        <v>4.33</v>
      </c>
      <c r="E16" s="182">
        <f t="shared" si="1"/>
        <v>109.9387</v>
      </c>
      <c r="F16" s="18"/>
      <c r="G16" s="18"/>
      <c r="H16" s="18"/>
      <c r="I16" s="19"/>
      <c r="J16" s="18"/>
      <c r="K16" s="18"/>
      <c r="L16" s="22"/>
      <c r="M16" s="42" t="s">
        <v>155</v>
      </c>
      <c r="N16" s="113"/>
    </row>
    <row r="17" spans="1:19" ht="37.9" customHeight="1" x14ac:dyDescent="0.3">
      <c r="A17" s="112">
        <v>42223</v>
      </c>
      <c r="B17" s="32" t="str">
        <f t="shared" si="0"/>
        <v>EQA01-09</v>
      </c>
      <c r="C17" s="18">
        <v>25.41</v>
      </c>
      <c r="D17" s="18">
        <v>4.17</v>
      </c>
      <c r="E17" s="182">
        <f t="shared" si="1"/>
        <v>105.9597</v>
      </c>
      <c r="F17" s="18">
        <v>1.3</v>
      </c>
      <c r="G17" s="18">
        <v>39.369999999999997</v>
      </c>
      <c r="H17" s="18">
        <v>39.42</v>
      </c>
      <c r="I17" s="19">
        <v>54.3</v>
      </c>
      <c r="J17" s="18">
        <v>5.43</v>
      </c>
      <c r="K17" s="18">
        <v>3</v>
      </c>
      <c r="L17" s="22">
        <v>35032</v>
      </c>
      <c r="M17" s="42" t="s">
        <v>156</v>
      </c>
      <c r="N17" s="113" t="s">
        <v>149</v>
      </c>
      <c r="O17" s="65"/>
    </row>
    <row r="18" spans="1:19" ht="37.9" customHeight="1" x14ac:dyDescent="0.3">
      <c r="A18" s="112">
        <v>42223</v>
      </c>
      <c r="B18" s="32" t="str">
        <f>+$B$4&amp;"-"&amp;TEXT((ROW()-8),0)</f>
        <v>EQA01-10</v>
      </c>
      <c r="C18" s="18">
        <v>25.38</v>
      </c>
      <c r="D18" s="18">
        <v>4.16</v>
      </c>
      <c r="E18" s="182">
        <f t="shared" ref="E18:E20" si="2">+C18*D18</f>
        <v>105.5808</v>
      </c>
      <c r="F18" s="18">
        <v>0.8</v>
      </c>
      <c r="G18" s="18">
        <v>38.26</v>
      </c>
      <c r="H18" s="18">
        <v>38.28</v>
      </c>
      <c r="I18" s="19">
        <v>32.340000000000003</v>
      </c>
      <c r="J18" s="18">
        <v>3.23</v>
      </c>
      <c r="K18" s="18">
        <v>5</v>
      </c>
      <c r="L18" s="22">
        <v>2000000</v>
      </c>
      <c r="M18" s="42" t="s">
        <v>157</v>
      </c>
      <c r="N18" s="113" t="s">
        <v>151</v>
      </c>
      <c r="O18" s="65"/>
    </row>
    <row r="19" spans="1:19" ht="37.9" customHeight="1" x14ac:dyDescent="0.3">
      <c r="A19" s="112">
        <v>42226</v>
      </c>
      <c r="B19" s="32" t="str">
        <f>+$B$4&amp;"-"&amp;TEXT((ROW()-8),0)</f>
        <v>EQA01-11</v>
      </c>
      <c r="C19" s="18">
        <v>25.41</v>
      </c>
      <c r="D19" s="18">
        <v>4.21</v>
      </c>
      <c r="E19" s="182">
        <f t="shared" si="2"/>
        <v>106.9761</v>
      </c>
      <c r="F19" s="18">
        <v>1.2</v>
      </c>
      <c r="G19" s="18">
        <v>39.799999999999997</v>
      </c>
      <c r="H19" s="18">
        <v>38.93</v>
      </c>
      <c r="I19" s="19">
        <v>49.97</v>
      </c>
      <c r="J19" s="18">
        <v>4.99</v>
      </c>
      <c r="K19" s="18">
        <v>3</v>
      </c>
      <c r="L19" s="22">
        <v>53299</v>
      </c>
      <c r="M19" s="42"/>
      <c r="N19" s="113" t="s">
        <v>149</v>
      </c>
      <c r="O19" s="65"/>
    </row>
    <row r="20" spans="1:19" ht="37.9" customHeight="1" x14ac:dyDescent="0.3">
      <c r="A20" s="112">
        <v>42226</v>
      </c>
      <c r="B20" s="32" t="str">
        <f>+$B$4&amp;"-"&amp;TEXT((ROW()-8),0)</f>
        <v>EQA01-12</v>
      </c>
      <c r="C20" s="18">
        <v>25.34</v>
      </c>
      <c r="D20" s="18">
        <v>4.25</v>
      </c>
      <c r="E20" s="182">
        <f t="shared" si="2"/>
        <v>107.69499999999999</v>
      </c>
      <c r="F20" s="18">
        <v>0.85</v>
      </c>
      <c r="G20" s="18">
        <v>37.32</v>
      </c>
      <c r="H20" s="18">
        <v>37.159999999999997</v>
      </c>
      <c r="I20" s="19">
        <v>34.020000000000003</v>
      </c>
      <c r="J20" s="18">
        <v>3.4</v>
      </c>
      <c r="K20" s="18"/>
      <c r="L20" s="22">
        <v>1350848</v>
      </c>
      <c r="M20" s="42"/>
      <c r="N20" s="113" t="s">
        <v>150</v>
      </c>
      <c r="O20" s="66"/>
    </row>
    <row r="21" spans="1:19" ht="34.5" customHeight="1" x14ac:dyDescent="0.25">
      <c r="A21" s="36"/>
      <c r="B21" s="37"/>
      <c r="C21" s="38"/>
      <c r="D21" s="38"/>
      <c r="E21" s="180"/>
      <c r="F21" s="38"/>
      <c r="G21" s="38"/>
      <c r="H21" s="38"/>
      <c r="I21" s="38"/>
      <c r="J21" s="39"/>
      <c r="K21" s="38"/>
      <c r="L21" s="38"/>
      <c r="M21" s="40"/>
      <c r="N21" s="41"/>
    </row>
    <row r="22" spans="1:19" ht="18.75" x14ac:dyDescent="0.3">
      <c r="G22" s="135">
        <f>AVERAGE(G11:G20)</f>
        <v>38.366250000000001</v>
      </c>
      <c r="H22" s="135">
        <f>AVERAGE(H11:H20)</f>
        <v>38.288749999999993</v>
      </c>
      <c r="I22" s="67"/>
      <c r="J22" s="61"/>
      <c r="K22" s="67"/>
      <c r="L22" s="67"/>
      <c r="M22" s="68"/>
    </row>
    <row r="23" spans="1:19" ht="18.75" x14ac:dyDescent="0.3">
      <c r="H23" s="61"/>
      <c r="I23" s="67"/>
      <c r="J23" s="61"/>
      <c r="K23" s="67"/>
      <c r="L23" s="68"/>
      <c r="M23" s="68"/>
    </row>
    <row r="24" spans="1:19" ht="18.75" x14ac:dyDescent="0.3">
      <c r="H24" s="61"/>
      <c r="I24" s="67"/>
      <c r="J24" s="61"/>
      <c r="K24" s="67"/>
      <c r="L24" s="68"/>
      <c r="M24" s="68"/>
    </row>
    <row r="25" spans="1:19" ht="18.75" x14ac:dyDescent="0.3">
      <c r="H25" s="61"/>
      <c r="I25" s="67"/>
      <c r="J25" s="61"/>
      <c r="K25" s="68"/>
      <c r="L25" s="68">
        <v>10766</v>
      </c>
      <c r="M25" s="68"/>
    </row>
    <row r="26" spans="1:19" ht="18.75" x14ac:dyDescent="0.3">
      <c r="H26" s="68"/>
      <c r="I26" s="68"/>
      <c r="J26" s="68"/>
      <c r="K26" s="68"/>
      <c r="L26" s="68">
        <v>148187</v>
      </c>
      <c r="M26" s="68"/>
    </row>
    <row r="27" spans="1:19" x14ac:dyDescent="0.2">
      <c r="L27" s="2">
        <v>581856</v>
      </c>
    </row>
    <row r="28" spans="1:19" x14ac:dyDescent="0.2">
      <c r="L28" s="2">
        <v>290916</v>
      </c>
    </row>
    <row r="29" spans="1:19" x14ac:dyDescent="0.2">
      <c r="L29" s="2">
        <v>35032</v>
      </c>
    </row>
    <row r="30" spans="1:19" ht="15.75" x14ac:dyDescent="0.25">
      <c r="L30" s="2">
        <v>2000000</v>
      </c>
      <c r="R30" s="69"/>
      <c r="S30" s="70"/>
    </row>
    <row r="31" spans="1:19" ht="15.75" x14ac:dyDescent="0.25">
      <c r="L31" s="2">
        <v>53299</v>
      </c>
      <c r="R31" s="69"/>
      <c r="S31" s="70"/>
    </row>
    <row r="32" spans="1:19" ht="15.75" x14ac:dyDescent="0.25">
      <c r="L32" s="2">
        <v>1350848</v>
      </c>
      <c r="R32" s="71"/>
      <c r="S32" s="71"/>
    </row>
    <row r="33" spans="2:20" ht="15.75" x14ac:dyDescent="0.25">
      <c r="R33" s="71"/>
      <c r="S33" s="71"/>
    </row>
    <row r="34" spans="2:20" ht="15.75" x14ac:dyDescent="0.25">
      <c r="B34" s="47"/>
      <c r="C34" s="13"/>
      <c r="D34" s="47"/>
      <c r="E34" s="13"/>
      <c r="F34" s="13"/>
      <c r="G34" s="11"/>
      <c r="H34" s="11"/>
      <c r="I34" s="11"/>
      <c r="J34" s="13"/>
      <c r="K34" s="13"/>
      <c r="L34" s="47"/>
      <c r="M34" s="13"/>
      <c r="N34" s="15"/>
      <c r="O34" s="72"/>
      <c r="P34" s="73"/>
      <c r="Q34" s="71"/>
      <c r="R34" s="71"/>
      <c r="S34" s="72"/>
    </row>
    <row r="35" spans="2:20" ht="15.75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72"/>
      <c r="P35" s="73"/>
      <c r="Q35" s="71"/>
      <c r="R35" s="71"/>
      <c r="S35" s="72"/>
    </row>
    <row r="36" spans="2:20" ht="15.75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72"/>
      <c r="P36" s="73"/>
      <c r="Q36" s="71"/>
      <c r="R36" s="71"/>
      <c r="S36" s="72"/>
    </row>
    <row r="37" spans="2:20" ht="15.75" x14ac:dyDescent="0.25">
      <c r="B37" s="74"/>
      <c r="C37" s="12"/>
      <c r="D37" s="75"/>
      <c r="E37" s="75"/>
      <c r="F37" s="75"/>
      <c r="G37" s="75"/>
      <c r="H37" s="75"/>
      <c r="I37" s="75"/>
      <c r="J37" s="75"/>
      <c r="K37" s="76"/>
      <c r="L37" s="74"/>
      <c r="M37" s="75"/>
      <c r="N37" s="77"/>
      <c r="O37" s="72"/>
      <c r="P37" s="73"/>
      <c r="Q37" s="71"/>
      <c r="R37" s="71"/>
      <c r="S37" s="72"/>
    </row>
    <row r="38" spans="2:20" ht="18.75" x14ac:dyDescent="0.3">
      <c r="B38" s="74"/>
      <c r="C38" s="12"/>
      <c r="D38" s="75"/>
      <c r="E38" s="75"/>
      <c r="F38" s="75"/>
      <c r="G38" s="76"/>
      <c r="H38" s="76"/>
      <c r="I38" s="76"/>
      <c r="J38" s="76"/>
      <c r="K38" s="76"/>
      <c r="L38" s="74"/>
      <c r="M38" s="76"/>
      <c r="N38" s="79"/>
      <c r="O38" s="72"/>
      <c r="P38" s="80"/>
      <c r="Q38" s="81"/>
      <c r="R38" s="71"/>
      <c r="S38" s="72"/>
    </row>
    <row r="39" spans="2:20" ht="15.75" x14ac:dyDescent="0.25">
      <c r="B39" s="74"/>
      <c r="C39" s="12"/>
      <c r="D39" s="75"/>
      <c r="E39" s="75"/>
      <c r="F39" s="75"/>
      <c r="G39" s="75"/>
      <c r="H39" s="75"/>
      <c r="I39" s="75"/>
      <c r="J39" s="75"/>
      <c r="K39" s="76"/>
      <c r="L39" s="74"/>
      <c r="M39" s="75"/>
      <c r="N39" s="77"/>
      <c r="O39" s="72"/>
      <c r="P39" s="73"/>
      <c r="Q39" s="71"/>
      <c r="R39" s="71"/>
      <c r="S39" s="72"/>
    </row>
    <row r="40" spans="2:20" ht="15.75" x14ac:dyDescent="0.25">
      <c r="B40" s="74"/>
      <c r="C40" s="12"/>
      <c r="D40" s="75"/>
      <c r="E40" s="75"/>
      <c r="F40" s="75"/>
      <c r="G40" s="76"/>
      <c r="H40" s="76"/>
      <c r="I40" s="76"/>
      <c r="J40" s="75"/>
      <c r="K40" s="76"/>
      <c r="L40" s="74"/>
      <c r="M40" s="75"/>
      <c r="N40" s="77"/>
      <c r="O40" s="82"/>
      <c r="P40" s="82"/>
      <c r="Q40" s="69"/>
      <c r="R40" s="69"/>
      <c r="S40" s="72"/>
    </row>
    <row r="41" spans="2:20" ht="15.75" x14ac:dyDescent="0.25">
      <c r="B41" s="74"/>
      <c r="C41" s="12"/>
      <c r="D41" s="75"/>
      <c r="E41" s="75"/>
      <c r="F41" s="75"/>
      <c r="G41" s="75"/>
      <c r="H41" s="75"/>
      <c r="I41" s="75"/>
      <c r="J41" s="75"/>
      <c r="K41" s="76"/>
      <c r="L41" s="74"/>
      <c r="M41" s="75"/>
      <c r="N41" s="77"/>
      <c r="O41" s="82"/>
      <c r="P41" s="82"/>
      <c r="Q41" s="69"/>
      <c r="R41" s="69"/>
      <c r="S41" s="72"/>
    </row>
    <row r="42" spans="2:20" ht="15.75" x14ac:dyDescent="0.25">
      <c r="B42" s="74"/>
      <c r="C42" s="12"/>
      <c r="D42" s="75"/>
      <c r="E42" s="75"/>
      <c r="F42" s="75"/>
      <c r="G42" s="75"/>
      <c r="H42" s="75"/>
      <c r="I42" s="75"/>
      <c r="J42" s="75"/>
      <c r="K42" s="76"/>
      <c r="L42" s="74"/>
      <c r="M42" s="75"/>
      <c r="N42" s="77"/>
      <c r="O42" s="69"/>
      <c r="P42" s="69"/>
      <c r="Q42" s="69"/>
      <c r="R42" s="69"/>
      <c r="S42" s="83"/>
    </row>
    <row r="43" spans="2:20" ht="15.75" x14ac:dyDescent="0.25">
      <c r="B43" s="74"/>
      <c r="C43" s="12"/>
      <c r="D43" s="75"/>
      <c r="E43" s="75"/>
      <c r="F43" s="75"/>
      <c r="G43" s="75"/>
      <c r="H43" s="75"/>
      <c r="I43" s="75"/>
      <c r="J43" s="75"/>
      <c r="K43" s="76"/>
      <c r="L43" s="74"/>
      <c r="M43" s="75"/>
      <c r="N43" s="84"/>
      <c r="O43" s="69"/>
      <c r="P43" s="69"/>
      <c r="Q43" s="69"/>
      <c r="R43" s="69"/>
      <c r="S43" s="71"/>
    </row>
    <row r="44" spans="2:20" ht="15.75" x14ac:dyDescent="0.25">
      <c r="B44" s="85"/>
      <c r="C44" s="12"/>
      <c r="D44" s="75"/>
      <c r="E44" s="75"/>
      <c r="F44" s="75"/>
      <c r="G44" s="75"/>
      <c r="H44" s="75"/>
      <c r="I44" s="75"/>
      <c r="J44" s="75"/>
      <c r="K44" s="76"/>
      <c r="L44" s="85"/>
      <c r="M44" s="75"/>
      <c r="N44" s="77"/>
      <c r="O44" s="69"/>
      <c r="P44" s="69"/>
      <c r="Q44" s="69"/>
      <c r="R44" s="69"/>
      <c r="S44" s="71"/>
    </row>
    <row r="45" spans="2:20" ht="15.75" x14ac:dyDescent="0.25">
      <c r="B45" s="47"/>
      <c r="C45" s="13"/>
      <c r="D45" s="86"/>
      <c r="E45" s="86"/>
      <c r="F45" s="86"/>
      <c r="G45" s="87"/>
      <c r="H45" s="87"/>
      <c r="I45" s="87"/>
      <c r="J45" s="47"/>
      <c r="K45" s="88"/>
      <c r="L45" s="47"/>
      <c r="M45" s="88"/>
      <c r="N45" s="88"/>
      <c r="O45" s="69"/>
      <c r="P45" s="69"/>
      <c r="Q45" s="69"/>
      <c r="R45" s="69"/>
      <c r="S45" s="71"/>
    </row>
    <row r="46" spans="2:20" ht="18.75" x14ac:dyDescent="0.3">
      <c r="B46" s="47"/>
      <c r="C46" s="13"/>
      <c r="D46" s="86"/>
      <c r="E46" s="86"/>
      <c r="F46" s="86"/>
      <c r="G46" s="87"/>
      <c r="H46" s="87"/>
      <c r="I46" s="87"/>
      <c r="J46" s="89"/>
      <c r="K46" s="88"/>
      <c r="L46" s="47"/>
      <c r="M46" s="88"/>
      <c r="N46" s="88"/>
      <c r="O46" s="70"/>
      <c r="P46" s="90"/>
      <c r="Q46" s="69"/>
      <c r="R46" s="69"/>
      <c r="S46" s="71"/>
    </row>
    <row r="47" spans="2:20" ht="18.75" x14ac:dyDescent="0.3">
      <c r="C47" s="47"/>
      <c r="D47" s="47"/>
      <c r="E47" s="47"/>
      <c r="F47" s="47"/>
      <c r="G47" s="47"/>
      <c r="H47" s="47"/>
      <c r="M47" s="47"/>
      <c r="N47" s="47"/>
      <c r="O47" s="67"/>
      <c r="P47" s="68"/>
      <c r="T47" s="69"/>
    </row>
    <row r="48" spans="2:20" ht="18.75" x14ac:dyDescent="0.3">
      <c r="B48" s="47"/>
      <c r="C48" s="47"/>
      <c r="D48" s="47"/>
      <c r="E48" s="47"/>
      <c r="F48" s="47"/>
      <c r="G48" s="47"/>
      <c r="H48" s="47"/>
      <c r="L48" s="47"/>
      <c r="M48" s="47"/>
      <c r="N48" s="47"/>
      <c r="O48" s="67"/>
      <c r="P48" s="68"/>
      <c r="T48" s="47"/>
    </row>
    <row r="49" spans="2:18" ht="18.75" x14ac:dyDescent="0.3">
      <c r="B49" s="91"/>
      <c r="C49" s="78"/>
      <c r="D49" s="78"/>
      <c r="E49" s="78"/>
      <c r="F49" s="91"/>
      <c r="G49" s="78"/>
      <c r="H49" s="92"/>
      <c r="I49" s="93"/>
      <c r="J49" s="93"/>
      <c r="K49" s="93"/>
      <c r="L49" s="91"/>
      <c r="M49" s="47"/>
      <c r="N49" s="47"/>
      <c r="O49" s="67"/>
      <c r="P49" s="68"/>
    </row>
    <row r="50" spans="2:18" ht="18.75" x14ac:dyDescent="0.3">
      <c r="B50" s="94"/>
      <c r="C50" s="78"/>
      <c r="D50" s="78"/>
      <c r="E50" s="78"/>
      <c r="F50" s="91"/>
      <c r="G50" s="78"/>
      <c r="H50" s="92"/>
      <c r="I50" s="95"/>
      <c r="J50" s="93"/>
      <c r="K50" s="93"/>
      <c r="L50" s="94"/>
      <c r="M50" s="47"/>
      <c r="N50" s="47"/>
    </row>
    <row r="51" spans="2:18" ht="18.75" x14ac:dyDescent="0.3">
      <c r="B51" s="94"/>
      <c r="C51" s="96"/>
      <c r="D51" s="78"/>
      <c r="E51" s="78"/>
      <c r="F51" s="91"/>
      <c r="G51" s="97"/>
      <c r="H51" s="98"/>
      <c r="I51" s="95"/>
      <c r="J51" s="47"/>
      <c r="K51" s="47"/>
      <c r="L51" s="94"/>
      <c r="N51" s="68"/>
      <c r="O51" s="61"/>
      <c r="P51" s="67"/>
      <c r="Q51" s="67"/>
      <c r="R51" s="68"/>
    </row>
    <row r="52" spans="2:18" ht="18.75" x14ac:dyDescent="0.3">
      <c r="B52" s="91"/>
      <c r="C52" s="99"/>
      <c r="D52" s="100"/>
      <c r="E52" s="99"/>
      <c r="F52" s="101"/>
      <c r="G52" s="102"/>
      <c r="H52" s="102"/>
      <c r="L52" s="91"/>
      <c r="M52" s="67"/>
      <c r="N52" s="68"/>
      <c r="O52" s="68"/>
    </row>
    <row r="53" spans="2:18" ht="18.75" x14ac:dyDescent="0.3">
      <c r="B53" s="101"/>
      <c r="C53" s="103"/>
      <c r="D53" s="101"/>
      <c r="E53" s="103"/>
      <c r="F53" s="101"/>
      <c r="G53" s="102"/>
      <c r="H53" s="59"/>
      <c r="J53" s="104"/>
      <c r="K53" s="104"/>
      <c r="L53" s="101"/>
      <c r="M53" s="67"/>
      <c r="N53" s="68"/>
    </row>
    <row r="54" spans="2:18" ht="18.75" x14ac:dyDescent="0.3">
      <c r="E54" s="105"/>
      <c r="G54" s="59"/>
      <c r="H54" s="59"/>
      <c r="I54" s="60"/>
      <c r="J54" s="67"/>
      <c r="K54" s="61"/>
      <c r="M54" s="67"/>
      <c r="N54" s="68"/>
    </row>
    <row r="55" spans="2:18" ht="18.75" x14ac:dyDescent="0.3">
      <c r="I55" s="60"/>
      <c r="J55" s="67"/>
      <c r="K55" s="61"/>
      <c r="M55" s="67"/>
      <c r="N55" s="68"/>
    </row>
    <row r="56" spans="2:18" ht="18.75" x14ac:dyDescent="0.3">
      <c r="I56" s="61"/>
      <c r="J56" s="67"/>
      <c r="K56" s="61"/>
      <c r="M56" s="68"/>
      <c r="N56" s="68"/>
    </row>
    <row r="57" spans="2:18" ht="15.75" x14ac:dyDescent="0.25">
      <c r="E57" s="62"/>
    </row>
    <row r="59" spans="2:18" ht="15.75" x14ac:dyDescent="0.25">
      <c r="D59" s="62"/>
      <c r="E59" s="63"/>
      <c r="F59" s="9"/>
      <c r="G59" s="9"/>
      <c r="H59" s="9"/>
      <c r="J59" s="9"/>
      <c r="K59" s="9"/>
      <c r="L59" s="9"/>
      <c r="M59" s="9"/>
      <c r="N59" s="9"/>
    </row>
  </sheetData>
  <phoneticPr fontId="0" type="noConversion"/>
  <pageMargins left="0.19685039370078741" right="0.19685039370078741" top="0.98425196850393704" bottom="0.98425196850393704" header="0.51181102362204722" footer="0.51181102362204722"/>
  <pageSetup paperSize="9" scale="60" fitToWidth="0" fitToHeight="0" orientation="landscape"/>
  <headerFooter alignWithMargins="0">
    <oddFooter>&amp;R&amp;"Arial,Italic"&amp;D/pobr
&amp;F,&amp;A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34"/>
  <sheetViews>
    <sheetView zoomScaleNormal="100" workbookViewId="0">
      <selection activeCell="G22" sqref="G22:J23"/>
    </sheetView>
  </sheetViews>
  <sheetFormatPr defaultRowHeight="12.75" x14ac:dyDescent="0.2"/>
  <cols>
    <col min="1" max="1" width="13.85546875" style="2" customWidth="1"/>
    <col min="2" max="2" width="9.42578125" style="2" customWidth="1"/>
    <col min="3" max="3" width="12.140625" style="2" customWidth="1"/>
    <col min="4" max="4" width="12.85546875" style="2" customWidth="1"/>
    <col min="5" max="5" width="10.5703125" style="2" bestFit="1" customWidth="1"/>
    <col min="6" max="6" width="13.5703125" style="2" bestFit="1" customWidth="1"/>
    <col min="7" max="7" width="12.7109375" style="2" customWidth="1"/>
    <col min="8" max="8" width="13.5703125" style="2" bestFit="1" customWidth="1"/>
    <col min="9" max="11" width="13.5703125" style="2" customWidth="1"/>
    <col min="12" max="16" width="12.7109375" style="2" customWidth="1"/>
    <col min="17" max="17" width="8.85546875" style="2" customWidth="1"/>
    <col min="18" max="18" width="13.85546875" style="2" bestFit="1" customWidth="1"/>
    <col min="19" max="19" width="9.140625" style="2" bestFit="1" customWidth="1"/>
    <col min="20" max="20" width="9.5703125" style="2" customWidth="1"/>
    <col min="21" max="21" width="19.28515625" style="135" bestFit="1" customWidth="1"/>
    <col min="22" max="22" width="14.7109375" style="135" bestFit="1" customWidth="1"/>
    <col min="23" max="26" width="15.7109375" style="135" bestFit="1" customWidth="1"/>
    <col min="27" max="27" width="10.85546875" style="2" customWidth="1"/>
    <col min="28" max="28" width="5.85546875" style="2" customWidth="1"/>
    <col min="29" max="29" width="6.28515625" style="2" customWidth="1"/>
    <col min="30" max="30" width="3.28515625" style="2" customWidth="1"/>
    <col min="31" max="31" width="5.28515625" style="2" customWidth="1"/>
    <col min="32" max="32" width="8.5703125" style="2" customWidth="1"/>
    <col min="33" max="33" width="5" style="2" customWidth="1"/>
    <col min="34" max="16384" width="9.140625" style="2"/>
  </cols>
  <sheetData>
    <row r="1" spans="1:28" ht="15.75" x14ac:dyDescent="0.25">
      <c r="A1" s="62" t="str">
        <f>+Plan!A1</f>
        <v>Udmattelse</v>
      </c>
      <c r="D1" s="2" t="str">
        <f>B4&amp;" Fatigue test"</f>
        <v>EQA01 Fatigue test</v>
      </c>
    </row>
    <row r="2" spans="1:28" ht="15.75" x14ac:dyDescent="0.25">
      <c r="A2" s="62"/>
    </row>
    <row r="3" spans="1:28" ht="15.75" x14ac:dyDescent="0.25">
      <c r="A3" s="62" t="str">
        <f>+Plan!A3</f>
        <v>prj nummer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83"/>
      <c r="V3" s="183"/>
      <c r="W3" s="183"/>
    </row>
    <row r="4" spans="1:28" ht="15.75" x14ac:dyDescent="0.25">
      <c r="A4" s="62" t="str">
        <f>+Plan!A4</f>
        <v>Plader:</v>
      </c>
      <c r="B4" s="62" t="str">
        <f>+Plan!B4</f>
        <v>EQA01</v>
      </c>
      <c r="C4" s="62"/>
      <c r="D4" s="62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T4" s="9"/>
      <c r="U4" s="183"/>
      <c r="V4" s="183"/>
      <c r="W4" s="183"/>
    </row>
    <row r="5" spans="1:28" ht="16.5" thickBot="1" x14ac:dyDescent="0.3">
      <c r="A5" s="62" t="str">
        <f>+Plan!A5</f>
        <v>Geometri:</v>
      </c>
      <c r="B5" s="15"/>
      <c r="C5" s="62"/>
      <c r="D5" s="62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15"/>
      <c r="U5" s="115"/>
      <c r="V5" s="184"/>
      <c r="W5" s="184"/>
    </row>
    <row r="6" spans="1:28" ht="13.5" thickBot="1" x14ac:dyDescent="0.25">
      <c r="B6" s="15"/>
      <c r="C6" s="15" t="str">
        <f>+Plan!B6</f>
        <v>R=</v>
      </c>
      <c r="D6" s="114">
        <f>+Plan!C6</f>
        <v>0.1</v>
      </c>
      <c r="E6" s="114" t="str">
        <f>+Plan!E6</f>
        <v>Frekvens</v>
      </c>
      <c r="F6" s="114" t="str">
        <f>+Plan!F6</f>
        <v>5 Hz</v>
      </c>
      <c r="H6" s="15"/>
      <c r="I6" s="15"/>
      <c r="J6" s="15"/>
      <c r="K6" s="15"/>
      <c r="L6" s="15"/>
      <c r="M6" s="15"/>
      <c r="N6" s="205" t="s">
        <v>117</v>
      </c>
      <c r="O6" s="206"/>
      <c r="P6" s="206"/>
      <c r="Q6" s="207"/>
      <c r="R6" s="179"/>
      <c r="S6" s="179"/>
      <c r="T6" s="15"/>
      <c r="U6" s="135" t="s">
        <v>123</v>
      </c>
      <c r="W6" s="184"/>
      <c r="X6" s="184"/>
    </row>
    <row r="7" spans="1:28" x14ac:dyDescent="0.2">
      <c r="A7" s="116" t="s">
        <v>18</v>
      </c>
      <c r="B7" s="116" t="s">
        <v>2</v>
      </c>
      <c r="C7" s="116" t="s">
        <v>3</v>
      </c>
      <c r="D7" s="116" t="s">
        <v>4</v>
      </c>
      <c r="E7" s="116" t="s">
        <v>17</v>
      </c>
      <c r="F7" s="116" t="s">
        <v>9</v>
      </c>
      <c r="G7" s="116" t="s">
        <v>20</v>
      </c>
      <c r="H7" s="116" t="s">
        <v>5</v>
      </c>
      <c r="I7" s="116" t="s">
        <v>22</v>
      </c>
      <c r="J7" s="116" t="s">
        <v>6</v>
      </c>
      <c r="K7" s="116" t="s">
        <v>19</v>
      </c>
      <c r="L7" s="116" t="s">
        <v>116</v>
      </c>
      <c r="M7" s="116" t="s">
        <v>7</v>
      </c>
      <c r="N7" s="116" t="s">
        <v>114</v>
      </c>
      <c r="O7" s="116" t="s">
        <v>115</v>
      </c>
      <c r="P7" s="116" t="s">
        <v>112</v>
      </c>
      <c r="Q7" s="116" t="s">
        <v>113</v>
      </c>
      <c r="R7" s="116" t="s">
        <v>120</v>
      </c>
      <c r="S7" s="116" t="s">
        <v>10</v>
      </c>
      <c r="U7" s="135" t="s">
        <v>122</v>
      </c>
    </row>
    <row r="8" spans="1:28" ht="15" thickBot="1" x14ac:dyDescent="0.25">
      <c r="A8" s="117"/>
      <c r="B8" s="117" t="s">
        <v>11</v>
      </c>
      <c r="C8" s="117" t="s">
        <v>12</v>
      </c>
      <c r="D8" s="117" t="s">
        <v>12</v>
      </c>
      <c r="E8" s="117" t="s">
        <v>111</v>
      </c>
      <c r="F8" s="117"/>
      <c r="G8" s="117" t="s">
        <v>13</v>
      </c>
      <c r="H8" s="117" t="s">
        <v>13</v>
      </c>
      <c r="I8" s="117" t="s">
        <v>14</v>
      </c>
      <c r="J8" s="117" t="s">
        <v>15</v>
      </c>
      <c r="K8" s="117" t="s">
        <v>15</v>
      </c>
      <c r="L8" s="117" t="s">
        <v>15</v>
      </c>
      <c r="M8" s="117" t="s">
        <v>15</v>
      </c>
      <c r="N8" s="117" t="s">
        <v>25</v>
      </c>
      <c r="O8" s="117" t="s">
        <v>25</v>
      </c>
      <c r="P8" s="117" t="s">
        <v>25</v>
      </c>
      <c r="Q8" s="117" t="s">
        <v>25</v>
      </c>
      <c r="R8" s="117" t="s">
        <v>121</v>
      </c>
      <c r="S8" s="118"/>
      <c r="T8" s="2" t="s">
        <v>124</v>
      </c>
      <c r="U8" s="135" t="s">
        <v>125</v>
      </c>
      <c r="V8" s="135" t="s">
        <v>126</v>
      </c>
      <c r="W8" s="135" t="s">
        <v>127</v>
      </c>
      <c r="X8" s="135" t="s">
        <v>128</v>
      </c>
      <c r="Y8" s="135" t="s">
        <v>129</v>
      </c>
      <c r="Z8" s="135" t="s">
        <v>130</v>
      </c>
    </row>
    <row r="9" spans="1:28" x14ac:dyDescent="0.2">
      <c r="A9" s="119">
        <f>+Plan!A9</f>
        <v>42223</v>
      </c>
      <c r="B9" s="120" t="str">
        <f>+Plan!B9</f>
        <v>EQA01-01</v>
      </c>
      <c r="C9" s="121">
        <f>+Plan!C9</f>
        <v>25.24</v>
      </c>
      <c r="D9" s="121">
        <f>+Plan!D9</f>
        <v>4.25</v>
      </c>
      <c r="E9" s="122">
        <f>+Plan!E9</f>
        <v>107.27</v>
      </c>
      <c r="F9" s="126">
        <f>+Plan!L9</f>
        <v>0</v>
      </c>
      <c r="G9" s="121">
        <f>+Plan!F9</f>
        <v>0</v>
      </c>
      <c r="H9" s="123">
        <f t="shared" ref="H9:H17" si="0">IF(ISNUMBER(G9),+G9*(1-$D$6),"")</f>
        <v>0</v>
      </c>
      <c r="I9" s="124">
        <f>+J9/E9*1000</f>
        <v>0</v>
      </c>
      <c r="J9" s="121">
        <f>+O9*G9*E9/100</f>
        <v>0</v>
      </c>
      <c r="K9" s="125">
        <f>+J9*$D$6</f>
        <v>0</v>
      </c>
      <c r="L9" s="123">
        <f t="shared" ref="L9" si="1">+(J9+K9)/2</f>
        <v>0</v>
      </c>
      <c r="M9" s="123">
        <f t="shared" ref="M9" si="2">+(J9-K9)/2</f>
        <v>0</v>
      </c>
      <c r="N9" s="121">
        <f>+U9</f>
        <v>0</v>
      </c>
      <c r="O9" s="121">
        <f>+V9</f>
        <v>37.58</v>
      </c>
      <c r="P9" s="121">
        <f>+X9</f>
        <v>0</v>
      </c>
      <c r="Q9" s="121">
        <f>+Z9</f>
        <v>0</v>
      </c>
      <c r="R9" s="177" t="e">
        <f t="shared" ref="R9:R17" si="3">+ABS(P9-Q9)/(P9+Q9)</f>
        <v>#DIV/0!</v>
      </c>
      <c r="S9" s="126" t="str">
        <f>+Plan!N9</f>
        <v>88R1342</v>
      </c>
      <c r="V9" s="135">
        <f>Plan!G9</f>
        <v>37.58</v>
      </c>
      <c r="AA9" s="135"/>
      <c r="AB9" s="135"/>
    </row>
    <row r="10" spans="1:28" x14ac:dyDescent="0.2">
      <c r="A10" s="119">
        <f>+Plan!A10</f>
        <v>42223</v>
      </c>
      <c r="B10" s="120" t="str">
        <f>+Plan!B10</f>
        <v>EQA01-02</v>
      </c>
      <c r="C10" s="121">
        <f>+Plan!C10</f>
        <v>25.29</v>
      </c>
      <c r="D10" s="121">
        <f>+Plan!D10</f>
        <v>4.34</v>
      </c>
      <c r="E10" s="122">
        <f>+Plan!E10</f>
        <v>109.75859999999999</v>
      </c>
      <c r="F10" s="126">
        <f>+Plan!L10</f>
        <v>0</v>
      </c>
      <c r="G10" s="121">
        <f>+Plan!F10</f>
        <v>0</v>
      </c>
      <c r="H10" s="123">
        <f t="shared" si="0"/>
        <v>0</v>
      </c>
      <c r="I10" s="124">
        <f t="shared" ref="I10:I16" si="4">+J10/C10/D10*1000</f>
        <v>0</v>
      </c>
      <c r="J10" s="121">
        <f t="shared" ref="J10:J16" si="5">+O10*G10*E10/100</f>
        <v>0</v>
      </c>
      <c r="K10" s="125">
        <f t="shared" ref="K10:K17" si="6">+J10*$D$6</f>
        <v>0</v>
      </c>
      <c r="L10" s="123">
        <f t="shared" ref="L10:L16" si="7">+(J10+K10)/2</f>
        <v>0</v>
      </c>
      <c r="M10" s="123">
        <f t="shared" ref="M10:M16" si="8">+(J10-K10)/2</f>
        <v>0</v>
      </c>
      <c r="N10" s="121">
        <f t="shared" ref="N10:N12" si="9">+U10</f>
        <v>0</v>
      </c>
      <c r="O10" s="121">
        <f t="shared" ref="O10:O20" si="10">+V10</f>
        <v>37.700000000000003</v>
      </c>
      <c r="P10" s="121">
        <f t="shared" ref="P10:P12" si="11">+X10</f>
        <v>0</v>
      </c>
      <c r="Q10" s="121">
        <f t="shared" ref="Q10:Q12" si="12">+Z10</f>
        <v>0</v>
      </c>
      <c r="R10" s="177" t="e">
        <f t="shared" si="3"/>
        <v>#DIV/0!</v>
      </c>
      <c r="S10" s="126" t="str">
        <f>+Plan!N10</f>
        <v>88R1342</v>
      </c>
      <c r="V10" s="135">
        <f>Plan!G10</f>
        <v>37.700000000000003</v>
      </c>
    </row>
    <row r="11" spans="1:28" ht="15" x14ac:dyDescent="0.25">
      <c r="A11" s="119">
        <f>+Plan!A11</f>
        <v>42223</v>
      </c>
      <c r="B11" s="120" t="str">
        <f>+Plan!B11</f>
        <v>EQA01-03</v>
      </c>
      <c r="C11" s="121">
        <f>+Plan!C11</f>
        <v>25.3</v>
      </c>
      <c r="D11" s="121">
        <f>+Plan!D11</f>
        <v>4.2300000000000004</v>
      </c>
      <c r="E11" s="122">
        <f>+Plan!E11</f>
        <v>107.01900000000002</v>
      </c>
      <c r="F11" s="126">
        <f>+Plan!L11</f>
        <v>10766</v>
      </c>
      <c r="G11" s="121">
        <f>+Plan!F11</f>
        <v>1.5</v>
      </c>
      <c r="H11" s="123">
        <f t="shared" si="0"/>
        <v>1.35</v>
      </c>
      <c r="I11" s="124">
        <f t="shared" si="4"/>
        <v>573.42718500000001</v>
      </c>
      <c r="J11" s="121">
        <f t="shared" si="5"/>
        <v>61.367603911515019</v>
      </c>
      <c r="K11" s="125">
        <f t="shared" si="6"/>
        <v>6.1367603911515021</v>
      </c>
      <c r="L11" s="123">
        <f t="shared" si="7"/>
        <v>33.752182151333258</v>
      </c>
      <c r="M11" s="123">
        <f t="shared" si="8"/>
        <v>27.615421760181757</v>
      </c>
      <c r="N11" s="121">
        <f t="shared" si="9"/>
        <v>37.984872000000003</v>
      </c>
      <c r="O11" s="121">
        <f t="shared" si="10"/>
        <v>38.228479</v>
      </c>
      <c r="P11" s="121">
        <f t="shared" si="11"/>
        <v>38.254426000000002</v>
      </c>
      <c r="Q11" s="121">
        <f t="shared" si="12"/>
        <v>38.201658999999999</v>
      </c>
      <c r="R11" s="177">
        <f t="shared" si="3"/>
        <v>6.9016089432257606E-4</v>
      </c>
      <c r="S11" s="126" t="str">
        <f>+Plan!N11</f>
        <v>88R1342</v>
      </c>
      <c r="T11" s="202" t="s">
        <v>158</v>
      </c>
      <c r="U11" s="202">
        <v>37.984872000000003</v>
      </c>
      <c r="V11" s="202">
        <v>38.228479</v>
      </c>
      <c r="W11" s="202">
        <v>38.721035000000001</v>
      </c>
      <c r="X11" s="202">
        <v>38.254426000000002</v>
      </c>
      <c r="Y11" s="202">
        <v>37.276068000000002</v>
      </c>
      <c r="Z11" s="202">
        <v>38.201658999999999</v>
      </c>
    </row>
    <row r="12" spans="1:28" ht="15" x14ac:dyDescent="0.25">
      <c r="A12" s="119">
        <f>+Plan!A12</f>
        <v>42222</v>
      </c>
      <c r="B12" s="120" t="str">
        <f>+Plan!B12</f>
        <v>EQA01-04</v>
      </c>
      <c r="C12" s="121">
        <f>+Plan!C12</f>
        <v>25.29</v>
      </c>
      <c r="D12" s="121">
        <f>+Plan!D12</f>
        <v>4.3</v>
      </c>
      <c r="E12" s="122">
        <f>+Plan!E12</f>
        <v>108.74699999999999</v>
      </c>
      <c r="F12" s="126">
        <f>+Plan!L12</f>
        <v>148187</v>
      </c>
      <c r="G12" s="121">
        <f>+Plan!F12</f>
        <v>1.1000000000000001</v>
      </c>
      <c r="H12" s="123">
        <f t="shared" si="0"/>
        <v>0.9900000000000001</v>
      </c>
      <c r="I12" s="124">
        <f t="shared" si="4"/>
        <v>417.16890599999999</v>
      </c>
      <c r="J12" s="121">
        <f t="shared" si="5"/>
        <v>45.365867020781998</v>
      </c>
      <c r="K12" s="125">
        <f t="shared" si="6"/>
        <v>4.5365867020781998</v>
      </c>
      <c r="L12" s="123">
        <f t="shared" si="7"/>
        <v>24.951226861430101</v>
      </c>
      <c r="M12" s="123">
        <f t="shared" si="8"/>
        <v>20.414640159351897</v>
      </c>
      <c r="N12" s="121">
        <f t="shared" si="9"/>
        <v>37.820213000000003</v>
      </c>
      <c r="O12" s="121">
        <f t="shared" si="10"/>
        <v>37.924446000000003</v>
      </c>
      <c r="P12" s="121">
        <f t="shared" si="11"/>
        <v>38.051265000000001</v>
      </c>
      <c r="Q12" s="121">
        <f t="shared" si="12"/>
        <v>37.798122999999997</v>
      </c>
      <c r="R12" s="177">
        <f t="shared" si="3"/>
        <v>3.3374296968619438E-3</v>
      </c>
      <c r="S12" s="126" t="str">
        <f>+Plan!N12</f>
        <v>88R1342</v>
      </c>
      <c r="T12" s="202" t="s">
        <v>159</v>
      </c>
      <c r="U12" s="202">
        <v>37.820213000000003</v>
      </c>
      <c r="V12" s="202">
        <v>37.924446000000003</v>
      </c>
      <c r="W12" s="202">
        <v>38.125467</v>
      </c>
      <c r="X12" s="202">
        <v>38.051265000000001</v>
      </c>
      <c r="Y12" s="202">
        <v>37.518909999999998</v>
      </c>
      <c r="Z12" s="202">
        <v>37.798122999999997</v>
      </c>
    </row>
    <row r="13" spans="1:28" ht="15" x14ac:dyDescent="0.25">
      <c r="A13" s="119">
        <f>+Plan!A13</f>
        <v>42222</v>
      </c>
      <c r="B13" s="120" t="str">
        <f>+Plan!B13</f>
        <v>EQA01-05</v>
      </c>
      <c r="C13" s="121">
        <f>+Plan!C13</f>
        <v>25.26</v>
      </c>
      <c r="D13" s="121">
        <f>+Plan!D13</f>
        <v>4.17</v>
      </c>
      <c r="E13" s="122">
        <f>+Plan!E13</f>
        <v>105.33420000000001</v>
      </c>
      <c r="F13" s="126">
        <f>+Plan!L13</f>
        <v>581856</v>
      </c>
      <c r="G13" s="121">
        <f>+Plan!F13</f>
        <v>0.9</v>
      </c>
      <c r="H13" s="123">
        <f t="shared" si="0"/>
        <v>0.81</v>
      </c>
      <c r="I13" s="124">
        <f t="shared" si="4"/>
        <v>348.11374500000005</v>
      </c>
      <c r="J13" s="121">
        <f t="shared" si="5"/>
        <v>36.668282838579003</v>
      </c>
      <c r="K13" s="125">
        <f t="shared" si="6"/>
        <v>3.6668282838579005</v>
      </c>
      <c r="L13" s="123">
        <f t="shared" si="7"/>
        <v>20.167555561218453</v>
      </c>
      <c r="M13" s="123">
        <f t="shared" si="8"/>
        <v>16.50072727736055</v>
      </c>
      <c r="N13" s="121"/>
      <c r="O13" s="121">
        <f t="shared" si="10"/>
        <v>38.679304999999999</v>
      </c>
      <c r="P13" s="121"/>
      <c r="Q13" s="121"/>
      <c r="R13" s="177" t="e">
        <f t="shared" si="3"/>
        <v>#DIV/0!</v>
      </c>
      <c r="S13" s="126" t="str">
        <f>+Plan!N13</f>
        <v>88R1331</v>
      </c>
      <c r="T13" s="202" t="s">
        <v>160</v>
      </c>
      <c r="U13" s="202">
        <v>38.554063999999997</v>
      </c>
      <c r="V13" s="202">
        <v>38.679304999999999</v>
      </c>
      <c r="W13" s="202">
        <v>38.338394999999998</v>
      </c>
      <c r="X13" s="202">
        <v>38.562885999999999</v>
      </c>
      <c r="Y13" s="202">
        <v>38.771794</v>
      </c>
      <c r="Z13" s="202">
        <v>38.796213999999999</v>
      </c>
    </row>
    <row r="14" spans="1:28" ht="15" x14ac:dyDescent="0.25">
      <c r="A14" s="127">
        <f>+Plan!A14</f>
        <v>42222</v>
      </c>
      <c r="B14" s="128" t="str">
        <f>+Plan!B14</f>
        <v>EQA01-06</v>
      </c>
      <c r="C14" s="121">
        <f>+Plan!C14</f>
        <v>25.28</v>
      </c>
      <c r="D14" s="121">
        <f>+Plan!D14</f>
        <v>4.26</v>
      </c>
      <c r="E14" s="122">
        <f>+Plan!E14</f>
        <v>107.69280000000001</v>
      </c>
      <c r="F14" s="126">
        <f>+Plan!L14</f>
        <v>290916</v>
      </c>
      <c r="G14" s="121">
        <f>+Plan!F14</f>
        <v>1</v>
      </c>
      <c r="H14" s="123">
        <f t="shared" si="0"/>
        <v>0.9</v>
      </c>
      <c r="I14" s="124">
        <f t="shared" si="4"/>
        <v>376.86881999999997</v>
      </c>
      <c r="J14" s="121">
        <f t="shared" si="5"/>
        <v>40.586058458495998</v>
      </c>
      <c r="K14" s="125">
        <f t="shared" si="6"/>
        <v>4.0586058458496002</v>
      </c>
      <c r="L14" s="123">
        <f t="shared" si="7"/>
        <v>22.322332152172798</v>
      </c>
      <c r="M14" s="123">
        <f t="shared" si="8"/>
        <v>18.2637263063232</v>
      </c>
      <c r="N14" s="121"/>
      <c r="O14" s="121">
        <f t="shared" si="10"/>
        <v>37.686881999999997</v>
      </c>
      <c r="P14" s="121"/>
      <c r="Q14" s="121"/>
      <c r="R14" s="177" t="e">
        <f t="shared" si="3"/>
        <v>#DIV/0!</v>
      </c>
      <c r="S14" s="126" t="str">
        <f>+Plan!N14</f>
        <v>88R1332</v>
      </c>
      <c r="T14" s="202" t="s">
        <v>161</v>
      </c>
      <c r="U14" s="202">
        <v>37.821126999999997</v>
      </c>
      <c r="V14" s="202">
        <v>37.686881999999997</v>
      </c>
      <c r="W14" s="202">
        <v>37.349322999999998</v>
      </c>
      <c r="X14" s="202">
        <v>37.265368000000002</v>
      </c>
      <c r="Y14" s="202">
        <v>38.303642000000004</v>
      </c>
      <c r="Z14" s="202">
        <v>38.117153000000002</v>
      </c>
    </row>
    <row r="15" spans="1:28" ht="15" x14ac:dyDescent="0.25">
      <c r="A15" s="119">
        <f>+Plan!A15</f>
        <v>0</v>
      </c>
      <c r="B15" s="120" t="str">
        <f>+Plan!B15</f>
        <v>EQA01-07</v>
      </c>
      <c r="C15" s="129">
        <f>+Plan!C15</f>
        <v>25.32</v>
      </c>
      <c r="D15" s="129">
        <f>+Plan!D15</f>
        <v>4.07</v>
      </c>
      <c r="E15" s="130">
        <f>+Plan!E15</f>
        <v>103.05240000000001</v>
      </c>
      <c r="F15" s="134">
        <f>+Plan!L15</f>
        <v>0</v>
      </c>
      <c r="G15" s="129">
        <f>+Plan!F15</f>
        <v>0</v>
      </c>
      <c r="H15" s="131">
        <f t="shared" si="0"/>
        <v>0</v>
      </c>
      <c r="I15" s="132">
        <f t="shared" si="4"/>
        <v>0</v>
      </c>
      <c r="J15" s="129">
        <f t="shared" si="5"/>
        <v>0</v>
      </c>
      <c r="K15" s="133">
        <f t="shared" si="6"/>
        <v>0</v>
      </c>
      <c r="L15" s="131">
        <f t="shared" si="7"/>
        <v>0</v>
      </c>
      <c r="M15" s="131">
        <f t="shared" si="8"/>
        <v>0</v>
      </c>
      <c r="N15" s="129"/>
      <c r="O15" s="121">
        <f t="shared" si="10"/>
        <v>0</v>
      </c>
      <c r="P15" s="129"/>
      <c r="Q15" s="129"/>
      <c r="R15" s="178" t="e">
        <f t="shared" si="3"/>
        <v>#DIV/0!</v>
      </c>
      <c r="S15" s="126">
        <f>+Plan!N15</f>
        <v>0</v>
      </c>
      <c r="T15" s="202"/>
      <c r="U15" s="202"/>
      <c r="V15" s="202"/>
      <c r="W15" s="202"/>
      <c r="X15" s="202"/>
      <c r="Y15" s="202"/>
      <c r="Z15" s="202"/>
    </row>
    <row r="16" spans="1:28" ht="15" x14ac:dyDescent="0.25">
      <c r="A16" s="127">
        <f>+Plan!A16</f>
        <v>0</v>
      </c>
      <c r="B16" s="128" t="str">
        <f>+Plan!B16</f>
        <v>EQA01-08</v>
      </c>
      <c r="C16" s="121">
        <f>+Plan!C16</f>
        <v>25.39</v>
      </c>
      <c r="D16" s="121">
        <f>+Plan!D16</f>
        <v>4.33</v>
      </c>
      <c r="E16" s="122">
        <f>+Plan!E16</f>
        <v>109.9387</v>
      </c>
      <c r="F16" s="126">
        <f>+Plan!L16</f>
        <v>0</v>
      </c>
      <c r="G16" s="129">
        <f>+Plan!F16</f>
        <v>0</v>
      </c>
      <c r="H16" s="123">
        <f t="shared" si="0"/>
        <v>0</v>
      </c>
      <c r="I16" s="124">
        <f t="shared" si="4"/>
        <v>0</v>
      </c>
      <c r="J16" s="121">
        <f t="shared" si="5"/>
        <v>0</v>
      </c>
      <c r="K16" s="125">
        <f t="shared" si="6"/>
        <v>0</v>
      </c>
      <c r="L16" s="123">
        <f t="shared" si="7"/>
        <v>0</v>
      </c>
      <c r="M16" s="123">
        <f t="shared" si="8"/>
        <v>0</v>
      </c>
      <c r="N16" s="121"/>
      <c r="O16" s="121">
        <f t="shared" si="10"/>
        <v>0</v>
      </c>
      <c r="P16" s="121"/>
      <c r="Q16" s="121"/>
      <c r="R16" s="177" t="e">
        <f t="shared" si="3"/>
        <v>#DIV/0!</v>
      </c>
      <c r="S16" s="126">
        <f>+Plan!N16</f>
        <v>0</v>
      </c>
      <c r="T16" s="202"/>
      <c r="U16" s="202"/>
      <c r="V16" s="202"/>
      <c r="W16" s="202"/>
      <c r="X16" s="202"/>
      <c r="Y16" s="202"/>
      <c r="Z16" s="202"/>
    </row>
    <row r="17" spans="1:26" ht="15" x14ac:dyDescent="0.25">
      <c r="A17" s="127">
        <f>+Plan!A17</f>
        <v>42223</v>
      </c>
      <c r="B17" s="128" t="str">
        <f>+Plan!B17</f>
        <v>EQA01-09</v>
      </c>
      <c r="C17" s="121">
        <f>+Plan!C17</f>
        <v>25.41</v>
      </c>
      <c r="D17" s="121">
        <f>+Plan!D17</f>
        <v>4.17</v>
      </c>
      <c r="E17" s="122">
        <f>+Plan!E17</f>
        <v>105.9597</v>
      </c>
      <c r="F17" s="126">
        <f>+Plan!L17</f>
        <v>35032</v>
      </c>
      <c r="G17" s="129">
        <f>+Plan!F17</f>
        <v>1.3</v>
      </c>
      <c r="H17" s="123">
        <f t="shared" si="0"/>
        <v>1.1700000000000002</v>
      </c>
      <c r="I17" s="124">
        <f t="shared" ref="I17" si="13">+J17/C17/D17*1000</f>
        <v>512.45767299999989</v>
      </c>
      <c r="J17" s="121">
        <f t="shared" ref="J17" si="14">+O17*G17*E17/100</f>
        <v>54.299861293778093</v>
      </c>
      <c r="K17" s="125">
        <f t="shared" si="6"/>
        <v>5.4299861293778093</v>
      </c>
      <c r="L17" s="123">
        <f t="shared" ref="L17" si="15">+(J17+K17)/2</f>
        <v>29.864923711577951</v>
      </c>
      <c r="M17" s="123">
        <f t="shared" ref="M17" si="16">+(J17-K17)/2</f>
        <v>24.434937582200142</v>
      </c>
      <c r="N17" s="123"/>
      <c r="O17" s="121">
        <f t="shared" si="10"/>
        <v>39.419820999999999</v>
      </c>
      <c r="P17" s="121"/>
      <c r="Q17" s="121"/>
      <c r="R17" s="177" t="e">
        <f t="shared" si="3"/>
        <v>#DIV/0!</v>
      </c>
      <c r="S17" s="126" t="str">
        <f>+Plan!N17</f>
        <v>88R1342</v>
      </c>
      <c r="T17" s="202" t="s">
        <v>162</v>
      </c>
      <c r="U17" s="202">
        <v>39.369883999999999</v>
      </c>
      <c r="V17" s="202">
        <v>39.419820999999999</v>
      </c>
      <c r="W17" s="202">
        <v>38.327322000000002</v>
      </c>
      <c r="X17" s="202">
        <v>38.388978999999999</v>
      </c>
      <c r="Y17" s="202">
        <v>40.459856000000002</v>
      </c>
      <c r="Z17" s="202">
        <v>40.505381</v>
      </c>
    </row>
    <row r="18" spans="1:26" ht="15" x14ac:dyDescent="0.25">
      <c r="A18" s="127">
        <f>+Plan!A18</f>
        <v>42223</v>
      </c>
      <c r="B18" s="128" t="str">
        <f>+Plan!B18</f>
        <v>EQA01-10</v>
      </c>
      <c r="C18" s="121">
        <f>+Plan!C18</f>
        <v>25.38</v>
      </c>
      <c r="D18" s="121">
        <f>+Plan!D18</f>
        <v>4.16</v>
      </c>
      <c r="E18" s="122">
        <f>+Plan!E18</f>
        <v>105.5808</v>
      </c>
      <c r="F18" s="126">
        <f>+Plan!L18</f>
        <v>2000000</v>
      </c>
      <c r="G18" s="129">
        <f>+Plan!F18</f>
        <v>0.8</v>
      </c>
      <c r="H18" s="123">
        <f t="shared" ref="H18" si="17">IF(ISNUMBER(G18),+G18*(1-$D$6),"")</f>
        <v>0.72000000000000008</v>
      </c>
      <c r="I18" s="124">
        <f t="shared" ref="I18" si="18">+J18/C18/D18*1000</f>
        <v>306.26963199999994</v>
      </c>
      <c r="J18" s="121">
        <f t="shared" ref="J18" si="19">+O18*G18*E18/100</f>
        <v>32.336192762265597</v>
      </c>
      <c r="K18" s="125">
        <f t="shared" ref="K18" si="20">+J18*$D$6</f>
        <v>3.2336192762265599</v>
      </c>
      <c r="L18" s="123">
        <f t="shared" ref="L18" si="21">+(J18+K18)/2</f>
        <v>17.78490601924608</v>
      </c>
      <c r="M18" s="123">
        <f t="shared" ref="M18" si="22">+(J18-K18)/2</f>
        <v>14.551286743019519</v>
      </c>
      <c r="N18" s="123"/>
      <c r="O18" s="121">
        <f t="shared" si="10"/>
        <v>38.283704</v>
      </c>
      <c r="P18" s="121"/>
      <c r="Q18" s="121"/>
      <c r="R18" s="177" t="e">
        <f t="shared" ref="R18" si="23">+ABS(P18-Q18)/(P18+Q18)</f>
        <v>#DIV/0!</v>
      </c>
      <c r="S18" s="126" t="str">
        <f>+Plan!N18</f>
        <v>88R1332</v>
      </c>
      <c r="T18" s="202" t="s">
        <v>163</v>
      </c>
      <c r="U18" s="202">
        <v>38.260672</v>
      </c>
      <c r="V18" s="202">
        <v>38.283704</v>
      </c>
      <c r="W18" s="202">
        <v>38.263120999999998</v>
      </c>
      <c r="X18" s="202">
        <v>38.294539</v>
      </c>
      <c r="Y18" s="202">
        <v>38.257876000000003</v>
      </c>
      <c r="Z18" s="202">
        <v>38.272630999999997</v>
      </c>
    </row>
    <row r="19" spans="1:26" ht="15" x14ac:dyDescent="0.25">
      <c r="A19" s="127">
        <f>+Plan!A19</f>
        <v>42226</v>
      </c>
      <c r="B19" s="128" t="str">
        <f>+Plan!B19</f>
        <v>EQA01-11</v>
      </c>
      <c r="C19" s="121">
        <f>+Plan!C19</f>
        <v>25.41</v>
      </c>
      <c r="D19" s="121">
        <f>+Plan!D19</f>
        <v>4.21</v>
      </c>
      <c r="E19" s="122">
        <f>+Plan!E19</f>
        <v>106.9761</v>
      </c>
      <c r="F19" s="126">
        <f>+Plan!L19</f>
        <v>53299</v>
      </c>
      <c r="G19" s="129">
        <f>+Plan!F19</f>
        <v>1.2</v>
      </c>
      <c r="H19" s="123">
        <f t="shared" ref="H19" si="24">IF(ISNUMBER(G19),+G19*(1-$D$6),"")</f>
        <v>1.08</v>
      </c>
      <c r="I19" s="124">
        <f t="shared" ref="I19" si="25">+J19/C19/D19*1000</f>
        <v>467.13604800000002</v>
      </c>
      <c r="J19" s="121">
        <f t="shared" ref="J19" si="26">+O19*G19*E19/100</f>
        <v>49.972392584452798</v>
      </c>
      <c r="K19" s="125">
        <f t="shared" ref="K19" si="27">+J19*$D$6</f>
        <v>4.9972392584452798</v>
      </c>
      <c r="L19" s="123">
        <f t="shared" ref="L19" si="28">+(J19+K19)/2</f>
        <v>27.484815921449041</v>
      </c>
      <c r="M19" s="123">
        <f t="shared" ref="M19" si="29">+(J19-K19)/2</f>
        <v>22.487576663003757</v>
      </c>
      <c r="N19" s="123"/>
      <c r="O19" s="121">
        <f t="shared" si="10"/>
        <v>38.928004000000001</v>
      </c>
      <c r="P19" s="121"/>
      <c r="Q19" s="121"/>
      <c r="R19" s="177" t="e">
        <f t="shared" ref="R19" si="30">+ABS(P19-Q19)/(P19+Q19)</f>
        <v>#DIV/0!</v>
      </c>
      <c r="S19" s="126" t="str">
        <f>+Plan!N19</f>
        <v>88R1342</v>
      </c>
      <c r="T19" s="202" t="s">
        <v>164</v>
      </c>
      <c r="U19" s="202">
        <v>39.798487000000002</v>
      </c>
      <c r="V19" s="202">
        <v>38.928004000000001</v>
      </c>
      <c r="W19" s="202">
        <v>38.223931</v>
      </c>
      <c r="X19" s="202">
        <v>38.328819000000003</v>
      </c>
      <c r="Y19" s="202">
        <v>41.494061000000002</v>
      </c>
      <c r="Z19" s="202">
        <v>39.544401000000001</v>
      </c>
    </row>
    <row r="20" spans="1:26" ht="15" x14ac:dyDescent="0.25">
      <c r="A20" s="127">
        <f>+Plan!A20</f>
        <v>42226</v>
      </c>
      <c r="B20" s="128" t="str">
        <f>+Plan!B20</f>
        <v>EQA01-12</v>
      </c>
      <c r="C20" s="121">
        <f>+Plan!C20</f>
        <v>25.34</v>
      </c>
      <c r="D20" s="121">
        <f>+Plan!D20</f>
        <v>4.25</v>
      </c>
      <c r="E20" s="122">
        <f>+Plan!E20</f>
        <v>107.69499999999999</v>
      </c>
      <c r="F20" s="126">
        <f>+Plan!L20</f>
        <v>1350848</v>
      </c>
      <c r="G20" s="129">
        <f>+Plan!F20</f>
        <v>0.85</v>
      </c>
      <c r="H20" s="123">
        <f t="shared" ref="H20" si="31">IF(ISNUMBER(G20),+G20*(1-$D$6),"")</f>
        <v>0.76500000000000001</v>
      </c>
      <c r="I20" s="124">
        <f t="shared" ref="I20" si="32">+J20/C20/D20*1000</f>
        <v>315.90392800000001</v>
      </c>
      <c r="J20" s="121">
        <f t="shared" ref="J20" si="33">+O20*G20*E20/100</f>
        <v>34.021273525959998</v>
      </c>
      <c r="K20" s="125">
        <f t="shared" ref="K20" si="34">+J20*$D$6</f>
        <v>3.4021273525960001</v>
      </c>
      <c r="L20" s="123">
        <f t="shared" ref="L20" si="35">+(J20+K20)/2</f>
        <v>18.711700439277998</v>
      </c>
      <c r="M20" s="123">
        <f t="shared" ref="M20" si="36">+(J20-K20)/2</f>
        <v>15.309573086681999</v>
      </c>
      <c r="N20" s="123"/>
      <c r="O20" s="121">
        <f t="shared" si="10"/>
        <v>37.165168000000001</v>
      </c>
      <c r="P20" s="121"/>
      <c r="Q20" s="121"/>
      <c r="R20" s="177" t="e">
        <f t="shared" ref="R20" si="37">+ABS(P20-Q20)/(P20+Q20)</f>
        <v>#DIV/0!</v>
      </c>
      <c r="S20" s="126" t="str">
        <f>+Plan!N20</f>
        <v>88R1331</v>
      </c>
      <c r="T20" s="202" t="s">
        <v>165</v>
      </c>
      <c r="U20" s="202">
        <v>37.320143000000002</v>
      </c>
      <c r="V20" s="202">
        <v>37.165168000000001</v>
      </c>
      <c r="W20" s="202">
        <v>37.271026999999997</v>
      </c>
      <c r="X20" s="202">
        <v>36.983108000000001</v>
      </c>
      <c r="Y20" s="202">
        <v>37.369275000000002</v>
      </c>
      <c r="Z20" s="202">
        <v>37.348979</v>
      </c>
    </row>
    <row r="21" spans="1:26" ht="19.5" thickBot="1" x14ac:dyDescent="0.35">
      <c r="A21" s="45" t="s">
        <v>109</v>
      </c>
      <c r="B21" s="44" t="s">
        <v>110</v>
      </c>
    </row>
    <row r="22" spans="1:26" ht="15.75" thickBot="1" x14ac:dyDescent="0.3">
      <c r="A22" s="50" t="s">
        <v>108</v>
      </c>
      <c r="B22" s="51" t="s">
        <v>101</v>
      </c>
      <c r="C22" s="50" t="s">
        <v>108</v>
      </c>
      <c r="D22" s="51" t="s">
        <v>5</v>
      </c>
      <c r="E22" s="50" t="s">
        <v>108</v>
      </c>
      <c r="F22" s="51" t="s">
        <v>102</v>
      </c>
      <c r="H22" s="2" t="s">
        <v>167</v>
      </c>
      <c r="I22" s="2" t="s">
        <v>168</v>
      </c>
    </row>
    <row r="23" spans="1:26" x14ac:dyDescent="0.2">
      <c r="A23" s="48">
        <f>+F9</f>
        <v>0</v>
      </c>
      <c r="B23" s="53">
        <f>+G9</f>
        <v>0</v>
      </c>
      <c r="C23" s="52">
        <f>+F9</f>
        <v>0</v>
      </c>
      <c r="D23" s="49">
        <f>+H9</f>
        <v>0</v>
      </c>
      <c r="E23" s="52">
        <f>+F9</f>
        <v>0</v>
      </c>
      <c r="F23" s="57">
        <f>+I9</f>
        <v>0</v>
      </c>
      <c r="G23" s="2" t="str">
        <f>+B4</f>
        <v>EQA01</v>
      </c>
      <c r="H23" s="135">
        <f>+Plan!H22</f>
        <v>38.288749999999993</v>
      </c>
      <c r="I23" s="48">
        <f>+'ASTM E739 stat (Max Strain)'!J13</f>
        <v>293312.95849169919</v>
      </c>
    </row>
    <row r="24" spans="1:26" x14ac:dyDescent="0.2">
      <c r="A24" s="48">
        <f t="shared" ref="A24:A31" si="38">+F10</f>
        <v>0</v>
      </c>
      <c r="B24" s="55">
        <f t="shared" ref="B24:B31" si="39">+G10</f>
        <v>0</v>
      </c>
      <c r="C24" s="54">
        <f t="shared" ref="C24:C31" si="40">+F10</f>
        <v>0</v>
      </c>
      <c r="D24" s="49">
        <f t="shared" ref="D24:D31" si="41">+H10</f>
        <v>0</v>
      </c>
      <c r="E24" s="54">
        <f t="shared" ref="E24:E31" si="42">+F10</f>
        <v>0</v>
      </c>
      <c r="F24" s="58">
        <f t="shared" ref="F24:F31" si="43">+I10</f>
        <v>0</v>
      </c>
    </row>
    <row r="25" spans="1:26" x14ac:dyDescent="0.2">
      <c r="A25" s="48">
        <f t="shared" si="38"/>
        <v>10766</v>
      </c>
      <c r="B25" s="55">
        <f t="shared" si="39"/>
        <v>1.5</v>
      </c>
      <c r="C25" s="54">
        <f t="shared" si="40"/>
        <v>10766</v>
      </c>
      <c r="D25" s="49">
        <f t="shared" si="41"/>
        <v>1.35</v>
      </c>
      <c r="E25" s="54">
        <f t="shared" si="42"/>
        <v>10766</v>
      </c>
      <c r="F25" s="146">
        <f t="shared" si="43"/>
        <v>573.42718500000001</v>
      </c>
    </row>
    <row r="26" spans="1:26" x14ac:dyDescent="0.2">
      <c r="A26" s="48">
        <f t="shared" si="38"/>
        <v>148187</v>
      </c>
      <c r="B26" s="55">
        <f t="shared" si="39"/>
        <v>1.1000000000000001</v>
      </c>
      <c r="C26" s="54">
        <f t="shared" si="40"/>
        <v>148187</v>
      </c>
      <c r="D26" s="49">
        <f t="shared" si="41"/>
        <v>0.9900000000000001</v>
      </c>
      <c r="E26" s="54">
        <f t="shared" si="42"/>
        <v>148187</v>
      </c>
      <c r="F26" s="146">
        <f t="shared" si="43"/>
        <v>417.16890599999999</v>
      </c>
    </row>
    <row r="27" spans="1:26" x14ac:dyDescent="0.2">
      <c r="A27" s="48">
        <f t="shared" si="38"/>
        <v>581856</v>
      </c>
      <c r="B27" s="55">
        <f t="shared" si="39"/>
        <v>0.9</v>
      </c>
      <c r="C27" s="54">
        <f t="shared" si="40"/>
        <v>581856</v>
      </c>
      <c r="D27" s="49">
        <f t="shared" si="41"/>
        <v>0.81</v>
      </c>
      <c r="E27" s="54">
        <f t="shared" si="42"/>
        <v>581856</v>
      </c>
      <c r="F27" s="146">
        <f t="shared" si="43"/>
        <v>348.11374500000005</v>
      </c>
    </row>
    <row r="28" spans="1:26" x14ac:dyDescent="0.2">
      <c r="A28" s="48">
        <f t="shared" si="38"/>
        <v>290916</v>
      </c>
      <c r="B28" s="55">
        <f t="shared" si="39"/>
        <v>1</v>
      </c>
      <c r="C28" s="54">
        <f t="shared" si="40"/>
        <v>290916</v>
      </c>
      <c r="D28" s="49">
        <f t="shared" si="41"/>
        <v>0.9</v>
      </c>
      <c r="E28" s="54">
        <f t="shared" si="42"/>
        <v>290916</v>
      </c>
      <c r="F28" s="146">
        <f t="shared" si="43"/>
        <v>376.86881999999997</v>
      </c>
    </row>
    <row r="29" spans="1:26" x14ac:dyDescent="0.2">
      <c r="A29" s="48">
        <f t="shared" si="38"/>
        <v>0</v>
      </c>
      <c r="B29" s="55">
        <f t="shared" si="39"/>
        <v>0</v>
      </c>
      <c r="C29" s="54">
        <f t="shared" si="40"/>
        <v>0</v>
      </c>
      <c r="D29" s="49">
        <f t="shared" si="41"/>
        <v>0</v>
      </c>
      <c r="E29" s="54">
        <f t="shared" si="42"/>
        <v>0</v>
      </c>
      <c r="F29" s="146">
        <f t="shared" si="43"/>
        <v>0</v>
      </c>
    </row>
    <row r="30" spans="1:26" x14ac:dyDescent="0.2">
      <c r="A30" s="48">
        <f t="shared" si="38"/>
        <v>0</v>
      </c>
      <c r="B30" s="55">
        <f t="shared" si="39"/>
        <v>0</v>
      </c>
      <c r="C30" s="54">
        <f t="shared" si="40"/>
        <v>0</v>
      </c>
      <c r="D30" s="49">
        <f t="shared" si="41"/>
        <v>0</v>
      </c>
      <c r="E30" s="54">
        <f t="shared" si="42"/>
        <v>0</v>
      </c>
      <c r="F30" s="146">
        <f t="shared" si="43"/>
        <v>0</v>
      </c>
    </row>
    <row r="31" spans="1:26" x14ac:dyDescent="0.2">
      <c r="A31" s="48">
        <f t="shared" si="38"/>
        <v>35032</v>
      </c>
      <c r="B31" s="55">
        <f t="shared" si="39"/>
        <v>1.3</v>
      </c>
      <c r="C31" s="54">
        <f t="shared" si="40"/>
        <v>35032</v>
      </c>
      <c r="D31" s="49">
        <f t="shared" si="41"/>
        <v>1.1700000000000002</v>
      </c>
      <c r="E31" s="54">
        <f t="shared" si="42"/>
        <v>35032</v>
      </c>
      <c r="F31" s="146">
        <f t="shared" si="43"/>
        <v>512.45767299999989</v>
      </c>
    </row>
    <row r="32" spans="1:26" x14ac:dyDescent="0.2">
      <c r="A32" s="48">
        <f t="shared" ref="A32:A33" si="44">+F18</f>
        <v>2000000</v>
      </c>
      <c r="B32" s="55">
        <f t="shared" ref="B32" si="45">+G18</f>
        <v>0.8</v>
      </c>
      <c r="C32" s="54">
        <f t="shared" ref="C32:C33" si="46">+F18</f>
        <v>2000000</v>
      </c>
      <c r="D32" s="49">
        <f t="shared" ref="D32:D33" si="47">+H18</f>
        <v>0.72000000000000008</v>
      </c>
      <c r="E32" s="54">
        <f t="shared" ref="E32:E33" si="48">+F18</f>
        <v>2000000</v>
      </c>
      <c r="F32" s="146">
        <f t="shared" ref="F32:F33" si="49">+I18</f>
        <v>306.26963199999994</v>
      </c>
    </row>
    <row r="33" spans="1:6" x14ac:dyDescent="0.2">
      <c r="A33" s="48">
        <f t="shared" si="44"/>
        <v>53299</v>
      </c>
      <c r="B33" s="55">
        <f>+G19</f>
        <v>1.2</v>
      </c>
      <c r="C33" s="54">
        <f t="shared" si="46"/>
        <v>53299</v>
      </c>
      <c r="D33" s="49">
        <f t="shared" si="47"/>
        <v>1.08</v>
      </c>
      <c r="E33" s="54">
        <f t="shared" si="48"/>
        <v>53299</v>
      </c>
      <c r="F33" s="146">
        <f t="shared" si="49"/>
        <v>467.13604800000002</v>
      </c>
    </row>
    <row r="34" spans="1:6" x14ac:dyDescent="0.2">
      <c r="A34" s="48">
        <f t="shared" ref="A34" si="50">+F20</f>
        <v>1350848</v>
      </c>
      <c r="B34" s="55">
        <f>+G20</f>
        <v>0.85</v>
      </c>
      <c r="C34" s="54">
        <f t="shared" ref="C34" si="51">+F20</f>
        <v>1350848</v>
      </c>
      <c r="D34" s="49">
        <f t="shared" ref="D34" si="52">+H20</f>
        <v>0.76500000000000001</v>
      </c>
      <c r="E34" s="54">
        <f t="shared" ref="E34" si="53">+F20</f>
        <v>1350848</v>
      </c>
      <c r="F34" s="58">
        <f t="shared" ref="F34" si="54">+I20</f>
        <v>315.90392800000001</v>
      </c>
    </row>
  </sheetData>
  <mergeCells count="1">
    <mergeCell ref="N6:Q6"/>
  </mergeCells>
  <phoneticPr fontId="0" type="noConversion"/>
  <pageMargins left="0.32" right="0.22" top="1" bottom="1" header="0.5" footer="0.5"/>
  <pageSetup paperSize="9" scale="42" orientation="landscape" verticalDpi="12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2"/>
  <sheetViews>
    <sheetView zoomScale="75" workbookViewId="0">
      <selection activeCell="A8" sqref="A8:G8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4" ht="13.5" thickBot="1" x14ac:dyDescent="0.25">
      <c r="A1" s="137" t="s">
        <v>27</v>
      </c>
      <c r="B1" s="137"/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138" t="s">
        <v>33</v>
      </c>
      <c r="I1" s="139">
        <f>COUNT(C:C)</f>
        <v>7</v>
      </c>
      <c r="J1" s="2"/>
      <c r="K1" s="2"/>
      <c r="L1" s="2"/>
      <c r="M1" s="2" t="s">
        <v>28</v>
      </c>
      <c r="N1" s="2" t="s">
        <v>34</v>
      </c>
      <c r="O1" s="2" t="s">
        <v>28</v>
      </c>
      <c r="P1" s="2" t="s">
        <v>35</v>
      </c>
      <c r="Q1" s="2" t="s">
        <v>36</v>
      </c>
      <c r="R1" s="2" t="s">
        <v>37</v>
      </c>
      <c r="S1" s="2" t="s">
        <v>38</v>
      </c>
      <c r="T1" s="208" t="s">
        <v>39</v>
      </c>
      <c r="U1" s="208"/>
      <c r="V1" s="208" t="s">
        <v>40</v>
      </c>
      <c r="W1" s="208"/>
      <c r="X1" s="208" t="s">
        <v>41</v>
      </c>
      <c r="Y1" s="208"/>
      <c r="Z1" s="2" t="s">
        <v>42</v>
      </c>
      <c r="AA1" s="2"/>
      <c r="AB1" s="2"/>
      <c r="AC1" s="2"/>
      <c r="AD1" s="2"/>
      <c r="AE1" s="2"/>
      <c r="AF1" s="2"/>
      <c r="AG1" s="2"/>
      <c r="AH1" s="2"/>
    </row>
    <row r="2" spans="1:34" ht="13.5" thickBot="1" x14ac:dyDescent="0.25">
      <c r="A2" s="49"/>
      <c r="B2" s="48"/>
      <c r="C2" s="49"/>
      <c r="D2" s="49"/>
      <c r="E2" s="49"/>
      <c r="F2" s="49"/>
      <c r="G2" s="2"/>
      <c r="H2" s="140" t="s">
        <v>43</v>
      </c>
      <c r="I2" s="55">
        <f>SUM(C:C)</f>
        <v>0.29426997772198549</v>
      </c>
      <c r="J2" s="49"/>
      <c r="K2" s="49"/>
      <c r="L2" s="49"/>
      <c r="M2" s="49">
        <f t="shared" ref="M2:M19" si="0">+C2</f>
        <v>0</v>
      </c>
      <c r="N2" s="141">
        <f t="shared" ref="N2:N19" si="1">+$I$13+$I$12*M2</f>
        <v>5.4673312504238503</v>
      </c>
      <c r="O2" s="141">
        <f t="shared" ref="O2:O33" si="2">LOG($I$19+($I$20-$I$19)*(ROW()-2)/100)</f>
        <v>0.17609125905568124</v>
      </c>
      <c r="P2" s="185">
        <f t="shared" ref="P2:P33" si="3">SQRT(2*$I$16*$K$24)*SQRT((1/$I$1)+((O2-$I$10)^2/$I$7))</f>
        <v>0.16824442442452767</v>
      </c>
      <c r="Q2" s="141">
        <f t="shared" ref="Q2:Q33" si="4">+$I$13+$I$12*O2</f>
        <v>4.008382912755172</v>
      </c>
      <c r="R2" s="141">
        <f t="shared" ref="R2:R33" si="5">+$I$13+$I$12*O2-P2</f>
        <v>3.8401384883306444</v>
      </c>
      <c r="S2" s="141">
        <f t="shared" ref="S2:S33" si="6">+$I$13+$I$12*O2+P2</f>
        <v>4.1766273371797</v>
      </c>
      <c r="T2" s="48">
        <f t="shared" ref="T2:T33" si="7">10^Q2</f>
        <v>10194.898651127462</v>
      </c>
      <c r="U2" s="142">
        <f>10^$O2</f>
        <v>1.5</v>
      </c>
      <c r="V2" s="48">
        <f t="shared" ref="V2:V33" si="8">10^R2</f>
        <v>6920.5161796363127</v>
      </c>
      <c r="W2" s="142">
        <f t="shared" ref="W2:W33" si="9">10^$O2</f>
        <v>1.5</v>
      </c>
      <c r="X2" s="48">
        <f t="shared" ref="X2:X33" si="10">10^S2</f>
        <v>15018.526914595377</v>
      </c>
      <c r="Y2" s="142">
        <f t="shared" ref="Y2:Y33" si="11">10^$O2</f>
        <v>1.5</v>
      </c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 s="49"/>
      <c r="B3" s="48"/>
      <c r="C3" s="49"/>
      <c r="D3" s="49"/>
      <c r="E3" s="49"/>
      <c r="F3" s="49"/>
      <c r="G3" s="2"/>
      <c r="H3" s="143" t="s">
        <v>44</v>
      </c>
      <c r="I3" s="55">
        <f>SUM(D:D)</f>
        <v>35.833238083173264</v>
      </c>
      <c r="J3" s="49"/>
      <c r="K3" s="49"/>
      <c r="L3" s="49"/>
      <c r="M3" s="49">
        <f t="shared" si="0"/>
        <v>0</v>
      </c>
      <c r="N3" s="141">
        <f t="shared" si="1"/>
        <v>5.4673312504238503</v>
      </c>
      <c r="O3" s="141">
        <f t="shared" si="2"/>
        <v>0.17376882313664999</v>
      </c>
      <c r="P3" s="185">
        <f t="shared" si="3"/>
        <v>0.16612356269677403</v>
      </c>
      <c r="Q3" s="141">
        <f t="shared" si="4"/>
        <v>4.0276247197680988</v>
      </c>
      <c r="R3" s="141">
        <f t="shared" si="5"/>
        <v>3.8615011570713249</v>
      </c>
      <c r="S3" s="141">
        <f t="shared" si="6"/>
        <v>4.1937482824648731</v>
      </c>
      <c r="T3" s="48">
        <f t="shared" si="7"/>
        <v>10656.748579732946</v>
      </c>
      <c r="U3" s="142">
        <f t="shared" ref="U3:U34" si="12">10^O3</f>
        <v>1.492</v>
      </c>
      <c r="V3" s="48">
        <f t="shared" si="8"/>
        <v>7269.4433597675661</v>
      </c>
      <c r="W3" s="142">
        <f t="shared" si="9"/>
        <v>1.492</v>
      </c>
      <c r="X3" s="48">
        <f t="shared" si="10"/>
        <v>15622.419031444459</v>
      </c>
      <c r="Y3" s="142">
        <f t="shared" si="11"/>
        <v>1.492</v>
      </c>
      <c r="Z3" s="144" t="s">
        <v>45</v>
      </c>
      <c r="AA3" s="144"/>
      <c r="AB3" s="2"/>
      <c r="AC3" s="2"/>
      <c r="AD3" s="2"/>
      <c r="AE3" s="2"/>
      <c r="AF3" s="2"/>
      <c r="AG3" s="2"/>
      <c r="AH3" s="2"/>
    </row>
    <row r="4" spans="1:34" x14ac:dyDescent="0.2">
      <c r="A4" s="49">
        <f>+Results!B25</f>
        <v>1.5</v>
      </c>
      <c r="B4" s="48">
        <f>+Results!A25</f>
        <v>10766</v>
      </c>
      <c r="C4" s="49">
        <f t="shared" ref="C4" si="13">LOG(A4)</f>
        <v>0.17609125905568124</v>
      </c>
      <c r="D4" s="49">
        <f t="shared" ref="D4" si="14">LOG(B4)</f>
        <v>4.0320543754796692</v>
      </c>
      <c r="E4" s="49">
        <f t="shared" ref="E4" si="15">+C4^2</f>
        <v>3.1008131515815038E-2</v>
      </c>
      <c r="F4" s="49">
        <f t="shared" ref="F4" si="16">+D4^2</f>
        <v>16.257462486824746</v>
      </c>
      <c r="G4" s="2">
        <f t="shared" ref="G4" si="17">+C4*D4</f>
        <v>0.71000953155918345</v>
      </c>
      <c r="H4" s="143" t="s">
        <v>46</v>
      </c>
      <c r="I4" s="55">
        <f>SUM(E:E)</f>
        <v>5.9049679150732226E-2</v>
      </c>
      <c r="J4" s="49"/>
      <c r="K4" s="49"/>
      <c r="L4" s="49"/>
      <c r="M4" s="49">
        <f t="shared" si="0"/>
        <v>0.17609125905568124</v>
      </c>
      <c r="N4" s="141">
        <f t="shared" si="1"/>
        <v>4.008382912755172</v>
      </c>
      <c r="O4" s="141">
        <f t="shared" si="2"/>
        <v>0.17143390094300825</v>
      </c>
      <c r="P4" s="185">
        <f t="shared" si="3"/>
        <v>0.16400173933119011</v>
      </c>
      <c r="Q4" s="141">
        <f t="shared" si="4"/>
        <v>4.0469699778534087</v>
      </c>
      <c r="R4" s="141">
        <f t="shared" si="5"/>
        <v>3.8829682385222188</v>
      </c>
      <c r="S4" s="141">
        <f t="shared" si="6"/>
        <v>4.2109717171845986</v>
      </c>
      <c r="T4" s="48">
        <f t="shared" si="7"/>
        <v>11142.1750669188</v>
      </c>
      <c r="U4" s="142">
        <f t="shared" si="12"/>
        <v>1.484</v>
      </c>
      <c r="V4" s="48">
        <f t="shared" si="8"/>
        <v>7637.7992363202957</v>
      </c>
      <c r="W4" s="142">
        <f t="shared" si="9"/>
        <v>1.484</v>
      </c>
      <c r="X4" s="48">
        <f t="shared" si="10"/>
        <v>16254.428976281719</v>
      </c>
      <c r="Y4" s="142">
        <f t="shared" si="11"/>
        <v>1.484</v>
      </c>
      <c r="Z4" s="2" t="s">
        <v>47</v>
      </c>
      <c r="AA4" s="2">
        <v>0.88244046806828758</v>
      </c>
      <c r="AB4" s="2"/>
      <c r="AC4" s="2"/>
      <c r="AD4" s="2"/>
      <c r="AE4" s="2"/>
      <c r="AF4" s="2"/>
      <c r="AG4" s="2"/>
      <c r="AH4" s="2"/>
    </row>
    <row r="5" spans="1:34" x14ac:dyDescent="0.2">
      <c r="A5" s="49">
        <f>+Results!B26</f>
        <v>1.1000000000000001</v>
      </c>
      <c r="B5" s="48">
        <f>+Results!A26</f>
        <v>148187</v>
      </c>
      <c r="C5" s="49">
        <f t="shared" ref="C5:C7" si="18">LOG(A5)</f>
        <v>4.1392685158225077E-2</v>
      </c>
      <c r="D5" s="49">
        <f t="shared" ref="D5:D7" si="19">LOG(B5)</f>
        <v>5.1708101059651499</v>
      </c>
      <c r="E5" s="49">
        <f t="shared" ref="E5:E7" si="20">+C5^2</f>
        <v>1.7133543846079467E-3</v>
      </c>
      <c r="F5" s="49">
        <f t="shared" ref="F5:F7" si="21">+D5^2</f>
        <v>26.737277151951325</v>
      </c>
      <c r="G5" s="2">
        <f t="shared" ref="G5:G7" si="22">+C5*D5</f>
        <v>0.21403371472918389</v>
      </c>
      <c r="H5" s="143" t="s">
        <v>48</v>
      </c>
      <c r="I5" s="55">
        <f>SUM(F:F)</f>
        <v>186.65896451664457</v>
      </c>
      <c r="J5" s="49"/>
      <c r="K5" s="49"/>
      <c r="L5" s="49"/>
      <c r="M5" s="49">
        <f t="shared" si="0"/>
        <v>4.1392685158225077E-2</v>
      </c>
      <c r="N5" s="141">
        <f t="shared" si="1"/>
        <v>5.1243852715769398</v>
      </c>
      <c r="O5" s="141">
        <f t="shared" si="2"/>
        <v>0.16908635748702275</v>
      </c>
      <c r="P5" s="185">
        <f t="shared" si="3"/>
        <v>0.16187941552952545</v>
      </c>
      <c r="Q5" s="141">
        <f t="shared" si="4"/>
        <v>4.0664198054091996</v>
      </c>
      <c r="R5" s="141">
        <f t="shared" si="5"/>
        <v>3.9045403898796742</v>
      </c>
      <c r="S5" s="141">
        <f t="shared" si="6"/>
        <v>4.2282992209387249</v>
      </c>
      <c r="T5" s="48">
        <f t="shared" si="7"/>
        <v>11652.518615397204</v>
      </c>
      <c r="U5" s="142">
        <f t="shared" si="12"/>
        <v>1.476</v>
      </c>
      <c r="V5" s="48">
        <f t="shared" si="8"/>
        <v>8026.7620719966035</v>
      </c>
      <c r="W5" s="142">
        <f t="shared" si="9"/>
        <v>1.476</v>
      </c>
      <c r="X5" s="48">
        <f t="shared" si="10"/>
        <v>16916.060157792115</v>
      </c>
      <c r="Y5" s="142">
        <f t="shared" si="11"/>
        <v>1.476</v>
      </c>
      <c r="Z5" s="2" t="s">
        <v>49</v>
      </c>
      <c r="AA5" s="2">
        <v>0.77870117968457842</v>
      </c>
      <c r="AB5" s="2"/>
      <c r="AC5" s="2"/>
      <c r="AD5" s="2"/>
      <c r="AE5" s="2"/>
      <c r="AF5" s="2"/>
      <c r="AG5" s="2"/>
      <c r="AH5" s="2"/>
    </row>
    <row r="6" spans="1:34" x14ac:dyDescent="0.2">
      <c r="A6" s="49">
        <f>+Results!B27</f>
        <v>0.9</v>
      </c>
      <c r="B6" s="48">
        <f>+Results!A27</f>
        <v>581856</v>
      </c>
      <c r="C6" s="49">
        <f t="shared" si="18"/>
        <v>-4.5757490560675115E-2</v>
      </c>
      <c r="D6" s="49">
        <f t="shared" si="19"/>
        <v>5.7648155170495787</v>
      </c>
      <c r="E6" s="49">
        <f t="shared" si="20"/>
        <v>2.0937479424102722E-3</v>
      </c>
      <c r="F6" s="49">
        <f t="shared" si="21"/>
        <v>33.233097945615604</v>
      </c>
      <c r="G6" s="2">
        <f t="shared" si="22"/>
        <v>-0.26378349160542952</v>
      </c>
      <c r="H6" s="143" t="s">
        <v>50</v>
      </c>
      <c r="I6" s="55">
        <f>SUM(G:G)</f>
        <v>1.119634036778399</v>
      </c>
      <c r="J6" s="49"/>
      <c r="K6" s="49"/>
      <c r="L6" s="49"/>
      <c r="M6" s="49">
        <f t="shared" si="0"/>
        <v>-4.5757490560675115E-2</v>
      </c>
      <c r="N6" s="141">
        <f t="shared" si="1"/>
        <v>5.8464404415750018</v>
      </c>
      <c r="O6" s="141">
        <f t="shared" si="2"/>
        <v>0.16672605558005171</v>
      </c>
      <c r="P6" s="185">
        <f t="shared" si="3"/>
        <v>0.1597570875464539</v>
      </c>
      <c r="Q6" s="141">
        <f t="shared" si="4"/>
        <v>4.0859753390684981</v>
      </c>
      <c r="R6" s="141">
        <f t="shared" si="5"/>
        <v>3.9262182515220441</v>
      </c>
      <c r="S6" s="141">
        <f t="shared" si="6"/>
        <v>4.2457324266149516</v>
      </c>
      <c r="T6" s="48">
        <f t="shared" si="7"/>
        <v>12189.203819148273</v>
      </c>
      <c r="U6" s="142">
        <f t="shared" si="12"/>
        <v>1.468</v>
      </c>
      <c r="V6" s="48">
        <f t="shared" si="8"/>
        <v>8437.5867600103011</v>
      </c>
      <c r="W6" s="142">
        <f t="shared" si="9"/>
        <v>1.468</v>
      </c>
      <c r="X6" s="48">
        <f t="shared" si="10"/>
        <v>17608.908088378248</v>
      </c>
      <c r="Y6" s="142">
        <f t="shared" si="11"/>
        <v>1.468</v>
      </c>
      <c r="Z6" s="2" t="s">
        <v>51</v>
      </c>
      <c r="AA6" s="2">
        <v>0.75103882714515069</v>
      </c>
      <c r="AB6" s="2"/>
      <c r="AC6" s="2"/>
      <c r="AD6" s="2"/>
      <c r="AE6" s="2"/>
      <c r="AF6" s="2"/>
      <c r="AG6" s="2"/>
      <c r="AH6" s="2"/>
    </row>
    <row r="7" spans="1:34" x14ac:dyDescent="0.2">
      <c r="A7" s="49">
        <f>+Results!B28</f>
        <v>1</v>
      </c>
      <c r="B7" s="48">
        <f>+Results!A28</f>
        <v>290916</v>
      </c>
      <c r="C7" s="49">
        <f t="shared" si="18"/>
        <v>0</v>
      </c>
      <c r="D7" s="49">
        <f t="shared" si="19"/>
        <v>5.4637676075331436</v>
      </c>
      <c r="E7" s="49">
        <f t="shared" si="20"/>
        <v>0</v>
      </c>
      <c r="F7" s="49">
        <f t="shared" si="21"/>
        <v>29.852756469128451</v>
      </c>
      <c r="G7" s="2">
        <f t="shared" si="22"/>
        <v>0</v>
      </c>
      <c r="H7" s="140" t="s">
        <v>52</v>
      </c>
      <c r="I7" s="145">
        <f>+I4-I2^2/$I$1</f>
        <v>4.6678990609518245E-2</v>
      </c>
      <c r="J7" s="2"/>
      <c r="K7" s="2"/>
      <c r="L7" s="2"/>
      <c r="M7" s="49">
        <f t="shared" si="0"/>
        <v>0</v>
      </c>
      <c r="N7" s="141">
        <f t="shared" si="1"/>
        <v>5.4673312504238503</v>
      </c>
      <c r="O7" s="141">
        <f t="shared" si="2"/>
        <v>0.16435285578443709</v>
      </c>
      <c r="P7" s="185">
        <f t="shared" si="3"/>
        <v>0.15763528932892298</v>
      </c>
      <c r="Q7" s="141">
        <f t="shared" si="4"/>
        <v>4.1056377340978436</v>
      </c>
      <c r="R7" s="141">
        <f t="shared" si="5"/>
        <v>3.9480024447689206</v>
      </c>
      <c r="S7" s="141">
        <f t="shared" si="6"/>
        <v>4.2632730234267662</v>
      </c>
      <c r="T7" s="48">
        <f t="shared" si="7"/>
        <v>12753.745137991255</v>
      </c>
      <c r="U7" s="142">
        <f t="shared" si="12"/>
        <v>1.46</v>
      </c>
      <c r="V7" s="48">
        <f t="shared" si="8"/>
        <v>8871.6100610913018</v>
      </c>
      <c r="W7" s="142">
        <f t="shared" si="9"/>
        <v>1.46</v>
      </c>
      <c r="X7" s="48">
        <f t="shared" si="10"/>
        <v>18334.666867090291</v>
      </c>
      <c r="Y7" s="142">
        <f t="shared" si="11"/>
        <v>1.46</v>
      </c>
      <c r="Z7" s="2" t="s">
        <v>53</v>
      </c>
      <c r="AA7" s="2">
        <v>4.8757093884921039</v>
      </c>
      <c r="AB7" s="2"/>
      <c r="AC7" s="2"/>
      <c r="AD7" s="2"/>
      <c r="AE7" s="2"/>
      <c r="AF7" s="2"/>
      <c r="AG7" s="2"/>
      <c r="AH7" s="2"/>
    </row>
    <row r="8" spans="1:34" ht="15" thickBot="1" x14ac:dyDescent="0.3">
      <c r="A8" s="49"/>
      <c r="B8" s="48"/>
      <c r="C8" s="49"/>
      <c r="D8" s="49"/>
      <c r="E8" s="49"/>
      <c r="F8" s="49"/>
      <c r="G8" s="2"/>
      <c r="H8" s="143" t="s">
        <v>118</v>
      </c>
      <c r="I8" s="146">
        <f>+I5-I3^2/$I$1</f>
        <v>3.2274000130190359</v>
      </c>
      <c r="J8" s="135"/>
      <c r="K8" s="135"/>
      <c r="L8" s="135"/>
      <c r="M8" s="49">
        <f t="shared" si="0"/>
        <v>0</v>
      </c>
      <c r="N8" s="141">
        <f t="shared" si="1"/>
        <v>5.4673312504238503</v>
      </c>
      <c r="O8" s="141">
        <f t="shared" si="2"/>
        <v>0.16196661636407489</v>
      </c>
      <c r="P8" s="185">
        <f t="shared" si="3"/>
        <v>0.15551459536287771</v>
      </c>
      <c r="Q8" s="141">
        <f t="shared" si="4"/>
        <v>4.1254081648068208</v>
      </c>
      <c r="R8" s="141">
        <f t="shared" si="5"/>
        <v>3.969893569443943</v>
      </c>
      <c r="S8" s="141">
        <f t="shared" si="6"/>
        <v>4.2809227601696982</v>
      </c>
      <c r="T8" s="48">
        <f t="shared" si="7"/>
        <v>13347.753103377667</v>
      </c>
      <c r="U8" s="142">
        <f t="shared" si="12"/>
        <v>1.452</v>
      </c>
      <c r="V8" s="48">
        <f t="shared" si="8"/>
        <v>9330.2562046940202</v>
      </c>
      <c r="W8" s="142">
        <f t="shared" si="9"/>
        <v>1.452</v>
      </c>
      <c r="X8" s="48">
        <f t="shared" si="10"/>
        <v>19095.136189196481</v>
      </c>
      <c r="Y8" s="142">
        <f t="shared" si="11"/>
        <v>1.452</v>
      </c>
      <c r="Z8" s="147" t="s">
        <v>54</v>
      </c>
      <c r="AA8" s="147">
        <v>10</v>
      </c>
      <c r="AB8" s="2"/>
      <c r="AC8" s="2"/>
      <c r="AD8" s="2"/>
      <c r="AE8" s="2"/>
      <c r="AF8" s="2"/>
      <c r="AG8" s="2"/>
      <c r="AH8" s="2"/>
    </row>
    <row r="9" spans="1:34" ht="13.5" thickBot="1" x14ac:dyDescent="0.25">
      <c r="A9" s="49"/>
      <c r="B9" s="48"/>
      <c r="C9" s="49"/>
      <c r="D9" s="49"/>
      <c r="E9" s="49"/>
      <c r="F9" s="49"/>
      <c r="G9" s="2"/>
      <c r="H9" s="148" t="s">
        <v>55</v>
      </c>
      <c r="I9" s="149">
        <f>+I6-I2*I3/$I$1</f>
        <v>-0.38674398785617226</v>
      </c>
      <c r="J9" s="2"/>
      <c r="K9" s="2"/>
      <c r="L9" s="2"/>
      <c r="M9" s="49">
        <f t="shared" si="0"/>
        <v>0</v>
      </c>
      <c r="N9" s="141">
        <f t="shared" si="1"/>
        <v>5.4673312504238503</v>
      </c>
      <c r="O9" s="141">
        <f t="shared" si="2"/>
        <v>0.15956719323362029</v>
      </c>
      <c r="P9" s="185">
        <f t="shared" si="3"/>
        <v>0.15339562374285287</v>
      </c>
      <c r="Q9" s="141">
        <f t="shared" si="4"/>
        <v>4.1452878249689054</v>
      </c>
      <c r="R9" s="141">
        <f t="shared" si="5"/>
        <v>3.9918922012260527</v>
      </c>
      <c r="S9" s="141">
        <f t="shared" si="6"/>
        <v>4.298683448711758</v>
      </c>
      <c r="T9" s="48">
        <f t="shared" si="7"/>
        <v>13972.940990226614</v>
      </c>
      <c r="U9" s="142">
        <f t="shared" si="12"/>
        <v>1.444</v>
      </c>
      <c r="V9" s="48">
        <f t="shared" si="8"/>
        <v>9815.0428786067423</v>
      </c>
      <c r="W9" s="142">
        <f t="shared" si="9"/>
        <v>1.444</v>
      </c>
      <c r="X9" s="48">
        <f t="shared" si="10"/>
        <v>19892.22893176708</v>
      </c>
      <c r="Y9" s="142">
        <f t="shared" si="11"/>
        <v>1.444</v>
      </c>
      <c r="Z9" s="2"/>
      <c r="AA9" s="2"/>
      <c r="AB9" s="2"/>
      <c r="AC9" s="2"/>
      <c r="AD9" s="2"/>
      <c r="AE9" s="2"/>
      <c r="AF9" s="2"/>
      <c r="AG9" s="2"/>
      <c r="AH9" s="2"/>
    </row>
    <row r="10" spans="1:34" ht="13.5" thickBot="1" x14ac:dyDescent="0.25">
      <c r="A10" s="49">
        <f>+Results!B31</f>
        <v>1.3</v>
      </c>
      <c r="B10" s="48">
        <f>+Results!A31</f>
        <v>35032</v>
      </c>
      <c r="C10" s="49">
        <f t="shared" ref="C10" si="23">LOG(A10)</f>
        <v>0.11394335230683679</v>
      </c>
      <c r="D10" s="49">
        <f t="shared" ref="D10" si="24">LOG(B10)</f>
        <v>4.5444649321840691</v>
      </c>
      <c r="E10" s="49">
        <f t="shared" ref="E10" si="25">+C10^2</f>
        <v>1.2983087534919929E-2</v>
      </c>
      <c r="F10" s="49">
        <f t="shared" ref="F10" si="26">+D10^2</f>
        <v>20.652161519850758</v>
      </c>
      <c r="G10" s="2">
        <f t="shared" ref="G10" si="27">+C10*D10</f>
        <v>0.51781156881391455</v>
      </c>
      <c r="H10" s="150" t="s">
        <v>56</v>
      </c>
      <c r="I10" s="139">
        <f>+I2/$I$1</f>
        <v>4.2038568245997929E-2</v>
      </c>
      <c r="J10" s="2"/>
      <c r="K10" s="2"/>
      <c r="L10" s="2"/>
      <c r="M10" s="49">
        <f t="shared" si="0"/>
        <v>0.11394335230683679</v>
      </c>
      <c r="N10" s="141">
        <f t="shared" si="1"/>
        <v>4.5232897044213276</v>
      </c>
      <c r="O10" s="141">
        <f t="shared" si="2"/>
        <v>0.15715443990628153</v>
      </c>
      <c r="P10" s="185">
        <f t="shared" si="3"/>
        <v>0.15127903948066346</v>
      </c>
      <c r="Q10" s="141">
        <f t="shared" si="4"/>
        <v>4.1652779282539996</v>
      </c>
      <c r="R10" s="141">
        <f t="shared" si="5"/>
        <v>4.0139988887733358</v>
      </c>
      <c r="S10" s="141">
        <f t="shared" si="6"/>
        <v>4.3165569677346634</v>
      </c>
      <c r="T10" s="48">
        <f t="shared" si="7"/>
        <v>14631.131992649322</v>
      </c>
      <c r="U10" s="142">
        <f t="shared" si="12"/>
        <v>1.4359999999999999</v>
      </c>
      <c r="V10" s="48">
        <f t="shared" si="8"/>
        <v>10327.587632444156</v>
      </c>
      <c r="W10" s="142">
        <f t="shared" si="9"/>
        <v>1.4359999999999999</v>
      </c>
      <c r="X10" s="48">
        <f t="shared" si="10"/>
        <v>20727.979369918365</v>
      </c>
      <c r="Y10" s="142">
        <f t="shared" si="11"/>
        <v>1.4359999999999999</v>
      </c>
      <c r="Z10" s="2" t="s">
        <v>57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2">
      <c r="A11" s="49">
        <f>+Results!B32</f>
        <v>0.8</v>
      </c>
      <c r="B11" s="48">
        <f>+Results!A32</f>
        <v>2000000</v>
      </c>
      <c r="C11" s="49"/>
      <c r="D11" s="49"/>
      <c r="E11" s="49"/>
      <c r="F11" s="49"/>
      <c r="G11" s="2"/>
      <c r="H11" s="143" t="s">
        <v>58</v>
      </c>
      <c r="I11" s="55">
        <f>+I3/$I$1</f>
        <v>5.1190340118818947</v>
      </c>
      <c r="J11" s="49"/>
      <c r="K11" s="49"/>
      <c r="L11" s="49"/>
      <c r="M11" s="49">
        <f t="shared" si="0"/>
        <v>0</v>
      </c>
      <c r="N11" s="141">
        <f t="shared" si="1"/>
        <v>5.4673312504238503</v>
      </c>
      <c r="O11" s="141">
        <f t="shared" si="2"/>
        <v>0.15472820744015556</v>
      </c>
      <c r="P11" s="185">
        <f t="shared" si="3"/>
        <v>0.14916555807006687</v>
      </c>
      <c r="Q11" s="141">
        <f t="shared" si="4"/>
        <v>4.1853797086730546</v>
      </c>
      <c r="R11" s="141">
        <f t="shared" si="5"/>
        <v>4.036214150602988</v>
      </c>
      <c r="S11" s="141">
        <f t="shared" si="6"/>
        <v>4.3345452667431212</v>
      </c>
      <c r="T11" s="48">
        <f t="shared" si="7"/>
        <v>15324.26694471633</v>
      </c>
      <c r="U11" s="142">
        <f t="shared" si="12"/>
        <v>1.4279999999999999</v>
      </c>
      <c r="V11" s="48">
        <f t="shared" si="8"/>
        <v>10869.61472179569</v>
      </c>
      <c r="W11" s="142">
        <f t="shared" si="9"/>
        <v>1.4279999999999999</v>
      </c>
      <c r="X11" s="48">
        <f t="shared" si="10"/>
        <v>21604.552084264757</v>
      </c>
      <c r="Y11" s="142">
        <f t="shared" si="11"/>
        <v>1.4279999999999999</v>
      </c>
      <c r="Z11" s="151"/>
      <c r="AA11" s="151" t="s">
        <v>59</v>
      </c>
      <c r="AB11" s="151" t="s">
        <v>60</v>
      </c>
      <c r="AC11" s="151" t="s">
        <v>61</v>
      </c>
      <c r="AD11" s="151" t="s">
        <v>62</v>
      </c>
      <c r="AE11" s="151" t="s">
        <v>63</v>
      </c>
      <c r="AF11" s="2"/>
      <c r="AG11" s="2"/>
      <c r="AH11" s="2"/>
    </row>
    <row r="12" spans="1:34" x14ac:dyDescent="0.2">
      <c r="A12" s="49">
        <f>+Results!B33</f>
        <v>1.2</v>
      </c>
      <c r="B12" s="48">
        <f>+Results!A33</f>
        <v>53299</v>
      </c>
      <c r="C12" s="49">
        <f t="shared" ref="C12:C13" si="28">LOG(A12)</f>
        <v>7.9181246047624818E-2</v>
      </c>
      <c r="D12" s="49">
        <f t="shared" ref="D12:D13" si="29">LOG(B12)</f>
        <v>4.7267190608360279</v>
      </c>
      <c r="E12" s="49">
        <f t="shared" ref="E12:E13" si="30">+C12^2</f>
        <v>6.2696697256545012E-3</v>
      </c>
      <c r="F12" s="49">
        <f t="shared" ref="F12:F13" si="31">+D12^2</f>
        <v>22.34187308007062</v>
      </c>
      <c r="G12" s="2">
        <f t="shared" ref="G12:G13" si="32">+C12*D12</f>
        <v>0.37426750495405564</v>
      </c>
      <c r="H12" s="143" t="s">
        <v>64</v>
      </c>
      <c r="I12" s="145">
        <f>+I9/I7</f>
        <v>-8.2851831799745863</v>
      </c>
      <c r="J12" s="141">
        <f>+I12</f>
        <v>-8.2851831799745863</v>
      </c>
      <c r="K12" s="141">
        <f>1/J12</f>
        <v>-0.12069739175073585</v>
      </c>
      <c r="L12" s="2"/>
      <c r="M12" s="49">
        <f t="shared" si="0"/>
        <v>7.9181246047624818E-2</v>
      </c>
      <c r="N12" s="141">
        <f t="shared" si="1"/>
        <v>4.81130012250064</v>
      </c>
      <c r="O12" s="141">
        <f t="shared" si="2"/>
        <v>0.15228834438305647</v>
      </c>
      <c r="P12" s="185">
        <f t="shared" si="3"/>
        <v>0.14705594932477631</v>
      </c>
      <c r="Q12" s="141">
        <f t="shared" si="4"/>
        <v>4.2055944210351734</v>
      </c>
      <c r="R12" s="141">
        <f t="shared" si="5"/>
        <v>4.0585384717103974</v>
      </c>
      <c r="S12" s="141">
        <f t="shared" si="6"/>
        <v>4.3526503703599495</v>
      </c>
      <c r="T12" s="48">
        <f t="shared" si="7"/>
        <v>16054.412631038269</v>
      </c>
      <c r="U12" s="142">
        <f t="shared" si="12"/>
        <v>1.42</v>
      </c>
      <c r="V12" s="48">
        <f t="shared" si="8"/>
        <v>11442.962421083586</v>
      </c>
      <c r="W12" s="142">
        <f t="shared" si="9"/>
        <v>1.42</v>
      </c>
      <c r="X12" s="48">
        <f t="shared" si="10"/>
        <v>22524.251626724661</v>
      </c>
      <c r="Y12" s="142">
        <f t="shared" si="11"/>
        <v>1.42</v>
      </c>
      <c r="Z12" s="2" t="s">
        <v>65</v>
      </c>
      <c r="AA12" s="2">
        <v>1</v>
      </c>
      <c r="AB12" s="2">
        <v>669.20217667916086</v>
      </c>
      <c r="AC12" s="2">
        <v>669.20217667916086</v>
      </c>
      <c r="AD12" s="2">
        <v>28.150215299826005</v>
      </c>
      <c r="AE12" s="2">
        <v>7.2341618680963758E-4</v>
      </c>
      <c r="AF12" s="2"/>
      <c r="AG12" s="2"/>
      <c r="AH12" s="2"/>
    </row>
    <row r="13" spans="1:34" x14ac:dyDescent="0.2">
      <c r="A13" s="49">
        <f>+Results!B34</f>
        <v>0.85</v>
      </c>
      <c r="B13" s="48">
        <f>+Results!A34</f>
        <v>1350848</v>
      </c>
      <c r="C13" s="49">
        <f t="shared" si="28"/>
        <v>-7.0581074285707285E-2</v>
      </c>
      <c r="D13" s="49">
        <f t="shared" si="29"/>
        <v>6.1306064841256198</v>
      </c>
      <c r="E13" s="49">
        <f t="shared" si="30"/>
        <v>4.9816880473245303E-3</v>
      </c>
      <c r="F13" s="49">
        <f t="shared" si="31"/>
        <v>37.584335863203094</v>
      </c>
      <c r="G13" s="2">
        <f t="shared" si="32"/>
        <v>-0.43270479167250914</v>
      </c>
      <c r="H13" s="143" t="s">
        <v>66</v>
      </c>
      <c r="I13" s="55">
        <f>+I11-I12*I10</f>
        <v>5.4673312504238503</v>
      </c>
      <c r="J13" s="142">
        <f>10^I13</f>
        <v>293312.95849169919</v>
      </c>
      <c r="K13" s="165">
        <f>+J13^J12</f>
        <v>5.0368507782461872E-46</v>
      </c>
      <c r="L13" s="49"/>
      <c r="M13" s="49">
        <f t="shared" si="0"/>
        <v>-7.0581074285707285E-2</v>
      </c>
      <c r="N13" s="141">
        <f t="shared" si="1"/>
        <v>6.0521083799203286</v>
      </c>
      <c r="O13" s="141">
        <f t="shared" si="2"/>
        <v>0.14983469671578492</v>
      </c>
      <c r="P13" s="185">
        <f t="shared" si="3"/>
        <v>0.14495104150751059</v>
      </c>
      <c r="Q13" s="141">
        <f t="shared" si="4"/>
        <v>4.2259233414176354</v>
      </c>
      <c r="R13" s="141">
        <f t="shared" si="5"/>
        <v>4.0809722999101243</v>
      </c>
      <c r="S13" s="141">
        <f t="shared" si="6"/>
        <v>4.3708743829251464</v>
      </c>
      <c r="T13" s="48">
        <f t="shared" si="7"/>
        <v>16823.770735888778</v>
      </c>
      <c r="U13" s="142">
        <f t="shared" si="12"/>
        <v>1.4119999999999999</v>
      </c>
      <c r="V13" s="48">
        <f t="shared" si="8"/>
        <v>12049.590834446226</v>
      </c>
      <c r="W13" s="142">
        <f t="shared" si="9"/>
        <v>1.4119999999999999</v>
      </c>
      <c r="X13" s="48">
        <f t="shared" si="10"/>
        <v>23489.533019214425</v>
      </c>
      <c r="Y13" s="142">
        <f t="shared" si="11"/>
        <v>1.4119999999999999</v>
      </c>
      <c r="Z13" s="2" t="s">
        <v>67</v>
      </c>
      <c r="AA13" s="2">
        <v>8</v>
      </c>
      <c r="AB13" s="2">
        <v>190.18033632824034</v>
      </c>
      <c r="AC13" s="2">
        <v>23.772542041030043</v>
      </c>
      <c r="AD13" s="2"/>
      <c r="AE13" s="2"/>
      <c r="AF13" s="2"/>
      <c r="AG13" s="2"/>
      <c r="AH13" s="2"/>
    </row>
    <row r="14" spans="1:34" ht="13.5" thickBot="1" x14ac:dyDescent="0.25">
      <c r="A14" s="49"/>
      <c r="B14" s="48"/>
      <c r="C14" s="49"/>
      <c r="D14" s="49"/>
      <c r="E14" s="49"/>
      <c r="F14" s="49"/>
      <c r="G14" s="2"/>
      <c r="H14" s="152" t="s">
        <v>68</v>
      </c>
      <c r="I14" s="56">
        <f>+I9^2/(I7*I8)</f>
        <v>0.99282542300818755</v>
      </c>
      <c r="J14" s="2" t="str">
        <f>"(X="&amp;TEXT(J13,"0.0")&amp;"Y^"&amp;TEXT(J12,"0.00")&amp;")"</f>
        <v>(X=293313.0Y^-8.29)</v>
      </c>
      <c r="K14" s="49"/>
      <c r="L14" s="49"/>
      <c r="M14" s="49">
        <f t="shared" si="0"/>
        <v>0</v>
      </c>
      <c r="N14" s="141">
        <f t="shared" si="1"/>
        <v>5.4673312504238503</v>
      </c>
      <c r="O14" s="141">
        <f t="shared" si="2"/>
        <v>0.14736710779378645</v>
      </c>
      <c r="P14" s="185">
        <f t="shared" si="3"/>
        <v>0.14285172576781011</v>
      </c>
      <c r="Q14" s="141">
        <f t="shared" si="4"/>
        <v>4.2463677676492688</v>
      </c>
      <c r="R14" s="141">
        <f t="shared" si="5"/>
        <v>4.1035160418814591</v>
      </c>
      <c r="S14" s="141">
        <f t="shared" si="6"/>
        <v>4.3892194934170785</v>
      </c>
      <c r="T14" s="48">
        <f t="shared" si="7"/>
        <v>17634.687483930731</v>
      </c>
      <c r="U14" s="142">
        <f t="shared" si="12"/>
        <v>1.4039999999999999</v>
      </c>
      <c r="V14" s="48">
        <f t="shared" si="8"/>
        <v>12691.590235178955</v>
      </c>
      <c r="W14" s="142">
        <f t="shared" si="9"/>
        <v>1.4039999999999999</v>
      </c>
      <c r="X14" s="48">
        <f t="shared" si="10"/>
        <v>24503.013168035737</v>
      </c>
      <c r="Y14" s="142">
        <f t="shared" si="11"/>
        <v>1.4039999999999999</v>
      </c>
      <c r="Z14" s="147" t="s">
        <v>69</v>
      </c>
      <c r="AA14" s="147">
        <v>9</v>
      </c>
      <c r="AB14" s="147">
        <v>859.38251300740126</v>
      </c>
      <c r="AC14" s="147"/>
      <c r="AD14" s="147"/>
      <c r="AE14" s="147"/>
      <c r="AF14" s="2"/>
      <c r="AG14" s="2"/>
      <c r="AH14" s="2"/>
    </row>
    <row r="15" spans="1:34" ht="13.5" thickBot="1" x14ac:dyDescent="0.25">
      <c r="A15" s="49"/>
      <c r="B15" s="48"/>
      <c r="C15" s="49"/>
      <c r="D15" s="49"/>
      <c r="E15" s="49"/>
      <c r="F15" s="49"/>
      <c r="G15" s="2"/>
      <c r="H15" s="2" t="s">
        <v>70</v>
      </c>
      <c r="I15" s="49">
        <f>VLOOKUP($J$24,$H$33:$J$69,2)</f>
        <v>2.5706000000000002</v>
      </c>
      <c r="J15" s="49"/>
      <c r="K15" s="49"/>
      <c r="L15" s="49"/>
      <c r="M15" s="49">
        <f t="shared" si="0"/>
        <v>0</v>
      </c>
      <c r="N15" s="141">
        <f t="shared" si="1"/>
        <v>5.4673312504238503</v>
      </c>
      <c r="O15" s="141">
        <f t="shared" si="2"/>
        <v>0.14488541828714227</v>
      </c>
      <c r="P15" s="185">
        <f t="shared" si="3"/>
        <v>0.14075896090602821</v>
      </c>
      <c r="Q15" s="141">
        <f t="shared" si="4"/>
        <v>4.2669290198076366</v>
      </c>
      <c r="R15" s="141">
        <f t="shared" si="5"/>
        <v>4.1261700589016082</v>
      </c>
      <c r="S15" s="141">
        <f t="shared" si="6"/>
        <v>4.4076879807136651</v>
      </c>
      <c r="T15" s="48">
        <f t="shared" si="7"/>
        <v>18489.664030351883</v>
      </c>
      <c r="U15" s="142">
        <f t="shared" si="12"/>
        <v>1.3959999999999999</v>
      </c>
      <c r="V15" s="48">
        <f t="shared" si="8"/>
        <v>13371.189965426738</v>
      </c>
      <c r="W15" s="142">
        <f t="shared" si="9"/>
        <v>1.3959999999999999</v>
      </c>
      <c r="X15" s="48">
        <f t="shared" si="10"/>
        <v>25567.483286023078</v>
      </c>
      <c r="Y15" s="142">
        <f t="shared" si="11"/>
        <v>1.3959999999999999</v>
      </c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">
      <c r="A16" s="49"/>
      <c r="B16" s="48"/>
      <c r="C16" s="49"/>
      <c r="D16" s="49"/>
      <c r="E16" s="165"/>
      <c r="F16" s="49"/>
      <c r="G16" s="2"/>
      <c r="H16" s="2" t="s">
        <v>71</v>
      </c>
      <c r="I16" s="49">
        <f>VLOOKUP($J$24,$H$33:$J$69,3)</f>
        <v>5.79</v>
      </c>
      <c r="J16" s="49"/>
      <c r="K16" s="49"/>
      <c r="L16" s="49"/>
      <c r="M16" s="49">
        <f t="shared" si="0"/>
        <v>0</v>
      </c>
      <c r="N16" s="141">
        <f t="shared" si="1"/>
        <v>5.4673312504238503</v>
      </c>
      <c r="O16" s="141">
        <f t="shared" si="2"/>
        <v>0.14238946611883607</v>
      </c>
      <c r="P16" s="185">
        <f t="shared" si="3"/>
        <v>0.13867377848012541</v>
      </c>
      <c r="Q16" s="141">
        <f t="shared" si="4"/>
        <v>4.2876084407305086</v>
      </c>
      <c r="R16" s="141">
        <f t="shared" si="5"/>
        <v>4.1489346622503831</v>
      </c>
      <c r="S16" s="141">
        <f t="shared" si="6"/>
        <v>4.4262822192106341</v>
      </c>
      <c r="T16" s="48">
        <f t="shared" si="7"/>
        <v>19391.367663417033</v>
      </c>
      <c r="U16" s="142">
        <f t="shared" si="12"/>
        <v>1.3879999999999999</v>
      </c>
      <c r="V16" s="48">
        <f t="shared" si="8"/>
        <v>14090.767928903073</v>
      </c>
      <c r="W16" s="142">
        <f t="shared" si="9"/>
        <v>1.3879999999999999</v>
      </c>
      <c r="X16" s="48">
        <f t="shared" si="10"/>
        <v>26685.922424888617</v>
      </c>
      <c r="Y16" s="142">
        <f t="shared" si="11"/>
        <v>1.3879999999999999</v>
      </c>
      <c r="Z16" s="151"/>
      <c r="AA16" s="151" t="s">
        <v>72</v>
      </c>
      <c r="AB16" s="151" t="s">
        <v>53</v>
      </c>
      <c r="AC16" s="151" t="s">
        <v>73</v>
      </c>
      <c r="AD16" s="151" t="s">
        <v>74</v>
      </c>
      <c r="AE16" s="151" t="s">
        <v>75</v>
      </c>
      <c r="AF16" s="151" t="s">
        <v>76</v>
      </c>
      <c r="AG16" s="151" t="s">
        <v>77</v>
      </c>
      <c r="AH16" s="151" t="s">
        <v>78</v>
      </c>
    </row>
    <row r="17" spans="1:34" x14ac:dyDescent="0.2">
      <c r="A17" s="49"/>
      <c r="B17" s="48"/>
      <c r="C17" s="49"/>
      <c r="D17" s="49"/>
      <c r="E17" s="49"/>
      <c r="F17" s="49"/>
      <c r="G17" s="2"/>
      <c r="H17" s="2" t="s">
        <v>79</v>
      </c>
      <c r="I17" s="2">
        <f>+I15*SQRT($K$24/$I$7)</f>
        <v>0.80967983126746779</v>
      </c>
      <c r="J17" s="2">
        <f>+I12+I17</f>
        <v>-7.4755033487071181</v>
      </c>
      <c r="K17" s="2">
        <f>+I12-I17</f>
        <v>-9.0948630112420545</v>
      </c>
      <c r="L17" s="2"/>
      <c r="M17" s="49">
        <f t="shared" si="0"/>
        <v>0</v>
      </c>
      <c r="N17" s="141">
        <f t="shared" si="1"/>
        <v>5.4673312504238503</v>
      </c>
      <c r="O17" s="141">
        <f t="shared" si="2"/>
        <v>0.13987908640123647</v>
      </c>
      <c r="P17" s="185">
        <f t="shared" si="3"/>
        <v>0.13659728827050574</v>
      </c>
      <c r="Q17" s="141">
        <f t="shared" si="4"/>
        <v>4.3084073965421137</v>
      </c>
      <c r="R17" s="141">
        <f t="shared" si="5"/>
        <v>4.1718101082716084</v>
      </c>
      <c r="S17" s="141">
        <f t="shared" si="6"/>
        <v>4.445004684812619</v>
      </c>
      <c r="T17" s="48">
        <f t="shared" si="7"/>
        <v>20342.643888144703</v>
      </c>
      <c r="U17" s="142">
        <f t="shared" si="12"/>
        <v>1.38</v>
      </c>
      <c r="V17" s="48">
        <f t="shared" si="8"/>
        <v>14852.860710385821</v>
      </c>
      <c r="W17" s="142">
        <f t="shared" si="9"/>
        <v>1.38</v>
      </c>
      <c r="X17" s="48">
        <f t="shared" si="10"/>
        <v>27861.512231815861</v>
      </c>
      <c r="Y17" s="142">
        <f t="shared" si="11"/>
        <v>1.38</v>
      </c>
      <c r="Z17" s="2" t="s">
        <v>80</v>
      </c>
      <c r="AA17" s="2">
        <v>86.958826444998394</v>
      </c>
      <c r="AB17" s="2">
        <v>2.9348406973796441</v>
      </c>
      <c r="AC17" s="2">
        <v>29.629828468250114</v>
      </c>
      <c r="AD17" s="2">
        <v>1.824742265606886E-9</v>
      </c>
      <c r="AE17" s="2">
        <v>80.1910672841029</v>
      </c>
      <c r="AF17" s="2">
        <v>93.726585605893888</v>
      </c>
      <c r="AG17" s="2">
        <v>80.1910672841029</v>
      </c>
      <c r="AH17" s="2">
        <v>93.726585605893888</v>
      </c>
    </row>
    <row r="18" spans="1:34" ht="13.5" thickBot="1" x14ac:dyDescent="0.25">
      <c r="A18" s="49"/>
      <c r="B18" s="48"/>
      <c r="C18" s="49"/>
      <c r="D18" s="49"/>
      <c r="E18" s="49"/>
      <c r="F18" s="49"/>
      <c r="G18" s="2"/>
      <c r="H18" s="2" t="s">
        <v>81</v>
      </c>
      <c r="I18" s="2">
        <f>+I15*SQRT(K24/I1)</f>
        <v>6.6118810134911762E-2</v>
      </c>
      <c r="J18" s="49">
        <f>+I13-I18</f>
        <v>5.4012124402889388</v>
      </c>
      <c r="K18" s="49">
        <f>+I13+I18</f>
        <v>5.5334500605587618</v>
      </c>
      <c r="L18" s="2"/>
      <c r="M18" s="49">
        <f t="shared" si="0"/>
        <v>0</v>
      </c>
      <c r="N18" s="141">
        <f t="shared" si="1"/>
        <v>5.4673312504238503</v>
      </c>
      <c r="O18" s="141">
        <f t="shared" si="2"/>
        <v>0.13735411137073283</v>
      </c>
      <c r="P18" s="185">
        <f t="shared" si="3"/>
        <v>0.13453068411598079</v>
      </c>
      <c r="Q18" s="141">
        <f t="shared" si="4"/>
        <v>4.3293272771946985</v>
      </c>
      <c r="R18" s="141">
        <f t="shared" si="5"/>
        <v>4.1947965930787179</v>
      </c>
      <c r="S18" s="141">
        <f t="shared" si="6"/>
        <v>4.463857961310679</v>
      </c>
      <c r="T18" s="48">
        <f t="shared" si="7"/>
        <v>21346.529466071239</v>
      </c>
      <c r="U18" s="142">
        <f t="shared" si="12"/>
        <v>1.3719999999999999</v>
      </c>
      <c r="V18" s="48">
        <f t="shared" si="8"/>
        <v>15660.174356599215</v>
      </c>
      <c r="W18" s="142">
        <f t="shared" si="9"/>
        <v>1.3719999999999999</v>
      </c>
      <c r="X18" s="48">
        <f t="shared" si="10"/>
        <v>29097.653057344534</v>
      </c>
      <c r="Y18" s="142">
        <f t="shared" si="11"/>
        <v>1.3719999999999999</v>
      </c>
      <c r="Z18" s="147" t="s">
        <v>82</v>
      </c>
      <c r="AA18" s="147">
        <v>-3.9353116272950031E-4</v>
      </c>
      <c r="AB18" s="147">
        <v>7.4171706023342889E-5</v>
      </c>
      <c r="AC18" s="147">
        <v>-5.3056776475607892</v>
      </c>
      <c r="AD18" s="147">
        <v>7.2341618680962284E-4</v>
      </c>
      <c r="AE18" s="147">
        <v>-5.645715341428152E-4</v>
      </c>
      <c r="AF18" s="147">
        <v>-2.2249079131618545E-4</v>
      </c>
      <c r="AG18" s="147">
        <v>-5.645715341428152E-4</v>
      </c>
      <c r="AH18" s="147">
        <v>-2.2249079131618545E-4</v>
      </c>
    </row>
    <row r="19" spans="1:34" x14ac:dyDescent="0.2">
      <c r="A19" s="49"/>
      <c r="B19" s="48"/>
      <c r="C19" s="49"/>
      <c r="D19" s="49"/>
      <c r="E19" s="49"/>
      <c r="F19" s="49"/>
      <c r="G19" s="2"/>
      <c r="H19" s="2" t="s">
        <v>83</v>
      </c>
      <c r="I19" s="2">
        <v>1.5</v>
      </c>
      <c r="J19" s="135"/>
      <c r="K19" s="135"/>
      <c r="L19" s="135"/>
      <c r="M19" s="49">
        <f t="shared" si="0"/>
        <v>0</v>
      </c>
      <c r="N19" s="141">
        <f t="shared" si="1"/>
        <v>5.4673312504238503</v>
      </c>
      <c r="O19" s="141">
        <f t="shared" si="2"/>
        <v>0.13481437032046006</v>
      </c>
      <c r="P19" s="185">
        <f t="shared" si="3"/>
        <v>0.13247525013083178</v>
      </c>
      <c r="Q19" s="141">
        <f t="shared" si="4"/>
        <v>4.350369497025909</v>
      </c>
      <c r="R19" s="141">
        <f t="shared" si="5"/>
        <v>4.2178942468950771</v>
      </c>
      <c r="S19" s="141">
        <f t="shared" si="6"/>
        <v>4.482844747156741</v>
      </c>
      <c r="T19" s="48">
        <f t="shared" si="7"/>
        <v>22406.26649292927</v>
      </c>
      <c r="U19" s="142">
        <f t="shared" si="12"/>
        <v>1.3639999999999999</v>
      </c>
      <c r="V19" s="48">
        <f t="shared" si="8"/>
        <v>16515.595853799859</v>
      </c>
      <c r="W19" s="142">
        <f t="shared" si="9"/>
        <v>1.3639999999999999</v>
      </c>
      <c r="X19" s="48">
        <f t="shared" si="10"/>
        <v>30397.981556121453</v>
      </c>
      <c r="Y19" s="142">
        <f t="shared" si="11"/>
        <v>1.3639999999999999</v>
      </c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3.5" thickBot="1" x14ac:dyDescent="0.25">
      <c r="A20" s="49"/>
      <c r="B20" s="48"/>
      <c r="C20" s="49"/>
      <c r="D20" s="49"/>
      <c r="E20" s="49"/>
      <c r="F20" s="49"/>
      <c r="G20" s="2"/>
      <c r="H20" s="2" t="s">
        <v>84</v>
      </c>
      <c r="I20" s="2">
        <v>0.7</v>
      </c>
      <c r="J20" s="2"/>
      <c r="K20" s="2"/>
      <c r="L20" s="2"/>
      <c r="M20" s="2"/>
      <c r="N20" s="2"/>
      <c r="O20" s="141">
        <f t="shared" si="2"/>
        <v>0.1322596895310445</v>
      </c>
      <c r="P20" s="185">
        <f t="shared" si="3"/>
        <v>0.1304323673086247</v>
      </c>
      <c r="Q20" s="141">
        <f t="shared" si="4"/>
        <v>4.37153549533258</v>
      </c>
      <c r="R20" s="141">
        <f t="shared" si="5"/>
        <v>4.2411031280239557</v>
      </c>
      <c r="S20" s="141">
        <f t="shared" si="6"/>
        <v>4.5019678626412043</v>
      </c>
      <c r="T20" s="48">
        <f t="shared" si="7"/>
        <v>23525.317603607418</v>
      </c>
      <c r="U20" s="142">
        <f t="shared" si="12"/>
        <v>1.3559999999999999</v>
      </c>
      <c r="V20" s="48">
        <f t="shared" si="8"/>
        <v>17422.205337939406</v>
      </c>
      <c r="W20" s="142">
        <f t="shared" si="9"/>
        <v>1.3559999999999999</v>
      </c>
      <c r="X20" s="48">
        <f t="shared" si="10"/>
        <v>31766.389938327968</v>
      </c>
      <c r="Y20" s="142">
        <f t="shared" si="11"/>
        <v>1.3559999999999999</v>
      </c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3.5" thickBot="1" x14ac:dyDescent="0.25">
      <c r="A21" s="49"/>
      <c r="B21" s="48"/>
      <c r="C21" s="49"/>
      <c r="D21" s="49"/>
      <c r="E21" s="49"/>
      <c r="F21" s="49"/>
      <c r="G21" s="2"/>
      <c r="H21" s="153" t="s">
        <v>85</v>
      </c>
      <c r="I21" s="154"/>
      <c r="J21" s="2"/>
      <c r="K21" s="2"/>
      <c r="L21" s="2"/>
      <c r="M21" s="2"/>
      <c r="N21" s="2"/>
      <c r="O21" s="141">
        <f t="shared" si="2"/>
        <v>0.12968989219930097</v>
      </c>
      <c r="P21" s="185">
        <f t="shared" si="3"/>
        <v>0.12840352051264545</v>
      </c>
      <c r="Q21" s="141">
        <f t="shared" si="4"/>
        <v>4.3928267369614851</v>
      </c>
      <c r="R21" s="141">
        <f t="shared" si="5"/>
        <v>4.26442321644884</v>
      </c>
      <c r="S21" s="141">
        <f t="shared" si="6"/>
        <v>4.5212302574741301</v>
      </c>
      <c r="T21" s="48">
        <f t="shared" si="7"/>
        <v>24707.382402039191</v>
      </c>
      <c r="U21" s="142">
        <f t="shared" si="12"/>
        <v>1.3479999999999999</v>
      </c>
      <c r="V21" s="48">
        <f t="shared" si="8"/>
        <v>18383.289073660089</v>
      </c>
      <c r="W21" s="142">
        <f t="shared" si="9"/>
        <v>1.3479999999999999</v>
      </c>
      <c r="X21" s="48">
        <f t="shared" si="10"/>
        <v>33207.04704770528</v>
      </c>
      <c r="Y21" s="142">
        <f t="shared" si="11"/>
        <v>1.3479999999999999</v>
      </c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x14ac:dyDescent="0.2">
      <c r="A22" s="49"/>
      <c r="B22" s="48"/>
      <c r="C22" s="49"/>
      <c r="D22" s="49"/>
      <c r="E22" s="49"/>
      <c r="F22" s="49"/>
      <c r="G22" s="2"/>
      <c r="H22" s="138"/>
      <c r="I22" s="155" t="s">
        <v>86</v>
      </c>
      <c r="J22" s="156" t="s">
        <v>87</v>
      </c>
      <c r="K22" s="156" t="s">
        <v>119</v>
      </c>
      <c r="L22" s="157" t="s">
        <v>62</v>
      </c>
      <c r="M22" s="2"/>
      <c r="N22" s="2"/>
      <c r="O22" s="141">
        <f t="shared" si="2"/>
        <v>0.12710479836480765</v>
      </c>
      <c r="P22" s="185">
        <f t="shared" si="3"/>
        <v>0.12639030584523619</v>
      </c>
      <c r="Q22" s="141">
        <f t="shared" si="4"/>
        <v>4.4142447129176849</v>
      </c>
      <c r="R22" s="141">
        <f t="shared" si="5"/>
        <v>4.2878544070724489</v>
      </c>
      <c r="S22" s="141">
        <f t="shared" si="6"/>
        <v>4.540635018762921</v>
      </c>
      <c r="T22" s="48">
        <f t="shared" si="7"/>
        <v>25956.415222776515</v>
      </c>
      <c r="U22" s="142">
        <f t="shared" si="12"/>
        <v>1.34</v>
      </c>
      <c r="V22" s="48">
        <f t="shared" si="8"/>
        <v>19402.353238600546</v>
      </c>
      <c r="W22" s="142">
        <f t="shared" si="9"/>
        <v>1.34</v>
      </c>
      <c r="X22" s="48">
        <f t="shared" si="10"/>
        <v>34724.421462279199</v>
      </c>
      <c r="Y22" s="142">
        <f t="shared" si="11"/>
        <v>1.34</v>
      </c>
      <c r="Z22" s="2" t="s">
        <v>88</v>
      </c>
      <c r="AA22" s="2"/>
      <c r="AB22" s="2"/>
      <c r="AC22" s="2"/>
      <c r="AD22" s="2"/>
      <c r="AE22" s="2"/>
      <c r="AF22" s="2"/>
      <c r="AG22" s="2"/>
      <c r="AH22" s="2"/>
    </row>
    <row r="23" spans="1:34" ht="13.5" thickBot="1" x14ac:dyDescent="0.25">
      <c r="A23" s="49"/>
      <c r="B23" s="48"/>
      <c r="C23" s="49"/>
      <c r="D23" s="49"/>
      <c r="E23" s="49"/>
      <c r="F23" s="49"/>
      <c r="G23" s="2"/>
      <c r="H23" s="140" t="s">
        <v>89</v>
      </c>
      <c r="I23" s="158">
        <f>+I9^2/I7</f>
        <v>3.2042447831422542</v>
      </c>
      <c r="J23" s="2">
        <v>1</v>
      </c>
      <c r="K23" s="49">
        <f>+I23/1</f>
        <v>3.2042447831422542</v>
      </c>
      <c r="L23" s="146">
        <f>+K23/K24</f>
        <v>691.90519813306503</v>
      </c>
      <c r="M23" s="2"/>
      <c r="N23" s="2"/>
      <c r="O23" s="141">
        <f t="shared" si="2"/>
        <v>0.12450422483428228</v>
      </c>
      <c r="P23" s="185">
        <f t="shared" si="3"/>
        <v>0.12439443837856019</v>
      </c>
      <c r="Q23" s="141">
        <f t="shared" si="4"/>
        <v>4.4357909409910805</v>
      </c>
      <c r="R23" s="141">
        <f t="shared" si="5"/>
        <v>4.3113965026125207</v>
      </c>
      <c r="S23" s="141">
        <f t="shared" si="6"/>
        <v>4.5601853793696403</v>
      </c>
      <c r="T23" s="48">
        <f t="shared" si="7"/>
        <v>27276.644341018087</v>
      </c>
      <c r="U23" s="142">
        <f t="shared" si="12"/>
        <v>1.3320000000000001</v>
      </c>
      <c r="V23" s="48">
        <f t="shared" si="8"/>
        <v>20483.13854956163</v>
      </c>
      <c r="W23" s="142">
        <f t="shared" si="9"/>
        <v>1.3320000000000001</v>
      </c>
      <c r="X23" s="48">
        <f t="shared" si="10"/>
        <v>36323.306836310774</v>
      </c>
      <c r="Y23" s="142">
        <f t="shared" si="11"/>
        <v>1.3320000000000001</v>
      </c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">
      <c r="A24" s="49"/>
      <c r="B24" s="48"/>
      <c r="C24" s="49"/>
      <c r="D24" s="49"/>
      <c r="E24" s="49"/>
      <c r="F24" s="49"/>
      <c r="G24" s="2"/>
      <c r="H24" s="140" t="s">
        <v>67</v>
      </c>
      <c r="I24" s="159">
        <f>+I8-I23</f>
        <v>2.3155229876781647E-2</v>
      </c>
      <c r="J24" s="160">
        <f>+I1-2</f>
        <v>5</v>
      </c>
      <c r="K24" s="161">
        <f>+I24/($I$1-2)</f>
        <v>4.631045975356329E-3</v>
      </c>
      <c r="L24" s="162"/>
      <c r="M24" s="2"/>
      <c r="N24" s="2"/>
      <c r="O24" s="141">
        <f t="shared" si="2"/>
        <v>0.12188798510368115</v>
      </c>
      <c r="P24" s="185">
        <f t="shared" si="3"/>
        <v>0.12241776021698524</v>
      </c>
      <c r="Q24" s="141">
        <f t="shared" si="4"/>
        <v>4.4574669664018387</v>
      </c>
      <c r="R24" s="141">
        <f t="shared" si="5"/>
        <v>4.3350492061848538</v>
      </c>
      <c r="S24" s="141">
        <f t="shared" si="6"/>
        <v>4.5798847266188236</v>
      </c>
      <c r="T24" s="48">
        <f t="shared" si="7"/>
        <v>28672.59275888704</v>
      </c>
      <c r="U24" s="142">
        <f t="shared" si="12"/>
        <v>1.3240000000000001</v>
      </c>
      <c r="V24" s="48">
        <f t="shared" si="8"/>
        <v>21629.635767056989</v>
      </c>
      <c r="W24" s="142">
        <f t="shared" si="9"/>
        <v>1.3240000000000001</v>
      </c>
      <c r="X24" s="48">
        <f t="shared" si="10"/>
        <v>38008.849726869135</v>
      </c>
      <c r="Y24" s="142">
        <f t="shared" si="11"/>
        <v>1.3240000000000001</v>
      </c>
      <c r="Z24" s="151" t="s">
        <v>90</v>
      </c>
      <c r="AA24" s="151" t="s">
        <v>91</v>
      </c>
      <c r="AB24" s="151" t="s">
        <v>92</v>
      </c>
      <c r="AC24" s="151" t="s">
        <v>93</v>
      </c>
      <c r="AD24" s="2"/>
      <c r="AE24" s="2"/>
      <c r="AF24" s="2"/>
      <c r="AG24" s="2"/>
      <c r="AH24" s="2"/>
    </row>
    <row r="25" spans="1:34" ht="13.5" thickBot="1" x14ac:dyDescent="0.25">
      <c r="A25" s="49"/>
      <c r="B25" s="48"/>
      <c r="C25" s="49"/>
      <c r="D25" s="49"/>
      <c r="E25" s="49"/>
      <c r="F25" s="49"/>
      <c r="G25" s="2"/>
      <c r="H25" s="152" t="s">
        <v>69</v>
      </c>
      <c r="I25" s="163">
        <f>SUM(I23:I24)</f>
        <v>3.2274000130190359</v>
      </c>
      <c r="J25" s="164">
        <f>SUM(J23:J24)</f>
        <v>6</v>
      </c>
      <c r="K25" s="147"/>
      <c r="L25" s="149"/>
      <c r="M25" s="2"/>
      <c r="N25" s="2"/>
      <c r="O25" s="141">
        <f t="shared" si="2"/>
        <v>0.11925588927793671</v>
      </c>
      <c r="P25" s="185">
        <f t="shared" si="3"/>
        <v>0.12046224884588611</v>
      </c>
      <c r="Q25" s="141">
        <f t="shared" si="4"/>
        <v>4.479274362465377</v>
      </c>
      <c r="R25" s="141">
        <f t="shared" si="5"/>
        <v>4.3588121136194911</v>
      </c>
      <c r="S25" s="141">
        <f t="shared" si="6"/>
        <v>4.599736611311263</v>
      </c>
      <c r="T25" s="48">
        <f t="shared" si="7"/>
        <v>30149.100707890782</v>
      </c>
      <c r="U25" s="142">
        <f t="shared" si="12"/>
        <v>1.3160000000000001</v>
      </c>
      <c r="V25" s="48">
        <f t="shared" si="8"/>
        <v>22846.102114725214</v>
      </c>
      <c r="W25" s="142">
        <f t="shared" si="9"/>
        <v>1.3160000000000001</v>
      </c>
      <c r="X25" s="48">
        <f t="shared" si="10"/>
        <v>39786.580175909949</v>
      </c>
      <c r="Y25" s="142">
        <f t="shared" si="11"/>
        <v>1.3160000000000001</v>
      </c>
      <c r="Z25" s="2">
        <v>1</v>
      </c>
      <c r="AA25" s="2">
        <v>64.96200857307025</v>
      </c>
      <c r="AB25" s="2">
        <v>0.47441169590722154</v>
      </c>
      <c r="AC25" s="2">
        <v>0.1032033599178334</v>
      </c>
      <c r="AD25" s="2"/>
      <c r="AE25" s="2"/>
      <c r="AF25" s="2"/>
      <c r="AG25" s="2"/>
      <c r="AH25" s="2"/>
    </row>
    <row r="26" spans="1:34" x14ac:dyDescent="0.2">
      <c r="A26" s="49"/>
      <c r="B26" s="48"/>
      <c r="C26" s="49"/>
      <c r="D26" s="49"/>
      <c r="E26" s="49"/>
      <c r="F26" s="49"/>
      <c r="G26" s="2"/>
      <c r="H26" s="2"/>
      <c r="I26" s="2"/>
      <c r="J26" s="2"/>
      <c r="K26" s="2"/>
      <c r="L26" s="2"/>
      <c r="M26" s="2"/>
      <c r="N26" s="2"/>
      <c r="O26" s="141">
        <f t="shared" si="2"/>
        <v>0.11660774398824848</v>
      </c>
      <c r="P26" s="185">
        <f t="shared" si="3"/>
        <v>0.11853002570273577</v>
      </c>
      <c r="Q26" s="141">
        <f t="shared" si="4"/>
        <v>4.5012147312776314</v>
      </c>
      <c r="R26" s="141">
        <f t="shared" si="5"/>
        <v>4.3826847055748956</v>
      </c>
      <c r="S26" s="141">
        <f t="shared" si="6"/>
        <v>4.6197447569803671</v>
      </c>
      <c r="T26" s="48">
        <f t="shared" si="7"/>
        <v>31711.350020871785</v>
      </c>
      <c r="U26" s="142">
        <f t="shared" si="12"/>
        <v>1.3080000000000001</v>
      </c>
      <c r="V26" s="48">
        <f t="shared" si="8"/>
        <v>24137.078650136045</v>
      </c>
      <c r="W26" s="142">
        <f t="shared" si="9"/>
        <v>1.3080000000000001</v>
      </c>
      <c r="X26" s="48">
        <f t="shared" si="10"/>
        <v>41662.445349018111</v>
      </c>
      <c r="Y26" s="142">
        <f t="shared" si="11"/>
        <v>1.3080000000000001</v>
      </c>
      <c r="Z26" s="2">
        <v>2</v>
      </c>
      <c r="AA26" s="2">
        <v>84.735375375576723</v>
      </c>
      <c r="AB26" s="2">
        <v>8.1224337994435558</v>
      </c>
      <c r="AC26" s="2">
        <v>1.7669515023438278</v>
      </c>
      <c r="AD26" s="2"/>
      <c r="AE26" s="2"/>
      <c r="AF26" s="2"/>
      <c r="AG26" s="2"/>
      <c r="AH26" s="2"/>
    </row>
    <row r="27" spans="1:34" x14ac:dyDescent="0.2">
      <c r="A27" s="49"/>
      <c r="B27" s="48"/>
      <c r="C27" s="49"/>
      <c r="D27" s="49"/>
      <c r="E27" s="49"/>
      <c r="F27" s="49"/>
      <c r="G27" s="2"/>
      <c r="H27" s="2"/>
      <c r="I27" s="2"/>
      <c r="J27" s="2"/>
      <c r="K27" s="2"/>
      <c r="L27" s="2"/>
      <c r="M27" s="2"/>
      <c r="N27" s="2"/>
      <c r="O27" s="141">
        <f t="shared" si="2"/>
        <v>0.11394335230683679</v>
      </c>
      <c r="P27" s="185">
        <f t="shared" si="3"/>
        <v>0.11662336488336093</v>
      </c>
      <c r="Q27" s="141">
        <f t="shared" si="4"/>
        <v>4.5232897044213276</v>
      </c>
      <c r="R27" s="141">
        <f t="shared" si="5"/>
        <v>4.406666339537967</v>
      </c>
      <c r="S27" s="141">
        <f t="shared" si="6"/>
        <v>4.6399130693046882</v>
      </c>
      <c r="T27" s="48">
        <f t="shared" si="7"/>
        <v>33364.89054150202</v>
      </c>
      <c r="U27" s="142">
        <f t="shared" si="12"/>
        <v>1.3</v>
      </c>
      <c r="V27" s="48">
        <f t="shared" si="8"/>
        <v>25507.408623863375</v>
      </c>
      <c r="W27" s="142">
        <f t="shared" si="9"/>
        <v>1.3</v>
      </c>
      <c r="X27" s="48">
        <f t="shared" si="10"/>
        <v>43642.846565171865</v>
      </c>
      <c r="Y27" s="142">
        <f t="shared" si="11"/>
        <v>1.3</v>
      </c>
      <c r="Z27" s="2">
        <v>3</v>
      </c>
      <c r="AA27" s="2">
        <v>72.398960486332342</v>
      </c>
      <c r="AB27" s="2">
        <v>-3.7728515527469852</v>
      </c>
      <c r="AC27" s="2">
        <v>-0.82074485109416684</v>
      </c>
      <c r="AD27" s="2"/>
      <c r="AE27" s="2"/>
      <c r="AF27" s="2"/>
      <c r="AG27" s="2"/>
      <c r="AH27" s="2"/>
    </row>
    <row r="28" spans="1:34" x14ac:dyDescent="0.2">
      <c r="A28" s="49"/>
      <c r="B28" s="48"/>
      <c r="C28" s="49"/>
      <c r="D28" s="49"/>
      <c r="E28" s="49"/>
      <c r="F28" s="49"/>
      <c r="G28" s="2"/>
      <c r="H28" s="2"/>
      <c r="I28" s="49"/>
      <c r="J28" s="2"/>
      <c r="K28" s="2"/>
      <c r="L28" s="2"/>
      <c r="M28" s="2"/>
      <c r="N28" s="2"/>
      <c r="O28" s="141">
        <f t="shared" si="2"/>
        <v>0.1112625136590653</v>
      </c>
      <c r="P28" s="185">
        <f t="shared" si="3"/>
        <v>0.11474470186867931</v>
      </c>
      <c r="Q28" s="141">
        <f t="shared" si="4"/>
        <v>4.5455009436940701</v>
      </c>
      <c r="R28" s="141">
        <f t="shared" si="5"/>
        <v>4.4307562418253905</v>
      </c>
      <c r="S28" s="141">
        <f t="shared" si="6"/>
        <v>4.6602456455627497</v>
      </c>
      <c r="T28" s="48">
        <f t="shared" si="7"/>
        <v>35115.668755643412</v>
      </c>
      <c r="U28" s="142">
        <f t="shared" si="12"/>
        <v>1.292</v>
      </c>
      <c r="V28" s="48">
        <f t="shared" si="8"/>
        <v>26962.256864596955</v>
      </c>
      <c r="W28" s="142">
        <f t="shared" si="9"/>
        <v>1.292</v>
      </c>
      <c r="X28" s="48">
        <f t="shared" si="10"/>
        <v>45734.680088120513</v>
      </c>
      <c r="Y28" s="142">
        <f t="shared" si="11"/>
        <v>1.292</v>
      </c>
      <c r="Z28" s="2">
        <v>4</v>
      </c>
      <c r="AA28" s="2">
        <v>83.967989608254186</v>
      </c>
      <c r="AB28" s="2">
        <v>3.5389412932821216</v>
      </c>
      <c r="AC28" s="2">
        <v>0.76986009234077568</v>
      </c>
      <c r="AD28" s="2"/>
      <c r="AE28" s="2"/>
      <c r="AF28" s="2"/>
      <c r="AG28" s="2"/>
      <c r="AH28" s="2"/>
    </row>
    <row r="29" spans="1:34" x14ac:dyDescent="0.2">
      <c r="A29" s="49"/>
      <c r="B29" s="48"/>
      <c r="C29" s="49"/>
      <c r="D29" s="49"/>
      <c r="E29" s="49"/>
      <c r="F29" s="49"/>
      <c r="G29" s="2"/>
      <c r="H29" s="2" t="s">
        <v>94</v>
      </c>
      <c r="I29" s="165">
        <f>10^$I$13</f>
        <v>293312.95849169919</v>
      </c>
      <c r="J29" s="2" t="s">
        <v>95</v>
      </c>
      <c r="K29" s="2" t="s">
        <v>96</v>
      </c>
      <c r="L29" s="135">
        <f>+I12</f>
        <v>-8.2851831799745863</v>
      </c>
      <c r="M29" s="2"/>
      <c r="N29" s="2"/>
      <c r="O29" s="141">
        <f t="shared" si="2"/>
        <v>0.10856502373283448</v>
      </c>
      <c r="P29" s="185">
        <f t="shared" si="3"/>
        <v>0.11289664212466304</v>
      </c>
      <c r="Q29" s="141">
        <f t="shared" si="4"/>
        <v>4.5678501418590285</v>
      </c>
      <c r="R29" s="141">
        <f t="shared" si="5"/>
        <v>4.4549534997343656</v>
      </c>
      <c r="S29" s="141">
        <f t="shared" si="6"/>
        <v>4.6807467839836914</v>
      </c>
      <c r="T29" s="48">
        <f t="shared" si="7"/>
        <v>36970.0588468469</v>
      </c>
      <c r="U29" s="142">
        <f t="shared" si="12"/>
        <v>1.284</v>
      </c>
      <c r="V29" s="48">
        <f t="shared" si="8"/>
        <v>28507.130229862192</v>
      </c>
      <c r="W29" s="142">
        <f t="shared" si="9"/>
        <v>1.284</v>
      </c>
      <c r="X29" s="48">
        <f t="shared" si="10"/>
        <v>47945.382089270024</v>
      </c>
      <c r="Y29" s="142">
        <f t="shared" si="11"/>
        <v>1.284</v>
      </c>
      <c r="Z29" s="2">
        <v>5</v>
      </c>
      <c r="AA29" s="2">
        <v>80.249513651623147</v>
      </c>
      <c r="AB29" s="2">
        <v>-3.074627132090697</v>
      </c>
      <c r="AC29" s="2">
        <v>-0.66885334671080132</v>
      </c>
      <c r="AD29" s="2"/>
      <c r="AE29" s="2"/>
      <c r="AF29" s="2"/>
      <c r="AG29" s="2"/>
      <c r="AH29" s="2"/>
    </row>
    <row r="30" spans="1:34" ht="15.75" x14ac:dyDescent="0.2">
      <c r="A30" s="136"/>
      <c r="B30" s="136"/>
      <c r="C30" s="1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1">
        <f t="shared" si="2"/>
        <v>0.10585067438514352</v>
      </c>
      <c r="P30" s="185">
        <f t="shared" si="3"/>
        <v>0.1110819693903413</v>
      </c>
      <c r="Q30" s="141">
        <f t="shared" si="4"/>
        <v>4.5903390234190926</v>
      </c>
      <c r="R30" s="141">
        <f t="shared" si="5"/>
        <v>4.4792570540287517</v>
      </c>
      <c r="S30" s="141">
        <f t="shared" si="6"/>
        <v>4.7014209928094335</v>
      </c>
      <c r="T30" s="48">
        <f t="shared" si="7"/>
        <v>38934.896398096127</v>
      </c>
      <c r="U30" s="142">
        <f t="shared" si="12"/>
        <v>1.276</v>
      </c>
      <c r="V30" s="48">
        <f t="shared" si="8"/>
        <v>30147.899165107796</v>
      </c>
      <c r="W30" s="142">
        <f t="shared" si="9"/>
        <v>1.276</v>
      </c>
      <c r="X30" s="48">
        <f t="shared" si="10"/>
        <v>50282.978234349495</v>
      </c>
      <c r="Y30" s="142">
        <f t="shared" si="11"/>
        <v>1.276</v>
      </c>
      <c r="Z30" s="2">
        <v>6</v>
      </c>
      <c r="AA30" s="2">
        <v>78.183475047293271</v>
      </c>
      <c r="AB30" s="2">
        <v>-4.5407034997025164</v>
      </c>
      <c r="AC30" s="2">
        <v>-0.98778310400595504</v>
      </c>
      <c r="AD30" s="2"/>
      <c r="AE30" s="2"/>
      <c r="AF30" s="2"/>
      <c r="AG30" s="2"/>
      <c r="AH30" s="2"/>
    </row>
    <row r="31" spans="1:34" ht="16.5" thickBot="1" x14ac:dyDescent="0.25">
      <c r="A31" s="136"/>
      <c r="B31" s="136"/>
      <c r="C31" s="14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1">
        <f t="shared" si="2"/>
        <v>0.10311925354571388</v>
      </c>
      <c r="P31" s="185">
        <f t="shared" si="3"/>
        <v>0.10930365342522946</v>
      </c>
      <c r="Q31" s="141">
        <f t="shared" si="4"/>
        <v>4.6129693454153671</v>
      </c>
      <c r="R31" s="141">
        <f t="shared" si="5"/>
        <v>4.5036656919901379</v>
      </c>
      <c r="S31" s="141">
        <f t="shared" si="6"/>
        <v>4.7222729988405963</v>
      </c>
      <c r="T31" s="48">
        <f t="shared" si="7"/>
        <v>41017.514983813948</v>
      </c>
      <c r="U31" s="142">
        <f t="shared" si="12"/>
        <v>1.268</v>
      </c>
      <c r="V31" s="48">
        <f t="shared" si="8"/>
        <v>31890.82041910624</v>
      </c>
      <c r="W31" s="142">
        <f t="shared" si="9"/>
        <v>1.268</v>
      </c>
      <c r="X31" s="48">
        <f t="shared" si="10"/>
        <v>52756.138391454821</v>
      </c>
      <c r="Y31" s="142">
        <f t="shared" si="11"/>
        <v>1.268</v>
      </c>
      <c r="Z31" s="2">
        <v>7</v>
      </c>
      <c r="AA31" s="2">
        <v>58.292048895967945</v>
      </c>
      <c r="AB31" s="2">
        <v>5.5384635753090379</v>
      </c>
      <c r="AC31" s="2">
        <v>1.2048354934870995</v>
      </c>
      <c r="AD31" s="2"/>
      <c r="AE31" s="2"/>
      <c r="AF31" s="2"/>
      <c r="AG31" s="2"/>
      <c r="AH31" s="2"/>
    </row>
    <row r="32" spans="1:34" ht="16.5" thickBot="1" x14ac:dyDescent="0.25">
      <c r="A32" s="136"/>
      <c r="B32" s="136"/>
      <c r="C32" s="142"/>
      <c r="D32" s="2"/>
      <c r="E32" s="2"/>
      <c r="F32" s="2"/>
      <c r="G32" s="2"/>
      <c r="H32" s="153" t="s">
        <v>33</v>
      </c>
      <c r="I32" s="166" t="s">
        <v>97</v>
      </c>
      <c r="J32" s="166" t="s">
        <v>98</v>
      </c>
      <c r="K32" s="166"/>
      <c r="L32" s="167">
        <v>0.95</v>
      </c>
      <c r="M32" s="2"/>
      <c r="N32" s="2"/>
      <c r="O32" s="141">
        <f t="shared" si="2"/>
        <v>0.10037054511756291</v>
      </c>
      <c r="P32" s="185">
        <f t="shared" si="3"/>
        <v>0.1075648569388072</v>
      </c>
      <c r="Q32" s="141">
        <f t="shared" si="4"/>
        <v>4.6357428982509372</v>
      </c>
      <c r="R32" s="141">
        <f t="shared" si="5"/>
        <v>4.5281780413121302</v>
      </c>
      <c r="S32" s="141">
        <f t="shared" si="6"/>
        <v>4.7433077551897442</v>
      </c>
      <c r="T32" s="48">
        <f t="shared" si="7"/>
        <v>43225.785920383038</v>
      </c>
      <c r="U32" s="142">
        <f t="shared" si="12"/>
        <v>1.26</v>
      </c>
      <c r="V32" s="48">
        <f t="shared" si="8"/>
        <v>33742.560971566592</v>
      </c>
      <c r="W32" s="142">
        <f t="shared" si="9"/>
        <v>1.26</v>
      </c>
      <c r="X32" s="48">
        <f t="shared" si="10"/>
        <v>55374.237006173484</v>
      </c>
      <c r="Y32" s="142">
        <f t="shared" si="11"/>
        <v>1.26</v>
      </c>
      <c r="Z32" s="2">
        <v>8</v>
      </c>
      <c r="AA32" s="2">
        <v>76.17685964853554</v>
      </c>
      <c r="AB32" s="2">
        <v>-1.6616650429208448</v>
      </c>
      <c r="AC32" s="2">
        <v>-0.36147805158871843</v>
      </c>
      <c r="AD32" s="2"/>
      <c r="AE32" s="2"/>
      <c r="AF32" s="2"/>
      <c r="AG32" s="2"/>
      <c r="AH32" s="2"/>
    </row>
    <row r="33" spans="1:34" ht="15.75" x14ac:dyDescent="0.2">
      <c r="A33" s="136"/>
      <c r="B33" s="136"/>
      <c r="C33" s="142"/>
      <c r="D33" s="2"/>
      <c r="E33" s="2"/>
      <c r="F33" s="2"/>
      <c r="G33" s="2"/>
      <c r="H33" s="140">
        <v>1</v>
      </c>
      <c r="I33" s="2">
        <v>12.706</v>
      </c>
      <c r="J33" s="2">
        <v>199.5</v>
      </c>
      <c r="K33" s="2"/>
      <c r="L33" s="145"/>
      <c r="M33" s="2"/>
      <c r="N33" s="2"/>
      <c r="O33" s="141">
        <f t="shared" si="2"/>
        <v>9.7604328874410881E-2</v>
      </c>
      <c r="P33" s="185">
        <f t="shared" si="3"/>
        <v>0.10586894137117431</v>
      </c>
      <c r="Q33" s="141">
        <f t="shared" si="4"/>
        <v>4.6586615065408736</v>
      </c>
      <c r="R33" s="141">
        <f t="shared" si="5"/>
        <v>4.5527925651696997</v>
      </c>
      <c r="S33" s="141">
        <f t="shared" si="6"/>
        <v>4.7645304479120476</v>
      </c>
      <c r="T33" s="48">
        <f t="shared" si="7"/>
        <v>45568.161470245854</v>
      </c>
      <c r="U33" s="142">
        <f t="shared" si="12"/>
        <v>1.252</v>
      </c>
      <c r="V33" s="48">
        <f t="shared" si="8"/>
        <v>35710.22324052648</v>
      </c>
      <c r="W33" s="142">
        <f t="shared" si="9"/>
        <v>1.252</v>
      </c>
      <c r="X33" s="48">
        <f t="shared" si="10"/>
        <v>58147.419740067184</v>
      </c>
      <c r="Y33" s="142">
        <f t="shared" si="11"/>
        <v>1.252</v>
      </c>
      <c r="Z33" s="2">
        <v>9</v>
      </c>
      <c r="AA33" s="2">
        <v>66.37832722773372</v>
      </c>
      <c r="AB33" s="2">
        <v>1.0806764711593644</v>
      </c>
      <c r="AC33" s="2">
        <v>0.23508999413371393</v>
      </c>
      <c r="AD33" s="2"/>
      <c r="AE33" s="2"/>
      <c r="AF33" s="2"/>
      <c r="AG33" s="2"/>
      <c r="AH33" s="2"/>
    </row>
    <row r="34" spans="1:34" ht="16.5" thickBot="1" x14ac:dyDescent="0.25">
      <c r="A34" s="136"/>
      <c r="B34" s="136"/>
      <c r="C34" s="142"/>
      <c r="D34" s="2"/>
      <c r="E34" s="2"/>
      <c r="F34" s="2"/>
      <c r="G34" s="2"/>
      <c r="H34" s="140">
        <v>2</v>
      </c>
      <c r="I34" s="2">
        <v>4.3029999999999999</v>
      </c>
      <c r="J34" s="2">
        <v>19</v>
      </c>
      <c r="K34" s="2"/>
      <c r="L34" s="145"/>
      <c r="M34" s="2"/>
      <c r="N34" s="2"/>
      <c r="O34" s="141">
        <f t="shared" ref="O34:O65" si="33">LOG($I$19+($I$20-$I$19)*(ROW()-2)/100)</f>
        <v>9.4820380354799894E-2</v>
      </c>
      <c r="P34" s="185">
        <f t="shared" ref="P34:P65" si="34">SQRT(2*$I$16*$K$24)*SQRT((1/$I$1)+((O34-$I$10)^2/$I$7))</f>
        <v>0.10421947113699707</v>
      </c>
      <c r="Q34" s="141">
        <f t="shared" ref="Q34:Q65" si="35">+$I$13+$I$12*O34</f>
        <v>4.6817270299894691</v>
      </c>
      <c r="R34" s="141">
        <f t="shared" ref="R34:R65" si="36">+$I$13+$I$12*O34-P34</f>
        <v>4.5775075588524716</v>
      </c>
      <c r="S34" s="141">
        <f t="shared" ref="S34:S65" si="37">+$I$13+$I$12*O34+P34</f>
        <v>4.7859465011264666</v>
      </c>
      <c r="T34" s="48">
        <f t="shared" ref="T34:T65" si="38">10^Q34</f>
        <v>48053.721824334869</v>
      </c>
      <c r="U34" s="142">
        <f t="shared" si="12"/>
        <v>1.244</v>
      </c>
      <c r="V34" s="48">
        <f t="shared" ref="V34:V65" si="39">10^R34</f>
        <v>37801.371653587659</v>
      </c>
      <c r="W34" s="142">
        <f t="shared" ref="W34:W65" si="40">10^$O34</f>
        <v>1.244</v>
      </c>
      <c r="X34" s="48">
        <f t="shared" ref="X34:X65" si="41">10^S34</f>
        <v>61086.677021451287</v>
      </c>
      <c r="Y34" s="142">
        <f t="shared" ref="Y34:Y65" si="42">10^$O34</f>
        <v>1.244</v>
      </c>
      <c r="Z34" s="147">
        <v>10</v>
      </c>
      <c r="AA34" s="147">
        <v>71.750027598991394</v>
      </c>
      <c r="AB34" s="147">
        <v>-5.705079607640414</v>
      </c>
      <c r="AC34" s="147">
        <v>-1.2410810888236428</v>
      </c>
      <c r="AD34" s="2"/>
      <c r="AE34" s="2"/>
      <c r="AF34" s="2"/>
      <c r="AG34" s="2"/>
      <c r="AH34" s="2"/>
    </row>
    <row r="35" spans="1:34" ht="15.75" x14ac:dyDescent="0.2">
      <c r="A35" s="136"/>
      <c r="B35" s="136"/>
      <c r="C35" s="142"/>
      <c r="D35" s="2"/>
      <c r="E35" s="2"/>
      <c r="F35" s="2"/>
      <c r="G35" s="2"/>
      <c r="H35" s="140">
        <v>3</v>
      </c>
      <c r="I35" s="2">
        <v>3.1819999999999999</v>
      </c>
      <c r="J35" s="2">
        <v>9.5500000000000007</v>
      </c>
      <c r="K35" s="2"/>
      <c r="L35" s="145"/>
      <c r="M35" s="2"/>
      <c r="N35" s="2"/>
      <c r="O35" s="141">
        <f t="shared" si="33"/>
        <v>9.2018470752797024E-2</v>
      </c>
      <c r="P35" s="185">
        <f t="shared" si="34"/>
        <v>0.10262021588633131</v>
      </c>
      <c r="Q35" s="141">
        <f t="shared" si="35"/>
        <v>4.7049413642957933</v>
      </c>
      <c r="R35" s="141">
        <f t="shared" si="36"/>
        <v>4.6023211484094624</v>
      </c>
      <c r="S35" s="141">
        <f t="shared" si="37"/>
        <v>4.8075615801821243</v>
      </c>
      <c r="T35" s="48">
        <f t="shared" si="38"/>
        <v>50692.226220479672</v>
      </c>
      <c r="U35" s="142">
        <f t="shared" ref="U35:U66" si="43">10^O35</f>
        <v>1.236</v>
      </c>
      <c r="V35" s="48">
        <f t="shared" si="39"/>
        <v>40024.060689670951</v>
      </c>
      <c r="W35" s="142">
        <f t="shared" si="40"/>
        <v>1.236</v>
      </c>
      <c r="X35" s="48">
        <f t="shared" si="41"/>
        <v>64203.925211702786</v>
      </c>
      <c r="Y35" s="142">
        <f t="shared" si="42"/>
        <v>1.236</v>
      </c>
      <c r="Z35" s="2">
        <v>11</v>
      </c>
      <c r="AA35" s="2">
        <v>1.8219740757524479</v>
      </c>
      <c r="AB35" s="2">
        <v>-2.3572384393459211E-2</v>
      </c>
      <c r="AC35" s="2">
        <v>-2.1105589333618084</v>
      </c>
      <c r="AD35" s="2"/>
      <c r="AE35" s="2"/>
      <c r="AF35" s="2"/>
      <c r="AG35" s="2"/>
      <c r="AH35" s="2"/>
    </row>
    <row r="36" spans="1:34" ht="16.5" thickBot="1" x14ac:dyDescent="0.25">
      <c r="A36" s="136"/>
      <c r="B36" s="136"/>
      <c r="C36" s="142"/>
      <c r="D36" s="2"/>
      <c r="E36" s="2"/>
      <c r="F36" s="2"/>
      <c r="G36" s="2"/>
      <c r="H36" s="140">
        <v>4</v>
      </c>
      <c r="I36" s="2">
        <v>2.7764000000000002</v>
      </c>
      <c r="J36" s="2">
        <v>6.94</v>
      </c>
      <c r="K36" s="2"/>
      <c r="L36" s="145"/>
      <c r="M36" s="2"/>
      <c r="N36" s="2"/>
      <c r="O36" s="141">
        <f t="shared" si="33"/>
        <v>8.9198366805148865E-2</v>
      </c>
      <c r="P36" s="185">
        <f t="shared" si="34"/>
        <v>0.10107515027887587</v>
      </c>
      <c r="Q36" s="141">
        <f t="shared" si="35"/>
        <v>4.7283064420886269</v>
      </c>
      <c r="R36" s="141">
        <f t="shared" si="36"/>
        <v>4.6272312918097507</v>
      </c>
      <c r="S36" s="141">
        <f t="shared" si="37"/>
        <v>4.8293815923675032</v>
      </c>
      <c r="T36" s="48">
        <f t="shared" si="38"/>
        <v>53494.168591893409</v>
      </c>
      <c r="U36" s="142">
        <f t="shared" si="43"/>
        <v>1.228</v>
      </c>
      <c r="V36" s="48">
        <f t="shared" si="39"/>
        <v>42386.864528092061</v>
      </c>
      <c r="W36" s="142">
        <f t="shared" si="40"/>
        <v>1.228</v>
      </c>
      <c r="X36" s="48">
        <f t="shared" si="41"/>
        <v>67512.096145761403</v>
      </c>
      <c r="Y36" s="142">
        <f t="shared" si="42"/>
        <v>1.228</v>
      </c>
      <c r="Z36" s="147">
        <v>12</v>
      </c>
      <c r="AA36" s="147">
        <v>1.7418458667896419</v>
      </c>
      <c r="AB36" s="147">
        <v>5.198026089093144E-3</v>
      </c>
      <c r="AC36" s="147">
        <v>0.46540647798138757</v>
      </c>
      <c r="AD36" s="2"/>
      <c r="AE36" s="2"/>
      <c r="AF36" s="2"/>
      <c r="AG36" s="2"/>
      <c r="AH36" s="2"/>
    </row>
    <row r="37" spans="1:34" ht="15.75" x14ac:dyDescent="0.2">
      <c r="A37" s="136"/>
      <c r="B37" s="136"/>
      <c r="C37" s="142"/>
      <c r="D37" s="2"/>
      <c r="E37" s="2"/>
      <c r="F37" s="2"/>
      <c r="G37" s="2"/>
      <c r="H37" s="140">
        <v>5</v>
      </c>
      <c r="I37" s="2">
        <v>2.5706000000000002</v>
      </c>
      <c r="J37" s="2">
        <v>5.79</v>
      </c>
      <c r="K37" s="2"/>
      <c r="L37" s="145"/>
      <c r="M37" s="2"/>
      <c r="N37" s="2"/>
      <c r="O37" s="141">
        <f t="shared" si="33"/>
        <v>8.6359830674748214E-2</v>
      </c>
      <c r="P37" s="185">
        <f t="shared" si="34"/>
        <v>9.9588450716863966E-2</v>
      </c>
      <c r="Q37" s="141">
        <f t="shared" si="35"/>
        <v>4.7518242338919734</v>
      </c>
      <c r="R37" s="141">
        <f t="shared" si="36"/>
        <v>4.6522357831751098</v>
      </c>
      <c r="S37" s="141">
        <f t="shared" si="37"/>
        <v>4.851412684608837</v>
      </c>
      <c r="T37" s="48">
        <f t="shared" si="38"/>
        <v>56470.838180301296</v>
      </c>
      <c r="U37" s="142">
        <f t="shared" si="43"/>
        <v>1.22</v>
      </c>
      <c r="V37" s="48">
        <f t="shared" si="39"/>
        <v>44898.908480893864</v>
      </c>
      <c r="W37" s="142">
        <f t="shared" si="40"/>
        <v>1.22</v>
      </c>
      <c r="X37" s="48">
        <f t="shared" si="41"/>
        <v>71025.235861642344</v>
      </c>
      <c r="Y37" s="142">
        <f t="shared" si="42"/>
        <v>1.22</v>
      </c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142"/>
      <c r="B38" s="2"/>
      <c r="C38" s="142"/>
      <c r="D38" s="2"/>
      <c r="E38" s="2"/>
      <c r="F38" s="2"/>
      <c r="G38" s="2"/>
      <c r="H38" s="140">
        <v>6</v>
      </c>
      <c r="I38" s="2">
        <v>2.4468999999999999</v>
      </c>
      <c r="J38" s="2">
        <v>5.14</v>
      </c>
      <c r="K38" s="2"/>
      <c r="L38" s="145"/>
      <c r="M38" s="2"/>
      <c r="N38" s="2"/>
      <c r="O38" s="141">
        <f t="shared" si="33"/>
        <v>8.3502619830267397E-2</v>
      </c>
      <c r="P38" s="185">
        <f t="shared" si="34"/>
        <v>9.8164488441662548E-2</v>
      </c>
      <c r="Q38" s="141">
        <f t="shared" si="35"/>
        <v>4.7754967491223068</v>
      </c>
      <c r="R38" s="141">
        <f t="shared" si="36"/>
        <v>4.677332260680644</v>
      </c>
      <c r="S38" s="141">
        <f t="shared" si="37"/>
        <v>4.8736612375639696</v>
      </c>
      <c r="T38" s="48">
        <f t="shared" si="38"/>
        <v>59634.385593169398</v>
      </c>
      <c r="U38" s="142">
        <f t="shared" si="43"/>
        <v>1.212</v>
      </c>
      <c r="V38" s="48">
        <f t="shared" si="39"/>
        <v>47569.902433890449</v>
      </c>
      <c r="W38" s="142">
        <f t="shared" si="40"/>
        <v>1.212</v>
      </c>
      <c r="X38" s="48">
        <f t="shared" si="41"/>
        <v>74758.613390411483</v>
      </c>
      <c r="Y38" s="142">
        <f t="shared" si="42"/>
        <v>1.212</v>
      </c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142"/>
      <c r="B39" s="2"/>
      <c r="C39" s="142"/>
      <c r="D39" s="2"/>
      <c r="E39" s="2"/>
      <c r="F39" s="2"/>
      <c r="G39" s="2"/>
      <c r="H39" s="140">
        <v>7</v>
      </c>
      <c r="I39" s="2">
        <v>2.3645999999999998</v>
      </c>
      <c r="J39" s="2">
        <v>4.74</v>
      </c>
      <c r="K39" s="2"/>
      <c r="L39" s="145"/>
      <c r="M39" s="2"/>
      <c r="N39" s="2"/>
      <c r="O39" s="141">
        <f t="shared" si="33"/>
        <v>8.0626486921805726E-2</v>
      </c>
      <c r="P39" s="185">
        <f t="shared" si="34"/>
        <v>9.6807818377125363E-2</v>
      </c>
      <c r="Q39" s="141">
        <f t="shared" si="35"/>
        <v>4.7993260371188642</v>
      </c>
      <c r="R39" s="141">
        <f t="shared" si="36"/>
        <v>4.7025182187417389</v>
      </c>
      <c r="S39" s="141">
        <f t="shared" si="37"/>
        <v>4.8961338554959895</v>
      </c>
      <c r="T39" s="48">
        <f t="shared" si="38"/>
        <v>62997.894834381426</v>
      </c>
      <c r="U39" s="142">
        <f t="shared" si="43"/>
        <v>1.204</v>
      </c>
      <c r="V39" s="48">
        <f t="shared" si="39"/>
        <v>50410.176583059234</v>
      </c>
      <c r="W39" s="142">
        <f t="shared" si="40"/>
        <v>1.204</v>
      </c>
      <c r="X39" s="48">
        <f t="shared" si="41"/>
        <v>78728.840535295851</v>
      </c>
      <c r="Y39" s="142">
        <f t="shared" si="42"/>
        <v>1.204</v>
      </c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">
      <c r="A40" s="2"/>
      <c r="B40" s="2"/>
      <c r="C40" s="2"/>
      <c r="D40" s="2"/>
      <c r="E40" s="2"/>
      <c r="F40" s="2"/>
      <c r="G40" s="2"/>
      <c r="H40" s="140">
        <v>8</v>
      </c>
      <c r="I40" s="2">
        <v>2.306</v>
      </c>
      <c r="J40" s="2">
        <v>4.46</v>
      </c>
      <c r="K40" s="2"/>
      <c r="L40" s="145"/>
      <c r="M40" s="2"/>
      <c r="N40" s="2"/>
      <c r="O40" s="141">
        <f t="shared" si="33"/>
        <v>7.7731179652392027E-2</v>
      </c>
      <c r="P40" s="185">
        <f t="shared" si="34"/>
        <v>9.5523163107005538E-2</v>
      </c>
      <c r="Q40" s="141">
        <f t="shared" si="35"/>
        <v>4.8233141882082693</v>
      </c>
      <c r="R40" s="141">
        <f t="shared" si="36"/>
        <v>4.727791025101264</v>
      </c>
      <c r="S40" s="141">
        <f t="shared" si="37"/>
        <v>4.9188373513152746</v>
      </c>
      <c r="T40" s="48">
        <f t="shared" si="38"/>
        <v>66575.461893153959</v>
      </c>
      <c r="U40" s="142">
        <f t="shared" si="43"/>
        <v>1.196</v>
      </c>
      <c r="V40" s="48">
        <f t="shared" si="39"/>
        <v>53430.719826492714</v>
      </c>
      <c r="W40" s="142">
        <f t="shared" si="40"/>
        <v>1.196</v>
      </c>
      <c r="X40" s="48">
        <f t="shared" si="41"/>
        <v>82954.003627125348</v>
      </c>
      <c r="Y40" s="142">
        <f t="shared" si="42"/>
        <v>1.196</v>
      </c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">
      <c r="A41" s="2"/>
      <c r="B41" s="2"/>
      <c r="C41" s="2"/>
      <c r="D41" s="2"/>
      <c r="E41" s="2"/>
      <c r="F41" s="2"/>
      <c r="G41" s="2"/>
      <c r="H41" s="140">
        <v>9</v>
      </c>
      <c r="I41" s="2">
        <v>2.2622</v>
      </c>
      <c r="J41" s="2">
        <v>4.26</v>
      </c>
      <c r="K41" s="2"/>
      <c r="L41" s="145"/>
      <c r="M41" s="2"/>
      <c r="N41" s="2"/>
      <c r="O41" s="141">
        <f t="shared" si="33"/>
        <v>7.4816440645174717E-2</v>
      </c>
      <c r="P41" s="185">
        <f t="shared" si="34"/>
        <v>9.4315391413369767E-2</v>
      </c>
      <c r="Q41" s="141">
        <f t="shared" si="35"/>
        <v>4.8474633348048819</v>
      </c>
      <c r="R41" s="141">
        <f t="shared" si="36"/>
        <v>4.7531479433915118</v>
      </c>
      <c r="S41" s="141">
        <f t="shared" si="37"/>
        <v>4.941778726218252</v>
      </c>
      <c r="T41" s="48">
        <f t="shared" si="38"/>
        <v>70382.280537661092</v>
      </c>
      <c r="U41" s="142">
        <f t="shared" si="43"/>
        <v>1.1879999999999999</v>
      </c>
      <c r="V41" s="48">
        <f t="shared" si="39"/>
        <v>56643.221258296893</v>
      </c>
      <c r="W41" s="142">
        <f t="shared" si="40"/>
        <v>1.1879999999999999</v>
      </c>
      <c r="X41" s="48">
        <f t="shared" si="41"/>
        <v>87453.808304668462</v>
      </c>
      <c r="Y41" s="142">
        <f t="shared" si="42"/>
        <v>1.1879999999999999</v>
      </c>
      <c r="Z41" s="2"/>
      <c r="AA41" s="49"/>
      <c r="AB41" s="2"/>
      <c r="AC41" s="2"/>
      <c r="AD41" s="2"/>
      <c r="AE41" s="2"/>
      <c r="AF41" s="2"/>
      <c r="AG41" s="2"/>
      <c r="AH41" s="2"/>
    </row>
    <row r="42" spans="1:34" x14ac:dyDescent="0.2">
      <c r="A42" s="2"/>
      <c r="B42" s="2"/>
      <c r="C42" s="2"/>
      <c r="D42" s="2"/>
      <c r="E42" s="2"/>
      <c r="F42" s="2"/>
      <c r="G42" s="2"/>
      <c r="H42" s="140">
        <v>10</v>
      </c>
      <c r="I42" s="2">
        <v>2.2281</v>
      </c>
      <c r="J42" s="2">
        <v>4.0999999999999996</v>
      </c>
      <c r="K42" s="2"/>
      <c r="L42" s="145"/>
      <c r="M42" s="2"/>
      <c r="N42" s="2"/>
      <c r="O42" s="141">
        <f t="shared" si="33"/>
        <v>7.1882007306125359E-2</v>
      </c>
      <c r="P42" s="185">
        <f t="shared" si="34"/>
        <v>9.3189490887330695E-2</v>
      </c>
      <c r="Q42" s="141">
        <f t="shared" si="35"/>
        <v>4.8717756525483304</v>
      </c>
      <c r="R42" s="141">
        <f t="shared" si="36"/>
        <v>4.7785861616609999</v>
      </c>
      <c r="S42" s="141">
        <f t="shared" si="37"/>
        <v>4.964965143435661</v>
      </c>
      <c r="T42" s="48">
        <f t="shared" si="38"/>
        <v>74434.736028498926</v>
      </c>
      <c r="U42" s="142">
        <f t="shared" si="43"/>
        <v>1.18</v>
      </c>
      <c r="V42" s="48">
        <f t="shared" si="39"/>
        <v>60060.11530876012</v>
      </c>
      <c r="W42" s="142">
        <f t="shared" si="40"/>
        <v>1.18</v>
      </c>
      <c r="X42" s="48">
        <f t="shared" si="41"/>
        <v>92249.738435387218</v>
      </c>
      <c r="Y42" s="142">
        <f t="shared" si="42"/>
        <v>1.18</v>
      </c>
      <c r="Z42" s="49"/>
      <c r="AA42" s="49"/>
      <c r="AB42" s="2"/>
      <c r="AC42" s="2"/>
      <c r="AD42" s="2"/>
      <c r="AE42" s="2"/>
      <c r="AF42" s="2"/>
      <c r="AG42" s="2"/>
      <c r="AH42" s="2"/>
    </row>
    <row r="43" spans="1:34" x14ac:dyDescent="0.2">
      <c r="A43" s="2"/>
      <c r="B43" s="2"/>
      <c r="C43" s="2"/>
      <c r="D43" s="2"/>
      <c r="E43" s="2"/>
      <c r="F43" s="2"/>
      <c r="G43" s="2"/>
      <c r="H43" s="140">
        <v>11</v>
      </c>
      <c r="I43" s="2">
        <v>2.2010000000000001</v>
      </c>
      <c r="J43" s="2">
        <v>3.98</v>
      </c>
      <c r="K43" s="2"/>
      <c r="L43" s="145"/>
      <c r="M43" s="2"/>
      <c r="N43" s="2"/>
      <c r="O43" s="141">
        <f t="shared" si="33"/>
        <v>6.8927611682071815E-2</v>
      </c>
      <c r="P43" s="185">
        <f t="shared" si="34"/>
        <v>9.2150534261117661E-2</v>
      </c>
      <c r="Q43" s="141">
        <f t="shared" si="35"/>
        <v>4.8962533614797294</v>
      </c>
      <c r="R43" s="141">
        <f t="shared" si="36"/>
        <v>4.8041028272186121</v>
      </c>
      <c r="S43" s="141">
        <f t="shared" si="37"/>
        <v>4.9884038957408467</v>
      </c>
      <c r="T43" s="48">
        <f t="shared" si="38"/>
        <v>78750.507543600572</v>
      </c>
      <c r="U43" s="142">
        <f t="shared" si="43"/>
        <v>1.1719999999999999</v>
      </c>
      <c r="V43" s="48">
        <f t="shared" si="39"/>
        <v>63694.631182829005</v>
      </c>
      <c r="W43" s="142">
        <f t="shared" si="40"/>
        <v>1.1719999999999999</v>
      </c>
      <c r="X43" s="48">
        <f t="shared" si="41"/>
        <v>97365.230368843855</v>
      </c>
      <c r="Y43" s="142">
        <f t="shared" si="42"/>
        <v>1.1719999999999999</v>
      </c>
      <c r="Z43" s="49"/>
      <c r="AA43" s="49"/>
      <c r="AB43" s="2"/>
      <c r="AC43" s="2"/>
      <c r="AD43" s="2"/>
      <c r="AE43" s="2"/>
      <c r="AF43" s="2"/>
      <c r="AG43" s="2"/>
      <c r="AH43" s="2"/>
    </row>
    <row r="44" spans="1:34" x14ac:dyDescent="0.2">
      <c r="A44" s="2"/>
      <c r="B44" s="2"/>
      <c r="C44" s="2"/>
      <c r="D44" s="2"/>
      <c r="E44" s="2"/>
      <c r="F44" s="2"/>
      <c r="G44" s="2"/>
      <c r="H44" s="140">
        <v>12</v>
      </c>
      <c r="I44" s="2">
        <v>2.1787999999999998</v>
      </c>
      <c r="J44" s="2">
        <v>2.89</v>
      </c>
      <c r="K44" s="2"/>
      <c r="L44" s="145"/>
      <c r="M44" s="2"/>
      <c r="N44" s="2"/>
      <c r="O44" s="141">
        <f t="shared" si="33"/>
        <v>6.5952980313869647E-2</v>
      </c>
      <c r="P44" s="185">
        <f t="shared" si="34"/>
        <v>9.1203639307965947E-2</v>
      </c>
      <c r="Q44" s="141">
        <f t="shared" si="35"/>
        <v>4.9208987272581828</v>
      </c>
      <c r="R44" s="141">
        <f t="shared" si="36"/>
        <v>4.829695087950217</v>
      </c>
      <c r="S44" s="141">
        <f t="shared" si="37"/>
        <v>5.0121023665661486</v>
      </c>
      <c r="T44" s="48">
        <f t="shared" si="38"/>
        <v>83348.680191465435</v>
      </c>
      <c r="U44" s="142">
        <f t="shared" si="43"/>
        <v>1.1639999999999999</v>
      </c>
      <c r="V44" s="48">
        <f t="shared" si="39"/>
        <v>67560.847363034452</v>
      </c>
      <c r="W44" s="142">
        <f t="shared" si="40"/>
        <v>1.1639999999999999</v>
      </c>
      <c r="X44" s="48">
        <f t="shared" si="41"/>
        <v>102825.86380733005</v>
      </c>
      <c r="Y44" s="142">
        <f t="shared" si="42"/>
        <v>1.1639999999999999</v>
      </c>
      <c r="Z44" s="49"/>
      <c r="AA44" s="49"/>
      <c r="AB44" s="2"/>
      <c r="AC44" s="2"/>
      <c r="AD44" s="2"/>
      <c r="AE44" s="2"/>
      <c r="AF44" s="2"/>
      <c r="AG44" s="2"/>
      <c r="AH44" s="2"/>
    </row>
    <row r="45" spans="1:34" x14ac:dyDescent="0.2">
      <c r="A45" s="2"/>
      <c r="B45" s="2"/>
      <c r="C45" s="2"/>
      <c r="D45" s="2"/>
      <c r="E45" s="2"/>
      <c r="F45" s="2"/>
      <c r="G45" s="2"/>
      <c r="H45" s="140">
        <v>13</v>
      </c>
      <c r="I45" s="2">
        <v>2.1604000000000001</v>
      </c>
      <c r="J45" s="2">
        <v>3.81</v>
      </c>
      <c r="K45" s="2"/>
      <c r="L45" s="145"/>
      <c r="M45" s="2"/>
      <c r="N45" s="2"/>
      <c r="O45" s="141">
        <f t="shared" si="33"/>
        <v>6.2957834084510306E-2</v>
      </c>
      <c r="P45" s="185">
        <f t="shared" si="34"/>
        <v>9.0353922416028493E-2</v>
      </c>
      <c r="Q45" s="141">
        <f t="shared" si="35"/>
        <v>4.9457140624192348</v>
      </c>
      <c r="R45" s="141">
        <f t="shared" si="36"/>
        <v>4.8553601400032065</v>
      </c>
      <c r="S45" s="141">
        <f t="shared" si="37"/>
        <v>5.0360679848352632</v>
      </c>
      <c r="T45" s="48">
        <f t="shared" si="38"/>
        <v>88249.867584681764</v>
      </c>
      <c r="U45" s="142">
        <f t="shared" si="43"/>
        <v>1.1560000000000001</v>
      </c>
      <c r="V45" s="48">
        <f t="shared" si="39"/>
        <v>71673.752058609884</v>
      </c>
      <c r="W45" s="142">
        <f t="shared" si="40"/>
        <v>1.1560000000000001</v>
      </c>
      <c r="X45" s="48">
        <f t="shared" si="41"/>
        <v>108659.57069395995</v>
      </c>
      <c r="Y45" s="142">
        <f t="shared" si="42"/>
        <v>1.1560000000000001</v>
      </c>
      <c r="Z45" s="49"/>
      <c r="AA45" s="49"/>
      <c r="AB45" s="2"/>
      <c r="AC45" s="2"/>
      <c r="AD45" s="2"/>
      <c r="AE45" s="2"/>
      <c r="AF45" s="2"/>
      <c r="AG45" s="2"/>
      <c r="AH45" s="2"/>
    </row>
    <row r="46" spans="1:34" x14ac:dyDescent="0.2">
      <c r="A46" s="2"/>
      <c r="B46" s="2"/>
      <c r="C46" s="2"/>
      <c r="D46" s="2"/>
      <c r="E46" s="2"/>
      <c r="F46" s="2"/>
      <c r="G46" s="2"/>
      <c r="H46" s="140">
        <v>14</v>
      </c>
      <c r="I46" s="2">
        <v>2.1448</v>
      </c>
      <c r="J46" s="2">
        <v>3.74</v>
      </c>
      <c r="K46" s="2"/>
      <c r="L46" s="145"/>
      <c r="M46" s="2"/>
      <c r="N46" s="2"/>
      <c r="O46" s="141">
        <f t="shared" si="33"/>
        <v>5.9941888061954683E-2</v>
      </c>
      <c r="P46" s="185">
        <f t="shared" si="34"/>
        <v>8.9606446261216763E-2</v>
      </c>
      <c r="Q46" s="141">
        <f t="shared" si="35"/>
        <v>4.9707017276770236</v>
      </c>
      <c r="R46" s="141">
        <f t="shared" si="36"/>
        <v>4.8810952814158064</v>
      </c>
      <c r="S46" s="141">
        <f t="shared" si="37"/>
        <v>5.0603081739382407</v>
      </c>
      <c r="T46" s="48">
        <f t="shared" si="38"/>
        <v>93476.346051892804</v>
      </c>
      <c r="U46" s="142">
        <f t="shared" si="43"/>
        <v>1.1479999999999999</v>
      </c>
      <c r="V46" s="48">
        <f t="shared" si="39"/>
        <v>76049.310593461254</v>
      </c>
      <c r="W46" s="142">
        <f t="shared" si="40"/>
        <v>1.1479999999999999</v>
      </c>
      <c r="X46" s="48">
        <f t="shared" si="41"/>
        <v>114896.86366682853</v>
      </c>
      <c r="Y46" s="142">
        <f t="shared" si="42"/>
        <v>1.1479999999999999</v>
      </c>
      <c r="Z46" s="2"/>
      <c r="AA46" s="2"/>
      <c r="AB46" s="2"/>
      <c r="AC46" s="2"/>
      <c r="AD46" s="2"/>
      <c r="AE46" s="2"/>
      <c r="AF46" s="2"/>
      <c r="AG46" s="2"/>
      <c r="AH46" s="2"/>
    </row>
    <row r="47" spans="1:34" x14ac:dyDescent="0.2">
      <c r="A47" s="2"/>
      <c r="B47" s="2"/>
      <c r="C47" s="2"/>
      <c r="D47" s="2"/>
      <c r="E47" s="2"/>
      <c r="F47" s="2"/>
      <c r="G47" s="2"/>
      <c r="H47" s="140">
        <v>15</v>
      </c>
      <c r="I47" s="2">
        <v>2.1315</v>
      </c>
      <c r="J47" s="2">
        <v>3.68</v>
      </c>
      <c r="K47" s="2"/>
      <c r="L47" s="145"/>
      <c r="M47" s="2"/>
      <c r="N47" s="2"/>
      <c r="O47" s="141">
        <f t="shared" si="33"/>
        <v>5.6904851336472641E-2</v>
      </c>
      <c r="P47" s="185">
        <f t="shared" si="34"/>
        <v>8.8966162370716972E-2</v>
      </c>
      <c r="Q47" s="141">
        <f t="shared" si="35"/>
        <v>4.9958641332719527</v>
      </c>
      <c r="R47" s="141">
        <f t="shared" si="36"/>
        <v>4.9068979709012357</v>
      </c>
      <c r="S47" s="141">
        <f t="shared" si="37"/>
        <v>5.0848302956426696</v>
      </c>
      <c r="T47" s="48">
        <f t="shared" si="38"/>
        <v>99052.201684980741</v>
      </c>
      <c r="U47" s="142">
        <f t="shared" si="43"/>
        <v>1.1400000000000001</v>
      </c>
      <c r="V47" s="48">
        <f t="shared" si="39"/>
        <v>80704.540824764103</v>
      </c>
      <c r="W47" s="142">
        <f t="shared" si="40"/>
        <v>1.1400000000000001</v>
      </c>
      <c r="X47" s="48">
        <f t="shared" si="41"/>
        <v>121571.08581964079</v>
      </c>
      <c r="Y47" s="142">
        <f t="shared" si="42"/>
        <v>1.1400000000000001</v>
      </c>
      <c r="Z47" s="49"/>
      <c r="AA47" s="2"/>
      <c r="AB47" s="2"/>
      <c r="AC47" s="2"/>
      <c r="AD47" s="2"/>
      <c r="AE47" s="2"/>
      <c r="AF47" s="2"/>
      <c r="AG47" s="2"/>
      <c r="AH47" s="2"/>
    </row>
    <row r="48" spans="1:34" x14ac:dyDescent="0.2">
      <c r="A48" s="2"/>
      <c r="B48" s="2"/>
      <c r="C48" s="2"/>
      <c r="D48" s="2"/>
      <c r="E48" s="2"/>
      <c r="F48" s="2"/>
      <c r="G48" s="2"/>
      <c r="H48" s="140">
        <v>16</v>
      </c>
      <c r="I48" s="2">
        <v>2.1198999999999999</v>
      </c>
      <c r="J48" s="2">
        <v>3.63</v>
      </c>
      <c r="K48" s="2"/>
      <c r="L48" s="145"/>
      <c r="M48" s="2"/>
      <c r="N48" s="2"/>
      <c r="O48" s="141">
        <f t="shared" si="33"/>
        <v>5.3846426852252584E-2</v>
      </c>
      <c r="P48" s="185">
        <f t="shared" si="34"/>
        <v>8.8437849764311918E-2</v>
      </c>
      <c r="Q48" s="141">
        <f t="shared" si="35"/>
        <v>5.0212037403658352</v>
      </c>
      <c r="R48" s="141">
        <f t="shared" si="36"/>
        <v>4.932765890601523</v>
      </c>
      <c r="S48" s="141">
        <f t="shared" si="37"/>
        <v>5.1096415901301473</v>
      </c>
      <c r="T48" s="48">
        <f t="shared" si="38"/>
        <v>105003.4915508797</v>
      </c>
      <c r="U48" s="142">
        <f t="shared" si="43"/>
        <v>1.1319999999999999</v>
      </c>
      <c r="V48" s="48">
        <f t="shared" si="39"/>
        <v>85657.597764018035</v>
      </c>
      <c r="W48" s="142">
        <f t="shared" si="40"/>
        <v>1.1319999999999999</v>
      </c>
      <c r="X48" s="48">
        <f t="shared" si="41"/>
        <v>128718.68375588785</v>
      </c>
      <c r="Y48" s="142">
        <f t="shared" si="42"/>
        <v>1.1319999999999999</v>
      </c>
      <c r="Z48" s="49"/>
      <c r="AA48" s="2"/>
      <c r="AB48" s="2"/>
      <c r="AC48" s="2"/>
      <c r="AD48" s="2"/>
      <c r="AE48" s="2"/>
      <c r="AF48" s="2"/>
      <c r="AG48" s="2"/>
      <c r="AH48" s="2"/>
    </row>
    <row r="49" spans="1:34" x14ac:dyDescent="0.2">
      <c r="A49" s="2"/>
      <c r="B49" s="2"/>
      <c r="C49" s="2"/>
      <c r="D49" s="2"/>
      <c r="E49" s="2"/>
      <c r="F49" s="2"/>
      <c r="G49" s="2"/>
      <c r="H49" s="140">
        <v>17</v>
      </c>
      <c r="I49" s="2">
        <v>2.1097999999999999</v>
      </c>
      <c r="J49" s="2">
        <v>3.59</v>
      </c>
      <c r="K49" s="2"/>
      <c r="L49" s="145"/>
      <c r="M49" s="2"/>
      <c r="N49" s="2"/>
      <c r="O49" s="141">
        <f t="shared" si="33"/>
        <v>5.0766311233042323E-2</v>
      </c>
      <c r="P49" s="185">
        <f t="shared" si="34"/>
        <v>8.8026051256071977E-2</v>
      </c>
      <c r="Q49" s="141">
        <f t="shared" si="35"/>
        <v>5.0467230624864934</v>
      </c>
      <c r="R49" s="141">
        <f t="shared" si="36"/>
        <v>4.9586970112304218</v>
      </c>
      <c r="S49" s="141">
        <f t="shared" si="37"/>
        <v>5.1347491137425649</v>
      </c>
      <c r="T49" s="48">
        <f t="shared" si="38"/>
        <v>111358.42054581836</v>
      </c>
      <c r="U49" s="142">
        <f t="shared" si="43"/>
        <v>1.1240000000000001</v>
      </c>
      <c r="V49" s="48">
        <f t="shared" si="39"/>
        <v>90927.868626992742</v>
      </c>
      <c r="W49" s="142">
        <f t="shared" si="40"/>
        <v>1.1240000000000001</v>
      </c>
      <c r="X49" s="48">
        <f t="shared" si="41"/>
        <v>136379.50623620034</v>
      </c>
      <c r="Y49" s="142">
        <f t="shared" si="42"/>
        <v>1.1240000000000001</v>
      </c>
      <c r="Z49" s="49"/>
      <c r="AA49" s="2"/>
      <c r="AB49" s="2"/>
      <c r="AC49" s="2"/>
      <c r="AD49" s="2"/>
      <c r="AE49" s="2"/>
      <c r="AF49" s="2"/>
      <c r="AG49" s="2"/>
      <c r="AH49" s="2"/>
    </row>
    <row r="50" spans="1:34" x14ac:dyDescent="0.2">
      <c r="A50" s="2"/>
      <c r="B50" s="2"/>
      <c r="C50" s="2"/>
      <c r="D50" s="2"/>
      <c r="E50" s="2"/>
      <c r="F50" s="2"/>
      <c r="G50" s="2"/>
      <c r="H50" s="140">
        <v>18</v>
      </c>
      <c r="I50" s="2">
        <v>2.1009000000000002</v>
      </c>
      <c r="J50" s="2">
        <v>3.55</v>
      </c>
      <c r="K50" s="2"/>
      <c r="L50" s="145"/>
      <c r="M50" s="2"/>
      <c r="N50" s="2"/>
      <c r="O50" s="141">
        <f t="shared" si="33"/>
        <v>4.7664194601559899E-2</v>
      </c>
      <c r="P50" s="185">
        <f t="shared" si="34"/>
        <v>8.7735009358379912E-2</v>
      </c>
      <c r="Q50" s="141">
        <f t="shared" si="35"/>
        <v>5.072424667023971</v>
      </c>
      <c r="R50" s="141">
        <f t="shared" si="36"/>
        <v>4.9846896576655908</v>
      </c>
      <c r="S50" s="141">
        <f t="shared" si="37"/>
        <v>5.1601596763823512</v>
      </c>
      <c r="T50" s="48">
        <f t="shared" si="38"/>
        <v>118147.53553599074</v>
      </c>
      <c r="U50" s="142">
        <f t="shared" si="43"/>
        <v>1.1159999999999999</v>
      </c>
      <c r="V50" s="48">
        <f t="shared" si="39"/>
        <v>96536.079563936932</v>
      </c>
      <c r="W50" s="142">
        <f t="shared" si="40"/>
        <v>1.1159999999999999</v>
      </c>
      <c r="X50" s="48">
        <f t="shared" si="41"/>
        <v>144597.13110664621</v>
      </c>
      <c r="Y50" s="142">
        <f t="shared" si="42"/>
        <v>1.1159999999999999</v>
      </c>
      <c r="Z50" s="49"/>
      <c r="AA50" s="2"/>
      <c r="AB50" s="2"/>
      <c r="AC50" s="2"/>
      <c r="AD50" s="2"/>
      <c r="AE50" s="2"/>
      <c r="AF50" s="2"/>
      <c r="AG50" s="2"/>
      <c r="AH50" s="2"/>
    </row>
    <row r="51" spans="1:34" x14ac:dyDescent="0.2">
      <c r="A51" s="2"/>
      <c r="B51" s="2"/>
      <c r="C51" s="2"/>
      <c r="D51" s="2"/>
      <c r="E51" s="2"/>
      <c r="F51" s="2"/>
      <c r="G51" s="2"/>
      <c r="H51" s="140">
        <v>19</v>
      </c>
      <c r="I51" s="2">
        <v>2.093</v>
      </c>
      <c r="J51" s="2">
        <v>3.52</v>
      </c>
      <c r="K51" s="2"/>
      <c r="L51" s="145"/>
      <c r="M51" s="2"/>
      <c r="N51" s="2"/>
      <c r="O51" s="141">
        <f t="shared" si="33"/>
        <v>4.4539760392410983E-2</v>
      </c>
      <c r="P51" s="185">
        <f t="shared" si="34"/>
        <v>8.7568604013081877E-2</v>
      </c>
      <c r="Q51" s="141">
        <f t="shared" si="35"/>
        <v>5.0983111767805482</v>
      </c>
      <c r="R51" s="141">
        <f t="shared" si="36"/>
        <v>5.0107425727674659</v>
      </c>
      <c r="S51" s="141">
        <f t="shared" si="37"/>
        <v>5.1858797807936305</v>
      </c>
      <c r="T51" s="48">
        <f t="shared" si="38"/>
        <v>125403.93861487716</v>
      </c>
      <c r="U51" s="142">
        <f t="shared" si="43"/>
        <v>1.1080000000000001</v>
      </c>
      <c r="V51" s="48">
        <f t="shared" si="39"/>
        <v>102504.41531584597</v>
      </c>
      <c r="W51" s="142">
        <f t="shared" si="40"/>
        <v>1.1080000000000001</v>
      </c>
      <c r="X51" s="48">
        <f t="shared" si="41"/>
        <v>153419.22366628828</v>
      </c>
      <c r="Y51" s="142">
        <f t="shared" si="42"/>
        <v>1.1080000000000001</v>
      </c>
      <c r="Z51" s="49"/>
      <c r="AA51" s="2"/>
      <c r="AB51" s="2"/>
      <c r="AC51" s="2"/>
      <c r="AD51" s="2"/>
      <c r="AE51" s="2"/>
      <c r="AF51" s="2"/>
      <c r="AG51" s="2"/>
      <c r="AH51" s="2"/>
    </row>
    <row r="52" spans="1:34" x14ac:dyDescent="0.2">
      <c r="A52" s="2"/>
      <c r="B52" s="2"/>
      <c r="C52" s="2"/>
      <c r="D52" s="2"/>
      <c r="E52" s="2"/>
      <c r="F52" s="2"/>
      <c r="G52" s="2"/>
      <c r="H52" s="140">
        <v>20</v>
      </c>
      <c r="I52" s="2">
        <v>2.0859999999999999</v>
      </c>
      <c r="J52" s="2">
        <v>3.49</v>
      </c>
      <c r="K52" s="2"/>
      <c r="L52" s="145"/>
      <c r="M52" s="2"/>
      <c r="N52" s="2"/>
      <c r="O52" s="141">
        <f t="shared" si="33"/>
        <v>4.1392685158225077E-2</v>
      </c>
      <c r="P52" s="185">
        <f t="shared" si="34"/>
        <v>8.7530294540599504E-2</v>
      </c>
      <c r="Q52" s="141">
        <f t="shared" si="35"/>
        <v>5.1243852715769398</v>
      </c>
      <c r="R52" s="141">
        <f t="shared" si="36"/>
        <v>5.0368549770363407</v>
      </c>
      <c r="S52" s="141">
        <f t="shared" si="37"/>
        <v>5.2119155661175389</v>
      </c>
      <c r="T52" s="48">
        <f t="shared" si="38"/>
        <v>133163.52151634023</v>
      </c>
      <c r="U52" s="142">
        <f t="shared" si="43"/>
        <v>1.1000000000000001</v>
      </c>
      <c r="V52" s="48">
        <f t="shared" si="39"/>
        <v>108856.65301016725</v>
      </c>
      <c r="W52" s="142">
        <f t="shared" si="40"/>
        <v>1.1000000000000001</v>
      </c>
      <c r="X52" s="48">
        <f t="shared" si="41"/>
        <v>162897.93018876441</v>
      </c>
      <c r="Y52" s="142">
        <f t="shared" si="42"/>
        <v>1.1000000000000001</v>
      </c>
      <c r="Z52" s="49"/>
      <c r="AA52" s="2"/>
      <c r="AB52" s="2"/>
      <c r="AC52" s="2"/>
      <c r="AD52" s="2"/>
      <c r="AE52" s="2"/>
      <c r="AF52" s="2"/>
      <c r="AG52" s="2"/>
      <c r="AH52" s="2"/>
    </row>
    <row r="53" spans="1:34" x14ac:dyDescent="0.2">
      <c r="A53" s="2"/>
      <c r="B53" s="2"/>
      <c r="C53" s="2"/>
      <c r="D53" s="2"/>
      <c r="E53" s="2"/>
      <c r="F53" s="2"/>
      <c r="G53" s="2"/>
      <c r="H53" s="140">
        <v>21</v>
      </c>
      <c r="I53" s="2">
        <v>2.0796000000000001</v>
      </c>
      <c r="J53" s="2">
        <v>3.47</v>
      </c>
      <c r="K53" s="2"/>
      <c r="L53" s="145"/>
      <c r="M53" s="2"/>
      <c r="N53" s="2"/>
      <c r="O53" s="141">
        <f t="shared" si="33"/>
        <v>3.8222638368718462E-2</v>
      </c>
      <c r="P53" s="185">
        <f t="shared" si="34"/>
        <v>8.7623068213256772E-2</v>
      </c>
      <c r="Q53" s="141">
        <f t="shared" si="35"/>
        <v>5.1506496899170928</v>
      </c>
      <c r="R53" s="141">
        <f t="shared" si="36"/>
        <v>5.0630266217038358</v>
      </c>
      <c r="S53" s="141">
        <f t="shared" si="37"/>
        <v>5.2382727581303499</v>
      </c>
      <c r="T53" s="48">
        <f t="shared" si="38"/>
        <v>141465.22345707502</v>
      </c>
      <c r="U53" s="142">
        <f t="shared" si="43"/>
        <v>1.0920000000000001</v>
      </c>
      <c r="V53" s="48">
        <f t="shared" si="39"/>
        <v>115618.31125861086</v>
      </c>
      <c r="W53" s="142">
        <f t="shared" si="40"/>
        <v>1.0920000000000001</v>
      </c>
      <c r="X53" s="48">
        <f t="shared" si="41"/>
        <v>173090.31095426687</v>
      </c>
      <c r="Y53" s="142">
        <f t="shared" si="42"/>
        <v>1.0920000000000001</v>
      </c>
      <c r="Z53" s="49"/>
      <c r="AA53" s="2"/>
      <c r="AB53" s="2"/>
      <c r="AC53" s="2"/>
      <c r="AD53" s="2"/>
      <c r="AE53" s="2"/>
      <c r="AF53" s="2"/>
      <c r="AG53" s="2"/>
      <c r="AH53" s="2"/>
    </row>
    <row r="54" spans="1:34" x14ac:dyDescent="0.2">
      <c r="A54" s="2"/>
      <c r="B54" s="2"/>
      <c r="C54" s="2"/>
      <c r="D54" s="2"/>
      <c r="E54" s="2"/>
      <c r="F54" s="2"/>
      <c r="G54" s="2"/>
      <c r="H54" s="140">
        <v>22</v>
      </c>
      <c r="I54" s="2">
        <v>2.0739000000000001</v>
      </c>
      <c r="J54" s="2">
        <v>3.44</v>
      </c>
      <c r="K54" s="2"/>
      <c r="L54" s="145"/>
      <c r="M54" s="2"/>
      <c r="N54" s="2"/>
      <c r="O54" s="141">
        <f t="shared" si="33"/>
        <v>3.5029282202368152E-2</v>
      </c>
      <c r="P54" s="185">
        <f t="shared" si="34"/>
        <v>8.7849397702650989E-2</v>
      </c>
      <c r="Q54" s="141">
        <f t="shared" si="35"/>
        <v>5.1771072307142063</v>
      </c>
      <c r="R54" s="141">
        <f t="shared" si="36"/>
        <v>5.0892578330115557</v>
      </c>
      <c r="S54" s="141">
        <f t="shared" si="37"/>
        <v>5.264956628416857</v>
      </c>
      <c r="T54" s="48">
        <f t="shared" si="38"/>
        <v>150351.3149454318</v>
      </c>
      <c r="U54" s="142">
        <f t="shared" si="43"/>
        <v>1.0840000000000001</v>
      </c>
      <c r="V54" s="48">
        <f t="shared" si="39"/>
        <v>122816.81566407492</v>
      </c>
      <c r="W54" s="142">
        <f t="shared" si="40"/>
        <v>1.0840000000000001</v>
      </c>
      <c r="X54" s="48">
        <f t="shared" si="41"/>
        <v>184058.81787108371</v>
      </c>
      <c r="Y54" s="142">
        <f t="shared" si="42"/>
        <v>1.0840000000000001</v>
      </c>
      <c r="Z54" s="49"/>
      <c r="AA54" s="168"/>
      <c r="AB54" s="2"/>
      <c r="AC54" s="2"/>
      <c r="AD54" s="2"/>
      <c r="AE54" s="2"/>
      <c r="AF54" s="2"/>
      <c r="AG54" s="2"/>
      <c r="AH54" s="2"/>
    </row>
    <row r="55" spans="1:34" x14ac:dyDescent="0.2">
      <c r="A55" s="2"/>
      <c r="B55" s="2"/>
      <c r="C55" s="2"/>
      <c r="D55" s="2"/>
      <c r="E55" s="2"/>
      <c r="F55" s="2"/>
      <c r="G55" s="2"/>
      <c r="H55" s="140">
        <v>23</v>
      </c>
      <c r="I55" s="2">
        <v>2.069</v>
      </c>
      <c r="J55" s="2">
        <v>3.42</v>
      </c>
      <c r="K55" s="2"/>
      <c r="L55" s="145"/>
      <c r="M55" s="2"/>
      <c r="N55" s="2"/>
      <c r="O55" s="141">
        <f t="shared" si="33"/>
        <v>3.1812271330370401E-2</v>
      </c>
      <c r="P55" s="185">
        <f t="shared" si="34"/>
        <v>8.8211209319255912E-2</v>
      </c>
      <c r="Q55" s="141">
        <f t="shared" si="35"/>
        <v>5.2037607550806779</v>
      </c>
      <c r="R55" s="141">
        <f t="shared" si="36"/>
        <v>5.1155495457614224</v>
      </c>
      <c r="S55" s="141">
        <f t="shared" si="37"/>
        <v>5.2919719643999334</v>
      </c>
      <c r="T55" s="48">
        <f t="shared" si="38"/>
        <v>159867.7103897935</v>
      </c>
      <c r="U55" s="142">
        <f t="shared" si="43"/>
        <v>1.0760000000000001</v>
      </c>
      <c r="V55" s="48">
        <f t="shared" si="39"/>
        <v>130481.68179989392</v>
      </c>
      <c r="W55" s="142">
        <f t="shared" si="40"/>
        <v>1.0760000000000001</v>
      </c>
      <c r="X55" s="48">
        <f t="shared" si="41"/>
        <v>195871.82256333908</v>
      </c>
      <c r="Y55" s="142">
        <f t="shared" si="42"/>
        <v>1.0760000000000001</v>
      </c>
      <c r="Z55" s="2"/>
      <c r="AA55" s="2"/>
      <c r="AB55" s="2"/>
      <c r="AC55" s="2"/>
      <c r="AD55" s="2"/>
      <c r="AE55" s="2"/>
      <c r="AF55" s="2"/>
      <c r="AG55" s="2"/>
      <c r="AH55" s="2"/>
    </row>
    <row r="56" spans="1:34" x14ac:dyDescent="0.2">
      <c r="A56" s="2"/>
      <c r="B56" s="2"/>
      <c r="C56" s="2"/>
      <c r="D56" s="2"/>
      <c r="E56" s="2"/>
      <c r="F56" s="2"/>
      <c r="G56" s="2"/>
      <c r="H56" s="140">
        <v>24</v>
      </c>
      <c r="I56" s="2">
        <v>2.0640000000000001</v>
      </c>
      <c r="J56" s="2">
        <v>3.4</v>
      </c>
      <c r="K56" s="2"/>
      <c r="L56" s="145"/>
      <c r="M56" s="2"/>
      <c r="N56" s="2"/>
      <c r="O56" s="141">
        <f t="shared" si="33"/>
        <v>2.8571252692537637E-2</v>
      </c>
      <c r="P56" s="185">
        <f t="shared" si="34"/>
        <v>8.8709863472894807E-2</v>
      </c>
      <c r="Q56" s="141">
        <f t="shared" si="35"/>
        <v>5.2306131881848339</v>
      </c>
      <c r="R56" s="141">
        <f t="shared" si="36"/>
        <v>5.1419033247119392</v>
      </c>
      <c r="S56" s="141">
        <f t="shared" si="37"/>
        <v>5.3193230516577286</v>
      </c>
      <c r="T56" s="48">
        <f t="shared" si="38"/>
        <v>170064.31267300155</v>
      </c>
      <c r="U56" s="142">
        <f t="shared" si="43"/>
        <v>1.0680000000000001</v>
      </c>
      <c r="V56" s="48">
        <f t="shared" si="39"/>
        <v>138644.71671129321</v>
      </c>
      <c r="W56" s="142">
        <f t="shared" si="40"/>
        <v>1.0680000000000001</v>
      </c>
      <c r="X56" s="48">
        <f t="shared" si="41"/>
        <v>208604.20166724338</v>
      </c>
      <c r="Y56" s="142">
        <f t="shared" si="42"/>
        <v>1.0680000000000001</v>
      </c>
      <c r="Z56" s="2"/>
      <c r="AA56" s="2"/>
      <c r="AB56" s="2"/>
      <c r="AC56" s="2"/>
      <c r="AD56" s="2"/>
      <c r="AE56" s="2"/>
      <c r="AF56" s="2"/>
      <c r="AG56" s="2"/>
      <c r="AH56" s="2"/>
    </row>
    <row r="57" spans="1:34" x14ac:dyDescent="0.2">
      <c r="A57" s="2"/>
      <c r="B57" s="2"/>
      <c r="C57" s="2"/>
      <c r="D57" s="2"/>
      <c r="E57" s="2"/>
      <c r="F57" s="2"/>
      <c r="G57" s="2"/>
      <c r="H57" s="140">
        <v>25</v>
      </c>
      <c r="I57" s="2">
        <v>2.06</v>
      </c>
      <c r="J57" s="2">
        <v>3.39</v>
      </c>
      <c r="K57" s="2"/>
      <c r="L57" s="145"/>
      <c r="M57" s="2"/>
      <c r="N57" s="2"/>
      <c r="O57" s="141">
        <f t="shared" si="33"/>
        <v>2.5305865264770262E-2</v>
      </c>
      <c r="P57" s="185">
        <f t="shared" si="34"/>
        <v>8.9346148172754339E-2</v>
      </c>
      <c r="Q57" s="141">
        <f t="shared" si="35"/>
        <v>5.2576675211774724</v>
      </c>
      <c r="R57" s="141">
        <f t="shared" si="36"/>
        <v>5.1683213730047184</v>
      </c>
      <c r="S57" s="141">
        <f t="shared" si="37"/>
        <v>5.3470136693502264</v>
      </c>
      <c r="T57" s="48">
        <f t="shared" si="38"/>
        <v>180995.39323472406</v>
      </c>
      <c r="U57" s="142">
        <f t="shared" si="43"/>
        <v>1.06</v>
      </c>
      <c r="V57" s="48">
        <f t="shared" si="39"/>
        <v>147340.24002388917</v>
      </c>
      <c r="W57" s="142">
        <f t="shared" si="40"/>
        <v>1.06</v>
      </c>
      <c r="X57" s="48">
        <f t="shared" si="41"/>
        <v>222337.98700803574</v>
      </c>
      <c r="Y57" s="142">
        <f t="shared" si="42"/>
        <v>1.06</v>
      </c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2">
      <c r="A58" s="2"/>
      <c r="B58" s="2"/>
      <c r="C58" s="2"/>
      <c r="D58" s="2"/>
      <c r="E58" s="2"/>
      <c r="F58" s="2"/>
      <c r="G58" s="2"/>
      <c r="H58" s="140">
        <v>26</v>
      </c>
      <c r="I58" s="2">
        <v>2.056</v>
      </c>
      <c r="J58" s="2">
        <v>3.37</v>
      </c>
      <c r="K58" s="2"/>
      <c r="L58" s="145"/>
      <c r="M58" s="2"/>
      <c r="N58" s="2"/>
      <c r="O58" s="141">
        <f t="shared" si="33"/>
        <v>2.201573981772028E-2</v>
      </c>
      <c r="P58" s="185">
        <f t="shared" si="34"/>
        <v>9.0120285708766748E-2</v>
      </c>
      <c r="Q58" s="141">
        <f t="shared" si="35"/>
        <v>5.2849268131913778</v>
      </c>
      <c r="R58" s="141">
        <f t="shared" si="36"/>
        <v>5.1948065274826112</v>
      </c>
      <c r="S58" s="141">
        <f t="shared" si="37"/>
        <v>5.3750470989001444</v>
      </c>
      <c r="T58" s="48">
        <f t="shared" si="38"/>
        <v>192720.01162684476</v>
      </c>
      <c r="U58" s="142">
        <f t="shared" si="43"/>
        <v>1.052</v>
      </c>
      <c r="V58" s="48">
        <f t="shared" si="39"/>
        <v>156605.3258421428</v>
      </c>
      <c r="W58" s="142">
        <f t="shared" si="40"/>
        <v>1.052</v>
      </c>
      <c r="X58" s="48">
        <f t="shared" si="41"/>
        <v>237163.08932487443</v>
      </c>
      <c r="Y58" s="142">
        <f t="shared" si="42"/>
        <v>1.052</v>
      </c>
      <c r="Z58" s="2"/>
      <c r="AA58" s="169"/>
      <c r="AB58" s="2"/>
      <c r="AC58" s="2"/>
      <c r="AD58" s="2"/>
      <c r="AE58" s="2"/>
      <c r="AF58" s="2"/>
      <c r="AG58" s="2"/>
      <c r="AH58" s="2"/>
    </row>
    <row r="59" spans="1:34" x14ac:dyDescent="0.2">
      <c r="A59" s="2"/>
      <c r="B59" s="2"/>
      <c r="C59" s="2"/>
      <c r="D59" s="2"/>
      <c r="E59" s="2"/>
      <c r="F59" s="2"/>
      <c r="G59" s="2"/>
      <c r="H59" s="140">
        <v>27</v>
      </c>
      <c r="I59" s="2">
        <v>2.052</v>
      </c>
      <c r="J59" s="2">
        <v>3.35</v>
      </c>
      <c r="K59" s="2"/>
      <c r="L59" s="145"/>
      <c r="M59" s="2"/>
      <c r="N59" s="2"/>
      <c r="O59" s="141">
        <f t="shared" si="33"/>
        <v>1.8700498666243369E-2</v>
      </c>
      <c r="P59" s="185">
        <f t="shared" si="34"/>
        <v>9.1031951974855474E-2</v>
      </c>
      <c r="Q59" s="141">
        <f t="shared" si="35"/>
        <v>5.3123941934171537</v>
      </c>
      <c r="R59" s="141">
        <f t="shared" si="36"/>
        <v>5.2213622414422982</v>
      </c>
      <c r="S59" s="141">
        <f t="shared" si="37"/>
        <v>5.4034261453920092</v>
      </c>
      <c r="T59" s="48">
        <f t="shared" si="38"/>
        <v>205302.47898443136</v>
      </c>
      <c r="U59" s="142">
        <f t="shared" si="43"/>
        <v>1.044</v>
      </c>
      <c r="V59" s="48">
        <f t="shared" si="39"/>
        <v>166480.06679170593</v>
      </c>
      <c r="W59" s="142">
        <f t="shared" si="40"/>
        <v>1.044</v>
      </c>
      <c r="X59" s="48">
        <f t="shared" si="41"/>
        <v>253178.10527964472</v>
      </c>
      <c r="Y59" s="142">
        <f t="shared" si="42"/>
        <v>1.044</v>
      </c>
      <c r="Z59" s="2"/>
      <c r="AA59" s="169"/>
      <c r="AB59" s="2"/>
      <c r="AC59" s="2"/>
      <c r="AD59" s="2"/>
      <c r="AE59" s="2"/>
      <c r="AF59" s="2"/>
      <c r="AG59" s="2"/>
      <c r="AH59" s="2"/>
    </row>
    <row r="60" spans="1:34" x14ac:dyDescent="0.2">
      <c r="A60" s="2"/>
      <c r="B60" s="2"/>
      <c r="C60" s="2"/>
      <c r="D60" s="2"/>
      <c r="E60" s="2"/>
      <c r="F60" s="2"/>
      <c r="G60" s="2"/>
      <c r="H60" s="140">
        <v>28</v>
      </c>
      <c r="I60" s="2">
        <v>2.048</v>
      </c>
      <c r="J60" s="2">
        <v>3.34</v>
      </c>
      <c r="K60" s="2"/>
      <c r="L60" s="145"/>
      <c r="M60" s="2"/>
      <c r="N60" s="2"/>
      <c r="O60" s="141">
        <f t="shared" si="33"/>
        <v>1.5359755409214231E-2</v>
      </c>
      <c r="P60" s="185">
        <f t="shared" si="34"/>
        <v>9.2080307271064601E-2</v>
      </c>
      <c r="Q60" s="141">
        <f t="shared" si="35"/>
        <v>5.3400728632589045</v>
      </c>
      <c r="R60" s="141">
        <f t="shared" si="36"/>
        <v>5.2479925559878398</v>
      </c>
      <c r="S60" s="141">
        <f t="shared" si="37"/>
        <v>5.4321531705299693</v>
      </c>
      <c r="T60" s="48">
        <f t="shared" si="38"/>
        <v>218812.87039407078</v>
      </c>
      <c r="U60" s="142">
        <f t="shared" si="43"/>
        <v>1.036</v>
      </c>
      <c r="V60" s="48">
        <f t="shared" si="39"/>
        <v>177007.8618075414</v>
      </c>
      <c r="W60" s="142">
        <f t="shared" si="40"/>
        <v>1.036</v>
      </c>
      <c r="X60" s="48">
        <f t="shared" si="41"/>
        <v>270491.21864514053</v>
      </c>
      <c r="Y60" s="142">
        <f t="shared" si="42"/>
        <v>1.036</v>
      </c>
      <c r="Z60" s="2"/>
      <c r="AA60" s="2"/>
      <c r="AB60" s="2"/>
      <c r="AC60" s="2"/>
      <c r="AD60" s="2"/>
      <c r="AE60" s="2"/>
      <c r="AF60" s="2"/>
      <c r="AG60" s="2"/>
      <c r="AH60" s="2"/>
    </row>
    <row r="61" spans="1:34" x14ac:dyDescent="0.2">
      <c r="A61" s="2"/>
      <c r="B61" s="2"/>
      <c r="C61" s="2"/>
      <c r="D61" s="2"/>
      <c r="E61" s="2"/>
      <c r="F61" s="2"/>
      <c r="G61" s="2"/>
      <c r="H61" s="140">
        <v>29</v>
      </c>
      <c r="I61" s="2">
        <v>2.0449999999999999</v>
      </c>
      <c r="J61" s="2">
        <v>3.33</v>
      </c>
      <c r="K61" s="2"/>
      <c r="L61" s="145"/>
      <c r="M61" s="2"/>
      <c r="N61" s="2"/>
      <c r="O61" s="141">
        <f t="shared" si="33"/>
        <v>1.1993114659256938E-2</v>
      </c>
      <c r="P61" s="185">
        <f t="shared" si="34"/>
        <v>9.326403690947134E-2</v>
      </c>
      <c r="Q61" s="141">
        <f t="shared" si="35"/>
        <v>5.3679660985734676</v>
      </c>
      <c r="R61" s="141">
        <f t="shared" si="36"/>
        <v>5.2747020616639961</v>
      </c>
      <c r="S61" s="141">
        <f t="shared" si="37"/>
        <v>5.4612301354829391</v>
      </c>
      <c r="T61" s="48">
        <f t="shared" si="38"/>
        <v>233327.59175086516</v>
      </c>
      <c r="U61" s="142">
        <f t="shared" si="43"/>
        <v>1.028</v>
      </c>
      <c r="V61" s="48">
        <f t="shared" si="39"/>
        <v>188235.7295927371</v>
      </c>
      <c r="W61" s="142">
        <f t="shared" si="40"/>
        <v>1.028</v>
      </c>
      <c r="X61" s="48">
        <f t="shared" si="41"/>
        <v>289221.20784426777</v>
      </c>
      <c r="Y61" s="142">
        <f t="shared" si="42"/>
        <v>1.028</v>
      </c>
      <c r="Z61" s="2"/>
      <c r="AA61" s="2"/>
      <c r="AB61" s="2"/>
      <c r="AC61" s="2"/>
      <c r="AD61" s="2"/>
      <c r="AE61" s="2"/>
      <c r="AF61" s="2"/>
      <c r="AG61" s="2"/>
      <c r="AH61" s="2"/>
    </row>
    <row r="62" spans="1:34" x14ac:dyDescent="0.2">
      <c r="A62" s="2"/>
      <c r="B62" s="2"/>
      <c r="C62" s="2"/>
      <c r="D62" s="2"/>
      <c r="E62" s="2"/>
      <c r="F62" s="2"/>
      <c r="G62" s="2"/>
      <c r="H62" s="140">
        <v>30</v>
      </c>
      <c r="I62" s="2">
        <v>2.0419999999999998</v>
      </c>
      <c r="J62" s="2">
        <v>3.32</v>
      </c>
      <c r="K62" s="2"/>
      <c r="L62" s="145"/>
      <c r="M62" s="2"/>
      <c r="N62" s="2"/>
      <c r="O62" s="141">
        <f t="shared" si="33"/>
        <v>8.6001717619175692E-3</v>
      </c>
      <c r="P62" s="185">
        <f t="shared" si="34"/>
        <v>9.4581399585726852E-2</v>
      </c>
      <c r="Q62" s="141">
        <f t="shared" si="35"/>
        <v>5.3960772519971183</v>
      </c>
      <c r="R62" s="141">
        <f t="shared" si="36"/>
        <v>5.3014958524113913</v>
      </c>
      <c r="S62" s="141">
        <f t="shared" si="37"/>
        <v>5.4906586515828453</v>
      </c>
      <c r="T62" s="48">
        <f t="shared" si="38"/>
        <v>248930.00738497806</v>
      </c>
      <c r="U62" s="142">
        <f t="shared" si="43"/>
        <v>1.02</v>
      </c>
      <c r="V62" s="48">
        <f t="shared" si="39"/>
        <v>200214.65006468765</v>
      </c>
      <c r="W62" s="142">
        <f t="shared" si="40"/>
        <v>1.02</v>
      </c>
      <c r="X62" s="48">
        <f t="shared" si="41"/>
        <v>309498.57343937922</v>
      </c>
      <c r="Y62" s="142">
        <f t="shared" si="42"/>
        <v>1.02</v>
      </c>
      <c r="Z62" s="2"/>
      <c r="AA62" s="135"/>
      <c r="AB62" s="2"/>
      <c r="AC62" s="2"/>
      <c r="AD62" s="2"/>
      <c r="AE62" s="2"/>
      <c r="AF62" s="2"/>
      <c r="AG62" s="2"/>
      <c r="AH62" s="2"/>
    </row>
    <row r="63" spans="1:34" x14ac:dyDescent="0.2">
      <c r="A63" s="2"/>
      <c r="B63" s="2"/>
      <c r="C63" s="2"/>
      <c r="D63" s="2"/>
      <c r="E63" s="2"/>
      <c r="F63" s="2"/>
      <c r="G63" s="2"/>
      <c r="H63" s="140">
        <v>31</v>
      </c>
      <c r="I63" s="2">
        <v>2.0209999999999999</v>
      </c>
      <c r="J63" s="2">
        <v>3.23</v>
      </c>
      <c r="K63" s="2"/>
      <c r="L63" s="145"/>
      <c r="M63" s="2"/>
      <c r="N63" s="2"/>
      <c r="O63" s="141">
        <f t="shared" si="33"/>
        <v>5.1805125037803143E-3</v>
      </c>
      <c r="P63" s="185">
        <f t="shared" si="34"/>
        <v>9.6030281282164578E-2</v>
      </c>
      <c r="Q63" s="141">
        <f t="shared" si="35"/>
        <v>5.4244097553638815</v>
      </c>
      <c r="R63" s="141">
        <f t="shared" si="36"/>
        <v>5.328379474081717</v>
      </c>
      <c r="S63" s="141">
        <f t="shared" si="37"/>
        <v>5.520440036646046</v>
      </c>
      <c r="T63" s="48">
        <f t="shared" si="38"/>
        <v>265711.13551958901</v>
      </c>
      <c r="U63" s="142">
        <f t="shared" si="43"/>
        <v>1.012</v>
      </c>
      <c r="V63" s="48">
        <f t="shared" si="39"/>
        <v>212999.93655677809</v>
      </c>
      <c r="W63" s="142">
        <f t="shared" si="40"/>
        <v>1.012</v>
      </c>
      <c r="X63" s="48">
        <f t="shared" si="41"/>
        <v>331466.80079075624</v>
      </c>
      <c r="Y63" s="142">
        <f t="shared" si="42"/>
        <v>1.012</v>
      </c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2">
      <c r="A64" s="2"/>
      <c r="B64" s="2"/>
      <c r="C64" s="2"/>
      <c r="D64" s="2"/>
      <c r="E64" s="2"/>
      <c r="F64" s="2"/>
      <c r="G64" s="2"/>
      <c r="H64" s="140">
        <v>40</v>
      </c>
      <c r="I64" s="2">
        <v>2.0209999999999999</v>
      </c>
      <c r="J64" s="2">
        <v>3.23</v>
      </c>
      <c r="K64" s="2"/>
      <c r="L64" s="145"/>
      <c r="M64" s="2"/>
      <c r="N64" s="2"/>
      <c r="O64" s="141">
        <f t="shared" si="33"/>
        <v>1.7337128090005314E-3</v>
      </c>
      <c r="P64" s="185">
        <f t="shared" si="34"/>
        <v>9.7608252437814111E-2</v>
      </c>
      <c r="Q64" s="141">
        <f t="shared" si="35"/>
        <v>5.4529671222198122</v>
      </c>
      <c r="R64" s="141">
        <f t="shared" si="36"/>
        <v>5.3553588697819983</v>
      </c>
      <c r="S64" s="141">
        <f t="shared" si="37"/>
        <v>5.5505753746576261</v>
      </c>
      <c r="T64" s="48">
        <f t="shared" si="38"/>
        <v>283770.41950733523</v>
      </c>
      <c r="U64" s="142">
        <f t="shared" si="43"/>
        <v>1.004</v>
      </c>
      <c r="V64" s="48">
        <f t="shared" si="39"/>
        <v>226651.64204541573</v>
      </c>
      <c r="W64" s="142">
        <f t="shared" si="40"/>
        <v>1.004</v>
      </c>
      <c r="X64" s="48">
        <f t="shared" si="41"/>
        <v>355283.77496260777</v>
      </c>
      <c r="Y64" s="142">
        <f t="shared" si="42"/>
        <v>1.004</v>
      </c>
      <c r="Z64" s="2"/>
      <c r="AA64" s="2"/>
      <c r="AB64" s="2"/>
      <c r="AC64" s="2"/>
      <c r="AD64" s="2"/>
      <c r="AE64" s="2"/>
      <c r="AF64" s="2"/>
      <c r="AG64" s="2"/>
      <c r="AH64" s="2"/>
    </row>
    <row r="65" spans="1:34" x14ac:dyDescent="0.2">
      <c r="A65" s="2"/>
      <c r="B65" s="2"/>
      <c r="C65" s="2"/>
      <c r="D65" s="2"/>
      <c r="E65" s="2"/>
      <c r="F65" s="2"/>
      <c r="G65" s="2"/>
      <c r="H65" s="140">
        <v>41</v>
      </c>
      <c r="I65" s="2">
        <v>2</v>
      </c>
      <c r="J65" s="2">
        <v>3.15</v>
      </c>
      <c r="K65" s="2"/>
      <c r="L65" s="145"/>
      <c r="M65" s="2"/>
      <c r="N65" s="2"/>
      <c r="O65" s="141">
        <f t="shared" si="33"/>
        <v>-1.7406615763012701E-3</v>
      </c>
      <c r="P65" s="185">
        <f t="shared" si="34"/>
        <v>9.931262623646242E-2</v>
      </c>
      <c r="Q65" s="141">
        <f t="shared" si="35"/>
        <v>5.4817529504378495</v>
      </c>
      <c r="R65" s="141">
        <f t="shared" si="36"/>
        <v>5.3824403242013874</v>
      </c>
      <c r="S65" s="141">
        <f t="shared" si="37"/>
        <v>5.5810655766743116</v>
      </c>
      <c r="T65" s="48">
        <f t="shared" si="38"/>
        <v>303216.58379679924</v>
      </c>
      <c r="U65" s="142">
        <f t="shared" si="43"/>
        <v>0.996</v>
      </c>
      <c r="V65" s="48">
        <f t="shared" si="39"/>
        <v>241235.0032165653</v>
      </c>
      <c r="W65" s="142">
        <f t="shared" si="40"/>
        <v>0.996</v>
      </c>
      <c r="X65" s="48">
        <f t="shared" si="41"/>
        <v>381123.36710466212</v>
      </c>
      <c r="Y65" s="142">
        <f t="shared" si="42"/>
        <v>0.996</v>
      </c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2">
      <c r="A66" s="2"/>
      <c r="B66" s="2"/>
      <c r="C66" s="2"/>
      <c r="D66" s="2"/>
      <c r="E66" s="2"/>
      <c r="F66" s="2"/>
      <c r="G66" s="2"/>
      <c r="H66" s="140">
        <v>60</v>
      </c>
      <c r="I66" s="2">
        <v>2</v>
      </c>
      <c r="J66" s="2">
        <v>3.15</v>
      </c>
      <c r="K66" s="2"/>
      <c r="L66" s="145"/>
      <c r="M66" s="2"/>
      <c r="N66" s="2"/>
      <c r="O66" s="141">
        <f t="shared" ref="O66:O102" si="44">LOG($I$19+($I$20-$I$19)*(ROW()-2)/100)</f>
        <v>-5.2430554123718831E-3</v>
      </c>
      <c r="P66" s="185">
        <f t="shared" ref="P66:P97" si="45">SQRT(2*$I$16*$K$24)*SQRT((1/$I$1)+((O66-$I$10)^2/$I$7))</f>
        <v>0.10114051609518035</v>
      </c>
      <c r="Q66" s="141">
        <f t="shared" ref="Q66:Q102" si="46">+$I$13+$I$12*O66</f>
        <v>5.5107709249381083</v>
      </c>
      <c r="R66" s="141">
        <f t="shared" ref="R66:R102" si="47">+$I$13+$I$12*O66-P66</f>
        <v>5.4096304088429283</v>
      </c>
      <c r="S66" s="141">
        <f t="shared" ref="S66:S102" si="48">+$I$13+$I$12*O66+P66</f>
        <v>5.6119114410332882</v>
      </c>
      <c r="T66" s="48">
        <f t="shared" ref="T66:T102" si="49">10^Q66</f>
        <v>324168.58472140634</v>
      </c>
      <c r="U66" s="142">
        <f t="shared" si="43"/>
        <v>0.98799999999999999</v>
      </c>
      <c r="V66" s="48">
        <f t="shared" ref="V66:V102" si="50">10^R66</f>
        <v>256820.92676842323</v>
      </c>
      <c r="W66" s="142">
        <f t="shared" ref="W66:W102" si="51">10^$O66</f>
        <v>0.98799999999999999</v>
      </c>
      <c r="X66" s="48">
        <f t="shared" ref="X66:X102" si="52">10^S66</f>
        <v>409177.21403223323</v>
      </c>
      <c r="Y66" s="142">
        <f t="shared" ref="Y66:Y102" si="53">10^$O66</f>
        <v>0.98799999999999999</v>
      </c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2">
      <c r="A67" s="2"/>
      <c r="B67" s="2"/>
      <c r="C67" s="2"/>
      <c r="D67" s="2"/>
      <c r="E67" s="2"/>
      <c r="F67" s="2"/>
      <c r="G67" s="2"/>
      <c r="H67" s="140">
        <v>61</v>
      </c>
      <c r="I67" s="2">
        <v>1.98</v>
      </c>
      <c r="J67" s="2">
        <v>3.07</v>
      </c>
      <c r="K67" s="2"/>
      <c r="L67" s="145"/>
      <c r="M67" s="2"/>
      <c r="N67" s="2"/>
      <c r="O67" s="141">
        <f t="shared" si="44"/>
        <v>-8.7739243075051505E-3</v>
      </c>
      <c r="P67" s="185">
        <f t="shared" si="45"/>
        <v>0.10308889074542672</v>
      </c>
      <c r="Q67" s="141">
        <f t="shared" si="46"/>
        <v>5.5400248205187621</v>
      </c>
      <c r="R67" s="141">
        <f t="shared" si="47"/>
        <v>5.4369359297733357</v>
      </c>
      <c r="S67" s="141">
        <f t="shared" si="48"/>
        <v>5.6431137112641885</v>
      </c>
      <c r="T67" s="48">
        <f t="shared" si="49"/>
        <v>346756.66750016471</v>
      </c>
      <c r="U67" s="142">
        <f t="shared" ref="U67:U102" si="54">10^O67</f>
        <v>0.98</v>
      </c>
      <c r="V67" s="48">
        <f t="shared" si="50"/>
        <v>273486.52296743455</v>
      </c>
      <c r="W67" s="142">
        <f t="shared" si="51"/>
        <v>0.98</v>
      </c>
      <c r="X67" s="48">
        <f t="shared" si="52"/>
        <v>439656.71562593745</v>
      </c>
      <c r="Y67" s="142">
        <f t="shared" si="53"/>
        <v>0.98</v>
      </c>
      <c r="Z67" s="2"/>
      <c r="AA67" s="2"/>
      <c r="AB67" s="2"/>
      <c r="AC67" s="2"/>
      <c r="AD67" s="2"/>
      <c r="AE67" s="2"/>
      <c r="AF67" s="2"/>
      <c r="AG67" s="2"/>
      <c r="AH67" s="2"/>
    </row>
    <row r="68" spans="1:34" x14ac:dyDescent="0.2">
      <c r="A68" s="2"/>
      <c r="B68" s="2"/>
      <c r="C68" s="2"/>
      <c r="D68" s="2"/>
      <c r="E68" s="2"/>
      <c r="F68" s="2"/>
      <c r="G68" s="2"/>
      <c r="H68" s="140">
        <v>120</v>
      </c>
      <c r="I68" s="2">
        <v>1.98</v>
      </c>
      <c r="J68" s="2">
        <v>3.07</v>
      </c>
      <c r="K68" s="2"/>
      <c r="L68" s="145"/>
      <c r="M68" s="2"/>
      <c r="N68" s="2"/>
      <c r="O68" s="141">
        <f t="shared" si="44"/>
        <v>-1.2333735073725434E-2</v>
      </c>
      <c r="P68" s="185">
        <f t="shared" si="45"/>
        <v>0.10515462564938713</v>
      </c>
      <c r="Q68" s="141">
        <f t="shared" si="46"/>
        <v>5.569518504802943</v>
      </c>
      <c r="R68" s="141">
        <f t="shared" si="47"/>
        <v>5.4643638791535558</v>
      </c>
      <c r="S68" s="141">
        <f t="shared" si="48"/>
        <v>5.6746731304523301</v>
      </c>
      <c r="T68" s="48">
        <f t="shared" si="49"/>
        <v>371123.54231578397</v>
      </c>
      <c r="U68" s="142">
        <f t="shared" si="54"/>
        <v>0.97199999999999998</v>
      </c>
      <c r="V68" s="48">
        <f t="shared" si="50"/>
        <v>291315.69213800499</v>
      </c>
      <c r="W68" s="142">
        <f t="shared" si="51"/>
        <v>0.97199999999999998</v>
      </c>
      <c r="X68" s="48">
        <f t="shared" si="52"/>
        <v>472795.27803729632</v>
      </c>
      <c r="Y68" s="142">
        <f t="shared" si="53"/>
        <v>0.97199999999999998</v>
      </c>
      <c r="Z68" s="2"/>
      <c r="AA68" s="2"/>
      <c r="AB68" s="2"/>
      <c r="AC68" s="2"/>
      <c r="AD68" s="2"/>
      <c r="AE68" s="2"/>
      <c r="AF68" s="2"/>
      <c r="AG68" s="2"/>
      <c r="AH68" s="2"/>
    </row>
    <row r="69" spans="1:34" x14ac:dyDescent="0.2">
      <c r="A69" s="2"/>
      <c r="B69" s="2"/>
      <c r="C69" s="2"/>
      <c r="D69" s="2"/>
      <c r="E69" s="2"/>
      <c r="F69" s="2"/>
      <c r="G69" s="2"/>
      <c r="H69" s="140">
        <v>121</v>
      </c>
      <c r="I69" s="2">
        <v>1.96</v>
      </c>
      <c r="J69" s="2">
        <v>3</v>
      </c>
      <c r="K69" s="2"/>
      <c r="L69" s="145"/>
      <c r="M69" s="2"/>
      <c r="N69" s="2"/>
      <c r="O69" s="141">
        <f t="shared" si="44"/>
        <v>-1.5922966097169242E-2</v>
      </c>
      <c r="P69" s="185">
        <f t="shared" si="45"/>
        <v>0.10733454985194836</v>
      </c>
      <c r="Q69" s="141">
        <f t="shared" si="46"/>
        <v>5.5992559413074225</v>
      </c>
      <c r="R69" s="141">
        <f t="shared" si="47"/>
        <v>5.4919213914554739</v>
      </c>
      <c r="S69" s="141">
        <f t="shared" si="48"/>
        <v>5.7065904911593712</v>
      </c>
      <c r="T69" s="48">
        <f t="shared" si="49"/>
        <v>397425.6940174225</v>
      </c>
      <c r="U69" s="142">
        <f t="shared" si="54"/>
        <v>0.96399999999999997</v>
      </c>
      <c r="V69" s="48">
        <f t="shared" si="50"/>
        <v>310399.77048079314</v>
      </c>
      <c r="W69" s="142">
        <f t="shared" si="51"/>
        <v>0.96399999999999997</v>
      </c>
      <c r="X69" s="48">
        <f t="shared" si="52"/>
        <v>508850.83458849927</v>
      </c>
      <c r="Y69" s="142">
        <f t="shared" si="53"/>
        <v>0.96399999999999997</v>
      </c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3.5" thickBot="1" x14ac:dyDescent="0.25">
      <c r="A70" s="2"/>
      <c r="B70" s="2"/>
      <c r="C70" s="2"/>
      <c r="D70" s="2"/>
      <c r="E70" s="2"/>
      <c r="F70" s="2"/>
      <c r="G70" s="2"/>
      <c r="H70" s="152"/>
      <c r="I70" s="147"/>
      <c r="J70" s="147"/>
      <c r="K70" s="147"/>
      <c r="L70" s="149"/>
      <c r="M70" s="2"/>
      <c r="N70" s="2"/>
      <c r="O70" s="141">
        <f t="shared" si="44"/>
        <v>-1.9542107723899943E-2</v>
      </c>
      <c r="P70" s="185">
        <f t="shared" si="45"/>
        <v>0.10962548770676163</v>
      </c>
      <c r="Q70" s="141">
        <f t="shared" si="46"/>
        <v>5.6292411926391575</v>
      </c>
      <c r="R70" s="141">
        <f t="shared" si="47"/>
        <v>5.5196157049323959</v>
      </c>
      <c r="S70" s="141">
        <f t="shared" si="48"/>
        <v>5.738866680345919</v>
      </c>
      <c r="T70" s="48">
        <f t="shared" si="49"/>
        <v>425834.84191321209</v>
      </c>
      <c r="U70" s="142">
        <f t="shared" si="54"/>
        <v>0.95600000000000007</v>
      </c>
      <c r="V70" s="48">
        <f t="shared" si="50"/>
        <v>330838.24239312165</v>
      </c>
      <c r="W70" s="142">
        <f t="shared" si="51"/>
        <v>0.95600000000000007</v>
      </c>
      <c r="X70" s="48">
        <f t="shared" si="52"/>
        <v>548108.68077269406</v>
      </c>
      <c r="Y70" s="142">
        <f t="shared" si="53"/>
        <v>0.95600000000000007</v>
      </c>
      <c r="Z70" s="2"/>
      <c r="AA70" s="2"/>
      <c r="AB70" s="2"/>
      <c r="AC70" s="2"/>
      <c r="AD70" s="2"/>
      <c r="AE70" s="2"/>
      <c r="AF70" s="2"/>
      <c r="AG70" s="2"/>
      <c r="AH70" s="2"/>
    </row>
    <row r="71" spans="1:3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41">
        <f t="shared" si="44"/>
        <v>-2.3191662661933767E-2</v>
      </c>
      <c r="P71" s="185">
        <f t="shared" si="45"/>
        <v>0.11202429521431023</v>
      </c>
      <c r="Q71" s="141">
        <f t="shared" si="46"/>
        <v>5.6594784238261484</v>
      </c>
      <c r="R71" s="141">
        <f t="shared" si="47"/>
        <v>5.5474541286118377</v>
      </c>
      <c r="S71" s="141">
        <f t="shared" si="48"/>
        <v>5.7715027190404591</v>
      </c>
      <c r="T71" s="48">
        <f t="shared" si="49"/>
        <v>456539.56830735045</v>
      </c>
      <c r="U71" s="142">
        <f t="shared" si="54"/>
        <v>0.94799999999999995</v>
      </c>
      <c r="V71" s="48">
        <f t="shared" si="50"/>
        <v>352739.52732361492</v>
      </c>
      <c r="W71" s="142">
        <f t="shared" si="51"/>
        <v>0.94799999999999995</v>
      </c>
      <c r="X71" s="48">
        <f t="shared" si="52"/>
        <v>590884.66498692788</v>
      </c>
      <c r="Y71" s="142">
        <f t="shared" si="53"/>
        <v>0.94799999999999995</v>
      </c>
      <c r="Z71" s="2"/>
      <c r="AA71" s="2"/>
      <c r="AB71" s="2"/>
      <c r="AC71" s="2"/>
      <c r="AD71" s="2"/>
      <c r="AE71" s="2"/>
      <c r="AF71" s="2"/>
      <c r="AG71" s="2"/>
      <c r="AH71" s="2"/>
    </row>
    <row r="72" spans="1:3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41">
        <f t="shared" si="44"/>
        <v>-2.6872146400301365E-2</v>
      </c>
      <c r="P72" s="185">
        <f t="shared" si="45"/>
        <v>0.11452789095974795</v>
      </c>
      <c r="Q72" s="141">
        <f t="shared" si="46"/>
        <v>5.6899719057894416</v>
      </c>
      <c r="R72" s="141">
        <f t="shared" si="47"/>
        <v>5.575444014829694</v>
      </c>
      <c r="S72" s="141">
        <f t="shared" si="48"/>
        <v>5.8044997967491891</v>
      </c>
      <c r="T72" s="48">
        <f t="shared" si="49"/>
        <v>489747.13693912618</v>
      </c>
      <c r="U72" s="142">
        <f t="shared" si="54"/>
        <v>0.94000000000000006</v>
      </c>
      <c r="V72" s="48">
        <f t="shared" si="50"/>
        <v>376221.85015018948</v>
      </c>
      <c r="W72" s="142">
        <f t="shared" si="51"/>
        <v>0.94000000000000006</v>
      </c>
      <c r="X72" s="48">
        <f t="shared" si="52"/>
        <v>637528.78266990895</v>
      </c>
      <c r="Y72" s="142">
        <f t="shared" si="53"/>
        <v>0.94000000000000006</v>
      </c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41">
        <f t="shared" si="44"/>
        <v>-3.0584087646018665E-2</v>
      </c>
      <c r="P73" s="185">
        <f t="shared" si="45"/>
        <v>0.11713328183434071</v>
      </c>
      <c r="Q73" s="141">
        <f t="shared" si="46"/>
        <v>5.7207260189635125</v>
      </c>
      <c r="R73" s="141">
        <f t="shared" si="47"/>
        <v>5.6035927371291718</v>
      </c>
      <c r="S73" s="141">
        <f t="shared" si="48"/>
        <v>5.8378593007978532</v>
      </c>
      <c r="T73" s="48">
        <f t="shared" si="49"/>
        <v>525685.52534470393</v>
      </c>
      <c r="U73" s="142">
        <f t="shared" si="54"/>
        <v>0.93199999999999983</v>
      </c>
      <c r="V73" s="48">
        <f t="shared" si="50"/>
        <v>401414.20514666126</v>
      </c>
      <c r="W73" s="142">
        <f t="shared" si="51"/>
        <v>0.93199999999999983</v>
      </c>
      <c r="X73" s="48">
        <f t="shared" si="52"/>
        <v>688429.22849721124</v>
      </c>
      <c r="Y73" s="142">
        <f t="shared" si="53"/>
        <v>0.93199999999999983</v>
      </c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41">
        <f t="shared" si="44"/>
        <v>-3.4328028779893334E-2</v>
      </c>
      <c r="P74" s="185">
        <f t="shared" si="45"/>
        <v>0.11983758386775943</v>
      </c>
      <c r="Q74" s="141">
        <f t="shared" si="46"/>
        <v>5.7517452570727059</v>
      </c>
      <c r="R74" s="141">
        <f t="shared" si="47"/>
        <v>5.6319076732049469</v>
      </c>
      <c r="S74" s="141">
        <f t="shared" si="48"/>
        <v>5.8715828409404649</v>
      </c>
      <c r="T74" s="48">
        <f t="shared" si="49"/>
        <v>564605.6984424335</v>
      </c>
      <c r="U74" s="142">
        <f t="shared" si="54"/>
        <v>0.92400000000000004</v>
      </c>
      <c r="V74" s="48">
        <f t="shared" si="50"/>
        <v>428457.42482144001</v>
      </c>
      <c r="W74" s="142">
        <f t="shared" si="51"/>
        <v>0.92400000000000004</v>
      </c>
      <c r="X74" s="48">
        <f t="shared" si="52"/>
        <v>744016.96935587085</v>
      </c>
      <c r="Y74" s="142">
        <f t="shared" si="53"/>
        <v>0.92400000000000004</v>
      </c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41">
        <f t="shared" si="44"/>
        <v>-3.8104526332149648E-2</v>
      </c>
      <c r="P75" s="185">
        <f t="shared" si="45"/>
        <v>0.12263803859403619</v>
      </c>
      <c r="Q75" s="141">
        <f t="shared" si="46"/>
        <v>5.7830342310718752</v>
      </c>
      <c r="R75" s="141">
        <f t="shared" si="47"/>
        <v>5.6603961924778394</v>
      </c>
      <c r="S75" s="141">
        <f t="shared" si="48"/>
        <v>5.905672269665911</v>
      </c>
      <c r="T75" s="48">
        <f t="shared" si="49"/>
        <v>606784.1544039466</v>
      </c>
      <c r="U75" s="142">
        <f t="shared" si="54"/>
        <v>0.91599999999999993</v>
      </c>
      <c r="V75" s="48">
        <f t="shared" si="50"/>
        <v>457505.36629694444</v>
      </c>
      <c r="W75" s="142">
        <f t="shared" si="51"/>
        <v>0.91599999999999993</v>
      </c>
      <c r="X75" s="48">
        <f t="shared" si="52"/>
        <v>804770.91015527211</v>
      </c>
      <c r="Y75" s="142">
        <f t="shared" si="53"/>
        <v>0.91599999999999993</v>
      </c>
      <c r="Z75" s="2"/>
      <c r="AA75" s="2"/>
      <c r="AB75" s="2"/>
      <c r="AC75" s="2"/>
      <c r="AD75" s="2"/>
      <c r="AE75" s="2"/>
      <c r="AF75" s="2"/>
      <c r="AG75" s="2"/>
      <c r="AH75" s="2"/>
    </row>
    <row r="76" spans="1:3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41">
        <f t="shared" si="44"/>
        <v>-4.1914151478914925E-2</v>
      </c>
      <c r="P76" s="185">
        <f t="shared" si="45"/>
        <v>0.12553202542863018</v>
      </c>
      <c r="Q76" s="141">
        <f t="shared" si="46"/>
        <v>5.814597673259863</v>
      </c>
      <c r="R76" s="141">
        <f t="shared" si="47"/>
        <v>5.6890656478312325</v>
      </c>
      <c r="S76" s="141">
        <f t="shared" si="48"/>
        <v>5.9401296986884935</v>
      </c>
      <c r="T76" s="48">
        <f t="shared" si="49"/>
        <v>652525.77819183609</v>
      </c>
      <c r="U76" s="142">
        <f t="shared" si="54"/>
        <v>0.90799999999999992</v>
      </c>
      <c r="V76" s="48">
        <f t="shared" si="50"/>
        <v>488726.22947842226</v>
      </c>
      <c r="W76" s="142">
        <f t="shared" si="51"/>
        <v>0.90799999999999992</v>
      </c>
      <c r="X76" s="48">
        <f t="shared" si="52"/>
        <v>871223.73534007405</v>
      </c>
      <c r="Y76" s="142">
        <f t="shared" si="53"/>
        <v>0.90799999999999992</v>
      </c>
      <c r="Z76" s="2"/>
      <c r="AA76" s="2"/>
      <c r="AB76" s="2"/>
      <c r="AC76" s="2"/>
      <c r="AD76" s="2"/>
      <c r="AE76" s="2"/>
      <c r="AF76" s="2"/>
      <c r="AG76" s="2"/>
      <c r="AH76" s="2"/>
    </row>
    <row r="77" spans="1:3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41">
        <f t="shared" si="44"/>
        <v>-4.5757490560675115E-2</v>
      </c>
      <c r="P77" s="185">
        <f t="shared" si="45"/>
        <v>0.1285170705555562</v>
      </c>
      <c r="Q77" s="141">
        <f t="shared" si="46"/>
        <v>5.8464404415750018</v>
      </c>
      <c r="R77" s="141">
        <f t="shared" si="47"/>
        <v>5.7179233710194453</v>
      </c>
      <c r="S77" s="141">
        <f t="shared" si="48"/>
        <v>5.9749575121305583</v>
      </c>
      <c r="T77" s="48">
        <f t="shared" si="49"/>
        <v>702167.04310886911</v>
      </c>
      <c r="U77" s="142">
        <f t="shared" si="54"/>
        <v>0.89999999999999991</v>
      </c>
      <c r="V77" s="48">
        <f t="shared" si="50"/>
        <v>522304.02306636749</v>
      </c>
      <c r="W77" s="142">
        <f t="shared" si="51"/>
        <v>0.89999999999999991</v>
      </c>
      <c r="X77" s="48">
        <f t="shared" si="52"/>
        <v>943968.52150151727</v>
      </c>
      <c r="Y77" s="142">
        <f t="shared" si="53"/>
        <v>0.89999999999999991</v>
      </c>
      <c r="Z77" s="2"/>
      <c r="AA77" s="2"/>
      <c r="AB77" s="2"/>
      <c r="AC77" s="2"/>
      <c r="AD77" s="2"/>
      <c r="AE77" s="2"/>
      <c r="AF77" s="2"/>
      <c r="AG77" s="2"/>
      <c r="AH77" s="2"/>
    </row>
    <row r="78" spans="1:3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41">
        <f t="shared" si="44"/>
        <v>-4.9635145623876983E-2</v>
      </c>
      <c r="P78" s="185">
        <f t="shared" si="45"/>
        <v>0.13159085281966482</v>
      </c>
      <c r="Q78" s="141">
        <f t="shared" si="46"/>
        <v>5.8785675240823849</v>
      </c>
      <c r="R78" s="141">
        <f t="shared" si="47"/>
        <v>5.7469766712627202</v>
      </c>
      <c r="S78" s="141">
        <f t="shared" si="48"/>
        <v>6.0101583769020497</v>
      </c>
      <c r="T78" s="48">
        <f t="shared" si="49"/>
        <v>756079.60641666932</v>
      </c>
      <c r="U78" s="142">
        <f t="shared" si="54"/>
        <v>0.8919999999999999</v>
      </c>
      <c r="V78" s="48">
        <f t="shared" si="50"/>
        <v>558440.19653266016</v>
      </c>
      <c r="W78" s="142">
        <f t="shared" si="51"/>
        <v>0.8919999999999999</v>
      </c>
      <c r="X78" s="48">
        <f t="shared" si="52"/>
        <v>1023666.2310281105</v>
      </c>
      <c r="Y78" s="142">
        <f t="shared" si="53"/>
        <v>0.8919999999999999</v>
      </c>
      <c r="Z78" s="2"/>
      <c r="AA78" s="2"/>
      <c r="AB78" s="2"/>
      <c r="AC78" s="2"/>
      <c r="AD78" s="2"/>
      <c r="AE78" s="2"/>
      <c r="AF78" s="2"/>
      <c r="AG78" s="2"/>
      <c r="AH78" s="2"/>
    </row>
    <row r="79" spans="1:3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41">
        <f t="shared" si="44"/>
        <v>-5.3547734986926908E-2</v>
      </c>
      <c r="P79" s="185">
        <f t="shared" si="45"/>
        <v>0.13475120709702715</v>
      </c>
      <c r="Q79" s="141">
        <f t="shared" si="46"/>
        <v>5.9109840436632739</v>
      </c>
      <c r="R79" s="141">
        <f t="shared" si="47"/>
        <v>5.7762328365662468</v>
      </c>
      <c r="S79" s="141">
        <f t="shared" si="48"/>
        <v>6.045735250760301</v>
      </c>
      <c r="T79" s="48">
        <f t="shared" si="49"/>
        <v>814674.35166474828</v>
      </c>
      <c r="U79" s="142">
        <f t="shared" si="54"/>
        <v>0.88400000000000001</v>
      </c>
      <c r="V79" s="48">
        <f t="shared" si="50"/>
        <v>597355.45854638831</v>
      </c>
      <c r="W79" s="142">
        <f t="shared" si="51"/>
        <v>0.88400000000000001</v>
      </c>
      <c r="X79" s="48">
        <f t="shared" si="52"/>
        <v>1111054.2136426095</v>
      </c>
      <c r="Y79" s="142">
        <f t="shared" si="53"/>
        <v>0.88400000000000001</v>
      </c>
      <c r="Z79" s="2"/>
      <c r="AA79" s="2"/>
      <c r="AB79" s="2"/>
      <c r="AC79" s="2"/>
      <c r="AD79" s="2"/>
      <c r="AE79" s="2"/>
      <c r="AF79" s="2"/>
      <c r="AG79" s="2"/>
      <c r="AH79" s="2"/>
    </row>
    <row r="80" spans="1:3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41">
        <f t="shared" si="44"/>
        <v>-5.7495893831919324E-2</v>
      </c>
      <c r="P80" s="185">
        <f t="shared" si="45"/>
        <v>0.13799612558209046</v>
      </c>
      <c r="Q80" s="141">
        <f t="shared" si="46"/>
        <v>5.9436952629176725</v>
      </c>
      <c r="R80" s="141">
        <f t="shared" si="47"/>
        <v>5.8056991373355817</v>
      </c>
      <c r="S80" s="141">
        <f t="shared" si="48"/>
        <v>6.0816913884997632</v>
      </c>
      <c r="T80" s="48">
        <f t="shared" si="49"/>
        <v>878405.93796555791</v>
      </c>
      <c r="U80" s="142">
        <f t="shared" si="54"/>
        <v>0.87599999999999978</v>
      </c>
      <c r="V80" s="48">
        <f t="shared" si="50"/>
        <v>639291.80504641705</v>
      </c>
      <c r="W80" s="142">
        <f t="shared" si="51"/>
        <v>0.87599999999999978</v>
      </c>
      <c r="X80" s="48">
        <f t="shared" si="52"/>
        <v>1206955.862350102</v>
      </c>
      <c r="Y80" s="142">
        <f t="shared" si="53"/>
        <v>0.87599999999999978</v>
      </c>
      <c r="Z80" s="2"/>
      <c r="AA80" s="2"/>
      <c r="AB80" s="2"/>
      <c r="AC80" s="2"/>
      <c r="AD80" s="2"/>
      <c r="AE80" s="2"/>
      <c r="AF80" s="2"/>
      <c r="AG80" s="2"/>
      <c r="AH80" s="2"/>
    </row>
    <row r="81" spans="1:3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41">
        <f t="shared" si="44"/>
        <v>-6.1480274823508103E-2</v>
      </c>
      <c r="P81" s="185">
        <f t="shared" si="45"/>
        <v>0.1413237573888175</v>
      </c>
      <c r="Q81" s="141">
        <f t="shared" si="46"/>
        <v>5.976706589291795</v>
      </c>
      <c r="R81" s="141">
        <f t="shared" si="47"/>
        <v>5.8353828319029777</v>
      </c>
      <c r="S81" s="141">
        <f t="shared" si="48"/>
        <v>6.1180303466806123</v>
      </c>
      <c r="T81" s="48">
        <f t="shared" si="49"/>
        <v>947777.92522446113</v>
      </c>
      <c r="U81" s="142">
        <f t="shared" si="54"/>
        <v>0.86799999999999988</v>
      </c>
      <c r="V81" s="48">
        <f t="shared" si="50"/>
        <v>684514.78326680267</v>
      </c>
      <c r="W81" s="142">
        <f t="shared" si="51"/>
        <v>0.86799999999999988</v>
      </c>
      <c r="X81" s="48">
        <f t="shared" si="52"/>
        <v>1312291.5932593716</v>
      </c>
      <c r="Y81" s="142">
        <f t="shared" si="53"/>
        <v>0.86799999999999988</v>
      </c>
      <c r="Z81" s="2"/>
      <c r="AA81" s="2"/>
      <c r="AB81" s="2"/>
      <c r="AC81" s="2"/>
      <c r="AD81" s="2"/>
      <c r="AE81" s="2"/>
      <c r="AF81" s="2"/>
      <c r="AG81" s="2"/>
      <c r="AH81" s="2"/>
    </row>
    <row r="82" spans="1:3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41">
        <f t="shared" si="44"/>
        <v>-6.5501548756432285E-2</v>
      </c>
      <c r="P82" s="185">
        <f t="shared" si="45"/>
        <v>0.14473240681830526</v>
      </c>
      <c r="Q82" s="141">
        <f t="shared" si="46"/>
        <v>6.0100235804429278</v>
      </c>
      <c r="R82" s="141">
        <f t="shared" si="47"/>
        <v>5.8652911736246223</v>
      </c>
      <c r="S82" s="141">
        <f t="shared" si="48"/>
        <v>6.1547559872612334</v>
      </c>
      <c r="T82" s="48">
        <f t="shared" si="49"/>
        <v>1023348.5544812749</v>
      </c>
      <c r="U82" s="142">
        <f t="shared" si="54"/>
        <v>0.86</v>
      </c>
      <c r="V82" s="48">
        <f t="shared" si="50"/>
        <v>733316.02158893587</v>
      </c>
      <c r="W82" s="142">
        <f t="shared" si="51"/>
        <v>0.86</v>
      </c>
      <c r="X82" s="48">
        <f t="shared" si="52"/>
        <v>1428091.3455153611</v>
      </c>
      <c r="Y82" s="142">
        <f t="shared" si="53"/>
        <v>0.86</v>
      </c>
      <c r="Z82" s="2"/>
      <c r="AA82" s="2"/>
      <c r="AB82" s="2"/>
      <c r="AC82" s="2"/>
      <c r="AD82" s="2"/>
      <c r="AE82" s="2"/>
      <c r="AF82" s="2"/>
      <c r="AG82" s="2"/>
      <c r="AH82" s="2"/>
    </row>
    <row r="83" spans="1:3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41">
        <f t="shared" si="44"/>
        <v>-6.9560405233299899E-2</v>
      </c>
      <c r="P83" s="185">
        <f t="shared" si="45"/>
        <v>0.14822053060025894</v>
      </c>
      <c r="Q83" s="141">
        <f t="shared" si="46"/>
        <v>6.0436519498550023</v>
      </c>
      <c r="R83" s="141">
        <f t="shared" si="47"/>
        <v>5.8954314192547432</v>
      </c>
      <c r="S83" s="141">
        <f t="shared" si="48"/>
        <v>6.1918724804552614</v>
      </c>
      <c r="T83" s="48">
        <f t="shared" si="49"/>
        <v>1105737.2742728663</v>
      </c>
      <c r="U83" s="142">
        <f t="shared" si="54"/>
        <v>0.85199999999999998</v>
      </c>
      <c r="V83" s="48">
        <f t="shared" si="50"/>
        <v>786016.05919207586</v>
      </c>
      <c r="W83" s="142">
        <f t="shared" si="51"/>
        <v>0.85199999999999998</v>
      </c>
      <c r="X83" s="48">
        <f t="shared" si="52"/>
        <v>1555508.8288820984</v>
      </c>
      <c r="Y83" s="142">
        <f t="shared" si="53"/>
        <v>0.85199999999999998</v>
      </c>
      <c r="Z83" s="2"/>
      <c r="AA83" s="2"/>
      <c r="AB83" s="2"/>
      <c r="AC83" s="2"/>
      <c r="AD83" s="2"/>
      <c r="AE83" s="2"/>
      <c r="AF83" s="2"/>
      <c r="AG83" s="2"/>
      <c r="AH83" s="2"/>
    </row>
    <row r="84" spans="1:3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41">
        <f t="shared" si="44"/>
        <v>-7.3657553374345014E-2</v>
      </c>
      <c r="P84" s="185">
        <f t="shared" si="45"/>
        <v>0.15178673437221052</v>
      </c>
      <c r="Q84" s="141">
        <f t="shared" si="46"/>
        <v>6.0775975727190534</v>
      </c>
      <c r="R84" s="141">
        <f t="shared" si="47"/>
        <v>5.9258108383468429</v>
      </c>
      <c r="S84" s="141">
        <f t="shared" si="48"/>
        <v>6.229384307091264</v>
      </c>
      <c r="T84" s="48">
        <f t="shared" si="49"/>
        <v>1195632.1175565275</v>
      </c>
      <c r="U84" s="142">
        <f t="shared" si="54"/>
        <v>0.84399999999999986</v>
      </c>
      <c r="V84" s="48">
        <f t="shared" si="50"/>
        <v>842967.5141844789</v>
      </c>
      <c r="W84" s="142">
        <f t="shared" si="51"/>
        <v>0.84399999999999986</v>
      </c>
      <c r="X84" s="48">
        <f t="shared" si="52"/>
        <v>1695837.7831626108</v>
      </c>
      <c r="Y84" s="142">
        <f t="shared" si="53"/>
        <v>0.84399999999999986</v>
      </c>
      <c r="Z84" s="2"/>
      <c r="AA84" s="2"/>
      <c r="AB84" s="2"/>
      <c r="AC84" s="2"/>
      <c r="AD84" s="2"/>
      <c r="AE84" s="2"/>
      <c r="AF84" s="2"/>
      <c r="AG84" s="2"/>
      <c r="AH84" s="2"/>
    </row>
    <row r="85" spans="1:3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41">
        <f t="shared" si="44"/>
        <v>-7.779372256098363E-2</v>
      </c>
      <c r="P85" s="185">
        <f t="shared" si="45"/>
        <v>0.15542976861981561</v>
      </c>
      <c r="Q85" s="141">
        <f t="shared" si="46"/>
        <v>6.1118664920937213</v>
      </c>
      <c r="R85" s="141">
        <f t="shared" si="47"/>
        <v>5.9564367234739057</v>
      </c>
      <c r="S85" s="141">
        <f t="shared" si="48"/>
        <v>6.267296260713537</v>
      </c>
      <c r="T85" s="48">
        <f t="shared" si="49"/>
        <v>1293798.0495627681</v>
      </c>
      <c r="U85" s="142">
        <f t="shared" si="54"/>
        <v>0.83599999999999997</v>
      </c>
      <c r="V85" s="48">
        <f t="shared" si="50"/>
        <v>904558.63431822124</v>
      </c>
      <c r="W85" s="142">
        <f t="shared" si="51"/>
        <v>0.83599999999999997</v>
      </c>
      <c r="X85" s="48">
        <f t="shared" si="52"/>
        <v>1850530.5566112674</v>
      </c>
      <c r="Y85" s="142">
        <f t="shared" si="53"/>
        <v>0.83599999999999997</v>
      </c>
      <c r="Z85" s="2"/>
      <c r="AA85" s="2"/>
      <c r="AB85" s="2"/>
      <c r="AC85" s="2"/>
      <c r="AD85" s="2"/>
      <c r="AE85" s="2"/>
      <c r="AF85" s="2"/>
      <c r="AG85" s="2"/>
      <c r="AH85" s="2"/>
    </row>
    <row r="86" spans="1:3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41">
        <f t="shared" si="44"/>
        <v>-8.1969663215119878E-2</v>
      </c>
      <c r="P86" s="185">
        <f t="shared" si="45"/>
        <v>0.15914852426471351</v>
      </c>
      <c r="Q86" s="141">
        <f t="shared" si="46"/>
        <v>6.1464649253619434</v>
      </c>
      <c r="R86" s="141">
        <f t="shared" si="47"/>
        <v>5.98731640109723</v>
      </c>
      <c r="S86" s="141">
        <f t="shared" si="48"/>
        <v>6.3056134496266569</v>
      </c>
      <c r="T86" s="48">
        <f t="shared" si="49"/>
        <v>1401086.4253540768</v>
      </c>
      <c r="U86" s="142">
        <f t="shared" si="54"/>
        <v>0.82799999999999996</v>
      </c>
      <c r="V86" s="48">
        <f t="shared" si="50"/>
        <v>971217.28063557111</v>
      </c>
      <c r="W86" s="142">
        <f t="shared" si="51"/>
        <v>0.82799999999999996</v>
      </c>
      <c r="X86" s="48">
        <f t="shared" si="52"/>
        <v>2021219.3609516877</v>
      </c>
      <c r="Y86" s="142">
        <f t="shared" si="53"/>
        <v>0.82799999999999996</v>
      </c>
      <c r="Z86" s="2"/>
      <c r="AA86" s="2"/>
      <c r="AB86" s="2"/>
      <c r="AC86" s="2"/>
      <c r="AD86" s="2"/>
      <c r="AE86" s="2"/>
      <c r="AF86" s="2"/>
      <c r="AG86" s="2"/>
      <c r="AH86" s="2"/>
    </row>
    <row r="87" spans="1:3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41">
        <f t="shared" si="44"/>
        <v>-8.6186147616283335E-2</v>
      </c>
      <c r="P87" s="185">
        <f t="shared" si="45"/>
        <v>0.16294202805363803</v>
      </c>
      <c r="Q87" s="141">
        <f t="shared" si="46"/>
        <v>6.1813992710010881</v>
      </c>
      <c r="R87" s="141">
        <f t="shared" si="47"/>
        <v>6.0184572429474503</v>
      </c>
      <c r="S87" s="141">
        <f t="shared" si="48"/>
        <v>6.3443412990547259</v>
      </c>
      <c r="T87" s="48">
        <f t="shared" si="49"/>
        <v>1518445.7173033943</v>
      </c>
      <c r="U87" s="142">
        <f t="shared" si="54"/>
        <v>0.82000000000000006</v>
      </c>
      <c r="V87" s="48">
        <f t="shared" si="50"/>
        <v>1043415.4015975142</v>
      </c>
      <c r="W87" s="142">
        <f t="shared" si="51"/>
        <v>0.82000000000000006</v>
      </c>
      <c r="X87" s="48">
        <f t="shared" si="52"/>
        <v>2209740.6199553236</v>
      </c>
      <c r="Y87" s="142">
        <f t="shared" si="53"/>
        <v>0.82000000000000006</v>
      </c>
      <c r="Z87" s="2"/>
      <c r="AA87" s="2"/>
      <c r="AB87" s="2"/>
      <c r="AC87" s="2"/>
      <c r="AD87" s="2"/>
      <c r="AE87" s="2"/>
      <c r="AF87" s="2"/>
      <c r="AG87" s="2"/>
      <c r="AH87" s="2"/>
    </row>
    <row r="88" spans="1:3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41">
        <f t="shared" si="44"/>
        <v>-9.0443970758824668E-2</v>
      </c>
      <c r="P88" s="185">
        <f t="shared" si="45"/>
        <v>0.16680943787378943</v>
      </c>
      <c r="Q88" s="141">
        <f t="shared" si="46"/>
        <v>6.2166761156849777</v>
      </c>
      <c r="R88" s="141">
        <f t="shared" si="47"/>
        <v>6.0498666778111883</v>
      </c>
      <c r="S88" s="141">
        <f t="shared" si="48"/>
        <v>6.3834855535587671</v>
      </c>
      <c r="T88" s="48">
        <f t="shared" si="49"/>
        <v>1646933.6977073736</v>
      </c>
      <c r="U88" s="142">
        <f t="shared" si="54"/>
        <v>0.81199999999999994</v>
      </c>
      <c r="V88" s="48">
        <f t="shared" si="50"/>
        <v>1121674.0635629415</v>
      </c>
      <c r="W88" s="142">
        <f t="shared" si="51"/>
        <v>0.81199999999999994</v>
      </c>
      <c r="X88" s="48">
        <f t="shared" si="52"/>
        <v>2418162.8984344294</v>
      </c>
      <c r="Y88" s="142">
        <f t="shared" si="53"/>
        <v>0.81199999999999994</v>
      </c>
      <c r="Z88" s="2"/>
      <c r="AA88" s="2"/>
      <c r="AB88" s="2"/>
      <c r="AC88" s="2"/>
      <c r="AD88" s="2"/>
      <c r="AE88" s="2"/>
      <c r="AF88" s="2"/>
      <c r="AG88" s="2"/>
      <c r="AH88" s="2"/>
    </row>
    <row r="89" spans="1:3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41">
        <f t="shared" si="44"/>
        <v>-9.4743951251548775E-2</v>
      </c>
      <c r="P89" s="185">
        <f t="shared" si="45"/>
        <v>0.17075003809477338</v>
      </c>
      <c r="Q89" s="141">
        <f t="shared" si="46"/>
        <v>6.2523022417375147</v>
      </c>
      <c r="R89" s="141">
        <f t="shared" si="47"/>
        <v>6.0815522036427412</v>
      </c>
      <c r="S89" s="141">
        <f t="shared" si="48"/>
        <v>6.4230522798322882</v>
      </c>
      <c r="T89" s="48">
        <f t="shared" si="49"/>
        <v>1787731.2909498541</v>
      </c>
      <c r="U89" s="142">
        <f t="shared" si="54"/>
        <v>0.80399999999999994</v>
      </c>
      <c r="V89" s="48">
        <f t="shared" si="50"/>
        <v>1206569.1131053492</v>
      </c>
      <c r="W89" s="142">
        <f t="shared" si="51"/>
        <v>0.80399999999999994</v>
      </c>
      <c r="X89" s="48">
        <f t="shared" si="52"/>
        <v>2648818.9809663845</v>
      </c>
      <c r="Y89" s="142">
        <f t="shared" si="53"/>
        <v>0.80399999999999994</v>
      </c>
      <c r="Z89" s="2"/>
      <c r="AA89" s="2"/>
      <c r="AB89" s="2"/>
      <c r="AC89" s="2"/>
      <c r="AD89" s="2"/>
      <c r="AE89" s="2"/>
      <c r="AF89" s="2"/>
      <c r="AG89" s="2"/>
      <c r="AH89" s="2"/>
    </row>
    <row r="90" spans="1:3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41">
        <f t="shared" si="44"/>
        <v>-9.9086932262330993E-2</v>
      </c>
      <c r="P90" s="185">
        <f t="shared" si="45"/>
        <v>0.17476323501641899</v>
      </c>
      <c r="Q90" s="141">
        <f t="shared" si="46"/>
        <v>6.2882846349589965</v>
      </c>
      <c r="R90" s="141">
        <f t="shared" si="47"/>
        <v>6.1135213999425773</v>
      </c>
      <c r="S90" s="141">
        <f t="shared" si="48"/>
        <v>6.4630478699754157</v>
      </c>
      <c r="T90" s="48">
        <f t="shared" si="49"/>
        <v>1942158.3437870648</v>
      </c>
      <c r="U90" s="142">
        <f t="shared" si="54"/>
        <v>0.79599999999999993</v>
      </c>
      <c r="V90" s="48">
        <f t="shared" si="50"/>
        <v>1298737.5577908179</v>
      </c>
      <c r="W90" s="142">
        <f t="shared" si="51"/>
        <v>0.79599999999999993</v>
      </c>
      <c r="X90" s="48">
        <f t="shared" si="52"/>
        <v>2904342.7671083421</v>
      </c>
      <c r="Y90" s="142">
        <f t="shared" si="53"/>
        <v>0.79599999999999993</v>
      </c>
      <c r="Z90" s="2"/>
      <c r="AA90" s="2"/>
      <c r="AB90" s="2"/>
      <c r="AC90" s="2"/>
      <c r="AD90" s="2"/>
      <c r="AE90" s="2"/>
      <c r="AF90" s="2"/>
      <c r="AG90" s="2"/>
      <c r="AH90" s="2"/>
    </row>
    <row r="91" spans="1:3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41">
        <f t="shared" si="44"/>
        <v>-0.10347378251044473</v>
      </c>
      <c r="P91" s="185">
        <f t="shared" si="45"/>
        <v>0.1788485524841735</v>
      </c>
      <c r="Q91" s="141">
        <f t="shared" si="46"/>
        <v>6.324630492847735</v>
      </c>
      <c r="R91" s="141">
        <f t="shared" si="47"/>
        <v>6.1457819403635616</v>
      </c>
      <c r="S91" s="141">
        <f t="shared" si="48"/>
        <v>6.5034790453319085</v>
      </c>
      <c r="T91" s="48">
        <f t="shared" si="49"/>
        <v>2111691.6023400095</v>
      </c>
      <c r="U91" s="142">
        <f t="shared" si="54"/>
        <v>0.78799999999999981</v>
      </c>
      <c r="V91" s="48">
        <f t="shared" si="50"/>
        <v>1398884.7649549237</v>
      </c>
      <c r="W91" s="142">
        <f t="shared" si="51"/>
        <v>0.78799999999999981</v>
      </c>
      <c r="X91" s="48">
        <f t="shared" si="52"/>
        <v>3187711.7651910372</v>
      </c>
      <c r="Y91" s="142">
        <f t="shared" si="53"/>
        <v>0.78799999999999981</v>
      </c>
      <c r="Z91" s="2"/>
      <c r="AA91" s="2"/>
      <c r="AB91" s="2"/>
      <c r="AC91" s="2"/>
      <c r="AD91" s="2"/>
      <c r="AE91" s="2"/>
      <c r="AF91" s="2"/>
      <c r="AG91" s="2"/>
      <c r="AH91" s="2"/>
    </row>
    <row r="92" spans="1:3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41">
        <f t="shared" si="44"/>
        <v>-0.10790539730951958</v>
      </c>
      <c r="P92" s="185">
        <f t="shared" si="45"/>
        <v>0.18300562771915646</v>
      </c>
      <c r="Q92" s="141">
        <f t="shared" si="46"/>
        <v>6.3613472332411565</v>
      </c>
      <c r="R92" s="141">
        <f t="shared" si="47"/>
        <v>6.1783416055220002</v>
      </c>
      <c r="S92" s="141">
        <f t="shared" si="48"/>
        <v>6.5443528609603128</v>
      </c>
      <c r="T92" s="48">
        <f t="shared" si="49"/>
        <v>2297985.2313280832</v>
      </c>
      <c r="U92" s="142">
        <f t="shared" si="54"/>
        <v>0.78</v>
      </c>
      <c r="V92" s="48">
        <f t="shared" si="50"/>
        <v>1507792.5930111837</v>
      </c>
      <c r="W92" s="142">
        <f t="shared" si="51"/>
        <v>0.78</v>
      </c>
      <c r="X92" s="48">
        <f t="shared" si="52"/>
        <v>3502296.1035084529</v>
      </c>
      <c r="Y92" s="142">
        <f t="shared" si="53"/>
        <v>0.78</v>
      </c>
      <c r="Z92" s="2"/>
      <c r="AA92" s="2"/>
      <c r="AB92" s="2"/>
      <c r="AC92" s="2"/>
      <c r="AD92" s="2"/>
      <c r="AE92" s="2"/>
      <c r="AF92" s="2"/>
      <c r="AG92" s="2"/>
      <c r="AH92" s="2"/>
    </row>
    <row r="93" spans="1:3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41">
        <f t="shared" si="44"/>
        <v>-0.11238269966426384</v>
      </c>
      <c r="P93" s="185">
        <f t="shared" si="45"/>
        <v>0.18723420739798952</v>
      </c>
      <c r="Q93" s="141">
        <f t="shared" si="46"/>
        <v>6.3984425034023449</v>
      </c>
      <c r="R93" s="141">
        <f t="shared" si="47"/>
        <v>6.2112082960043553</v>
      </c>
      <c r="S93" s="141">
        <f t="shared" si="48"/>
        <v>6.5856767108003345</v>
      </c>
      <c r="T93" s="48">
        <f t="shared" si="49"/>
        <v>2502894.2662517894</v>
      </c>
      <c r="U93" s="142">
        <f t="shared" si="54"/>
        <v>0.77200000000000002</v>
      </c>
      <c r="V93" s="48">
        <f t="shared" si="50"/>
        <v>1626328.587261643</v>
      </c>
      <c r="W93" s="142">
        <f t="shared" si="51"/>
        <v>0.77200000000000002</v>
      </c>
      <c r="X93" s="48">
        <f t="shared" si="52"/>
        <v>3851915.1400911016</v>
      </c>
      <c r="Y93" s="142">
        <f t="shared" si="53"/>
        <v>0.77200000000000002</v>
      </c>
      <c r="Z93" s="2"/>
      <c r="AA93" s="2"/>
      <c r="AB93" s="2"/>
      <c r="AC93" s="2"/>
      <c r="AD93" s="2"/>
      <c r="AE93" s="2"/>
      <c r="AF93" s="2"/>
      <c r="AG93" s="2"/>
      <c r="AH93" s="2"/>
    </row>
    <row r="94" spans="1:3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41">
        <f t="shared" si="44"/>
        <v>-0.11690664142431013</v>
      </c>
      <c r="P94" s="185">
        <f t="shared" si="45"/>
        <v>0.19153414400782273</v>
      </c>
      <c r="Q94" s="141">
        <f t="shared" si="46"/>
        <v>6.4359241895798647</v>
      </c>
      <c r="R94" s="141">
        <f t="shared" si="47"/>
        <v>6.2443900455720422</v>
      </c>
      <c r="S94" s="141">
        <f t="shared" si="48"/>
        <v>6.6274583335876871</v>
      </c>
      <c r="T94" s="48">
        <f t="shared" si="49"/>
        <v>2728501.4541761791</v>
      </c>
      <c r="U94" s="142">
        <f t="shared" si="54"/>
        <v>0.7639999999999999</v>
      </c>
      <c r="V94" s="48">
        <f t="shared" si="50"/>
        <v>1755456.3924890875</v>
      </c>
      <c r="W94" s="142">
        <f t="shared" si="51"/>
        <v>0.7639999999999999</v>
      </c>
      <c r="X94" s="48">
        <f t="shared" si="52"/>
        <v>4240902.9454075666</v>
      </c>
      <c r="Y94" s="142">
        <f t="shared" si="53"/>
        <v>0.7639999999999999</v>
      </c>
      <c r="Z94" s="2"/>
      <c r="AA94" s="2"/>
      <c r="AB94" s="2"/>
      <c r="AC94" s="2"/>
      <c r="AD94" s="2"/>
      <c r="AE94" s="2"/>
      <c r="AF94" s="2"/>
      <c r="AG94" s="2"/>
      <c r="AH94" s="2"/>
    </row>
    <row r="95" spans="1:3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41">
        <f t="shared" si="44"/>
        <v>-0.12147820449879353</v>
      </c>
      <c r="P95" s="185">
        <f t="shared" si="45"/>
        <v>0.19590539249424563</v>
      </c>
      <c r="Q95" s="141">
        <f t="shared" si="46"/>
        <v>6.473800427070767</v>
      </c>
      <c r="R95" s="141">
        <f t="shared" si="47"/>
        <v>6.2778950345765212</v>
      </c>
      <c r="S95" s="141">
        <f t="shared" si="48"/>
        <v>6.6697058195650127</v>
      </c>
      <c r="T95" s="48">
        <f t="shared" si="49"/>
        <v>2977148.0153376241</v>
      </c>
      <c r="U95" s="142">
        <f t="shared" si="54"/>
        <v>0.75599999999999989</v>
      </c>
      <c r="V95" s="48">
        <f t="shared" si="50"/>
        <v>1896247.5582997333</v>
      </c>
      <c r="W95" s="142">
        <f t="shared" si="51"/>
        <v>0.75599999999999989</v>
      </c>
      <c r="X95" s="48">
        <f t="shared" si="52"/>
        <v>4674184.1625236487</v>
      </c>
      <c r="Y95" s="142">
        <f t="shared" si="53"/>
        <v>0.75599999999999989</v>
      </c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41">
        <f t="shared" si="44"/>
        <v>-0.12609840213553863</v>
      </c>
      <c r="P96" s="185">
        <f t="shared" si="45"/>
        <v>0.20034800721368423</v>
      </c>
      <c r="Q96" s="141">
        <f t="shared" si="46"/>
        <v>6.5120796108188861</v>
      </c>
      <c r="R96" s="141">
        <f t="shared" si="47"/>
        <v>6.3117316036052022</v>
      </c>
      <c r="S96" s="141">
        <f t="shared" si="48"/>
        <v>6.7124276180325699</v>
      </c>
      <c r="T96" s="48">
        <f t="shared" si="49"/>
        <v>3251468.9482279741</v>
      </c>
      <c r="U96" s="142">
        <f t="shared" si="54"/>
        <v>0.748</v>
      </c>
      <c r="V96" s="48">
        <f t="shared" si="50"/>
        <v>2049894.9408607588</v>
      </c>
      <c r="W96" s="142">
        <f t="shared" si="51"/>
        <v>0.748</v>
      </c>
      <c r="X96" s="48">
        <f t="shared" si="52"/>
        <v>5157362.0240515843</v>
      </c>
      <c r="Y96" s="142">
        <f t="shared" si="53"/>
        <v>0.748</v>
      </c>
      <c r="Z96" s="2"/>
      <c r="AA96" s="2"/>
      <c r="AB96" s="2"/>
      <c r="AC96" s="2"/>
      <c r="AD96" s="2"/>
      <c r="AE96" s="2"/>
      <c r="AF96" s="2"/>
      <c r="AG96" s="2"/>
      <c r="AH96" s="2"/>
    </row>
    <row r="97" spans="1:3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41">
        <f t="shared" si="44"/>
        <v>-0.13076828026902382</v>
      </c>
      <c r="P97" s="185">
        <f t="shared" si="45"/>
        <v>0.20486213919719473</v>
      </c>
      <c r="Q97" s="141">
        <f t="shared" si="46"/>
        <v>6.5507704065829691</v>
      </c>
      <c r="R97" s="141">
        <f t="shared" si="47"/>
        <v>6.3459082673857745</v>
      </c>
      <c r="S97" s="141">
        <f t="shared" si="48"/>
        <v>6.7556325457801636</v>
      </c>
      <c r="T97" s="48">
        <f t="shared" si="49"/>
        <v>3554433.6077951733</v>
      </c>
      <c r="U97" s="142">
        <f t="shared" si="54"/>
        <v>0.74</v>
      </c>
      <c r="V97" s="48">
        <f t="shared" si="50"/>
        <v>2217727.9370618891</v>
      </c>
      <c r="W97" s="142">
        <f t="shared" si="51"/>
        <v>0.74</v>
      </c>
      <c r="X97" s="48">
        <f t="shared" si="52"/>
        <v>5696820.6338969273</v>
      </c>
      <c r="Y97" s="142">
        <f t="shared" si="53"/>
        <v>0.74</v>
      </c>
      <c r="Z97" s="2"/>
      <c r="AA97" s="2"/>
      <c r="AB97" s="2"/>
      <c r="AC97" s="2"/>
      <c r="AD97" s="2"/>
      <c r="AE97" s="2"/>
      <c r="AF97" s="2"/>
      <c r="AG97" s="2"/>
      <c r="AH97" s="2"/>
    </row>
    <row r="98" spans="1:3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41">
        <f t="shared" si="44"/>
        <v>-0.13548891894160822</v>
      </c>
      <c r="P98" s="185">
        <f t="shared" ref="P98:P102" si="55">SQRT(2*$I$16*$K$24)*SQRT((1/$I$1)+((O98-$I$10)^2/$I$7))</f>
        <v>0.20944803372902782</v>
      </c>
      <c r="Q98" s="141">
        <f t="shared" si="46"/>
        <v>6.5898817627118031</v>
      </c>
      <c r="R98" s="141">
        <f t="shared" si="47"/>
        <v>6.3804337289827755</v>
      </c>
      <c r="S98" s="141">
        <f t="shared" si="48"/>
        <v>6.7993297964408308</v>
      </c>
      <c r="T98" s="48">
        <f t="shared" si="49"/>
        <v>3889392.4131905371</v>
      </c>
      <c r="U98" s="142">
        <f t="shared" si="54"/>
        <v>0.73199999999999976</v>
      </c>
      <c r="V98" s="48">
        <f t="shared" si="50"/>
        <v>2401229.8250878053</v>
      </c>
      <c r="W98" s="142">
        <f t="shared" si="51"/>
        <v>0.73199999999999976</v>
      </c>
      <c r="X98" s="48">
        <f t="shared" si="52"/>
        <v>6299844.0156518333</v>
      </c>
      <c r="Y98" s="142">
        <f t="shared" si="53"/>
        <v>0.73199999999999976</v>
      </c>
      <c r="Z98" s="2"/>
      <c r="AA98" s="2"/>
      <c r="AB98" s="2"/>
      <c r="AC98" s="2"/>
      <c r="AD98" s="2"/>
      <c r="AE98" s="2"/>
      <c r="AF98" s="2"/>
      <c r="AG98" s="2"/>
      <c r="AH98" s="2"/>
    </row>
    <row r="99" spans="1:3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41">
        <f t="shared" si="44"/>
        <v>-0.14026143380285319</v>
      </c>
      <c r="P99" s="185">
        <f t="shared" si="55"/>
        <v>0.21410602824076838</v>
      </c>
      <c r="Q99" s="141">
        <f t="shared" si="46"/>
        <v>6.6294229225663681</v>
      </c>
      <c r="R99" s="141">
        <f t="shared" si="47"/>
        <v>6.4153168943256</v>
      </c>
      <c r="S99" s="141">
        <f t="shared" si="48"/>
        <v>6.8435289508071362</v>
      </c>
      <c r="T99" s="48">
        <f t="shared" si="49"/>
        <v>4260130.6920261346</v>
      </c>
      <c r="U99" s="142">
        <f t="shared" si="54"/>
        <v>0.72399999999999987</v>
      </c>
      <c r="V99" s="48">
        <f t="shared" si="50"/>
        <v>2602057.5299515189</v>
      </c>
      <c r="W99" s="142">
        <f t="shared" si="51"/>
        <v>0.72399999999999987</v>
      </c>
      <c r="X99" s="48">
        <f t="shared" si="52"/>
        <v>6974754.9023180958</v>
      </c>
      <c r="Y99" s="142">
        <f t="shared" si="53"/>
        <v>0.72399999999999987</v>
      </c>
      <c r="Z99" s="2"/>
      <c r="AA99" s="2"/>
      <c r="AB99" s="2"/>
      <c r="AC99" s="2"/>
      <c r="AD99" s="2"/>
      <c r="AE99" s="2"/>
      <c r="AF99" s="2"/>
      <c r="AG99" s="2"/>
      <c r="AH99" s="2"/>
    </row>
    <row r="100" spans="1:3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41">
        <f t="shared" si="44"/>
        <v>-0.14508697769214446</v>
      </c>
      <c r="P100" s="185">
        <f t="shared" si="55"/>
        <v>0.21883655052007309</v>
      </c>
      <c r="Q100" s="141">
        <f t="shared" si="46"/>
        <v>6.6694034376321536</v>
      </c>
      <c r="R100" s="141">
        <f t="shared" si="47"/>
        <v>6.4505668871120809</v>
      </c>
      <c r="S100" s="141">
        <f t="shared" si="48"/>
        <v>6.8882399881522263</v>
      </c>
      <c r="T100" s="48">
        <f t="shared" si="49"/>
        <v>4670930.8471546909</v>
      </c>
      <c r="U100" s="142">
        <f t="shared" si="54"/>
        <v>0.71599999999999986</v>
      </c>
      <c r="V100" s="48">
        <f t="shared" si="50"/>
        <v>2822064.1849480714</v>
      </c>
      <c r="W100" s="142">
        <f t="shared" si="51"/>
        <v>0.71599999999999986</v>
      </c>
      <c r="X100" s="48">
        <f t="shared" si="52"/>
        <v>7731076.8108212603</v>
      </c>
      <c r="Y100" s="142">
        <f t="shared" si="53"/>
        <v>0.71599999999999986</v>
      </c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41">
        <f t="shared" si="44"/>
        <v>-0.14996674231023099</v>
      </c>
      <c r="P101" s="185">
        <f t="shared" si="55"/>
        <v>0.22364011723189978</v>
      </c>
      <c r="Q101" s="141">
        <f t="shared" si="46"/>
        <v>6.7098331813681593</v>
      </c>
      <c r="R101" s="141">
        <f t="shared" si="47"/>
        <v>6.48619306413626</v>
      </c>
      <c r="S101" s="141">
        <f t="shared" si="48"/>
        <v>6.9334732986000587</v>
      </c>
      <c r="T101" s="48">
        <f t="shared" si="49"/>
        <v>5126644.2453491297</v>
      </c>
      <c r="U101" s="142">
        <f t="shared" si="54"/>
        <v>0.70799999999999996</v>
      </c>
      <c r="V101" s="48">
        <f t="shared" si="50"/>
        <v>3063324.9217310385</v>
      </c>
      <c r="W101" s="142">
        <f t="shared" si="51"/>
        <v>0.70799999999999996</v>
      </c>
      <c r="X101" s="48">
        <f t="shared" si="52"/>
        <v>8579723.6303354707</v>
      </c>
      <c r="Y101" s="142">
        <f t="shared" si="53"/>
        <v>0.70799999999999996</v>
      </c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41">
        <f t="shared" si="44"/>
        <v>-0.15490195998574319</v>
      </c>
      <c r="P102" s="185">
        <f t="shared" si="55"/>
        <v>0.22851733274952807</v>
      </c>
      <c r="Q102" s="141">
        <f t="shared" si="46"/>
        <v>6.7507223638428258</v>
      </c>
      <c r="R102" s="141">
        <f t="shared" si="47"/>
        <v>6.5222050310932973</v>
      </c>
      <c r="S102" s="141">
        <f t="shared" si="48"/>
        <v>6.9792396965923542</v>
      </c>
      <c r="T102" s="48">
        <f t="shared" si="49"/>
        <v>5632774.482003402</v>
      </c>
      <c r="U102" s="142">
        <f t="shared" si="54"/>
        <v>0.7</v>
      </c>
      <c r="V102" s="48">
        <f t="shared" si="50"/>
        <v>3328166.3945847927</v>
      </c>
      <c r="W102" s="142">
        <f t="shared" si="51"/>
        <v>0.7</v>
      </c>
      <c r="X102" s="48">
        <f t="shared" si="52"/>
        <v>9533221.7814388908</v>
      </c>
      <c r="Y102" s="142">
        <f t="shared" si="53"/>
        <v>0.7</v>
      </c>
      <c r="Z102" s="2"/>
      <c r="AA102" s="2"/>
      <c r="AB102" s="2"/>
      <c r="AC102" s="2"/>
      <c r="AD102" s="2"/>
      <c r="AE102" s="2"/>
      <c r="AF102" s="2"/>
      <c r="AG102" s="2"/>
      <c r="AH102" s="2"/>
    </row>
  </sheetData>
  <mergeCells count="3">
    <mergeCell ref="T1:U1"/>
    <mergeCell ref="V1:W1"/>
    <mergeCell ref="X1:Y1"/>
  </mergeCells>
  <phoneticPr fontId="4" type="noConversion"/>
  <pageMargins left="0.75" right="0.75" top="1" bottom="1" header="0.5" footer="0.5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02"/>
  <sheetViews>
    <sheetView zoomScale="75" workbookViewId="0">
      <selection activeCell="C11" sqref="C11:G11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4" ht="13.5" thickBot="1" x14ac:dyDescent="0.25">
      <c r="A1" s="137" t="s">
        <v>27</v>
      </c>
      <c r="B1" s="137"/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138" t="s">
        <v>33</v>
      </c>
      <c r="I1" s="139">
        <f>COUNT(C:C)</f>
        <v>7</v>
      </c>
      <c r="J1" s="2"/>
      <c r="K1" s="2"/>
      <c r="L1" s="2"/>
      <c r="M1" s="2" t="s">
        <v>28</v>
      </c>
      <c r="N1" s="2" t="s">
        <v>34</v>
      </c>
      <c r="O1" s="2" t="s">
        <v>28</v>
      </c>
      <c r="P1" s="2" t="s">
        <v>35</v>
      </c>
      <c r="Q1" s="2" t="s">
        <v>36</v>
      </c>
      <c r="R1" s="2" t="s">
        <v>37</v>
      </c>
      <c r="S1" s="2" t="s">
        <v>38</v>
      </c>
      <c r="T1" s="208" t="s">
        <v>39</v>
      </c>
      <c r="U1" s="208"/>
      <c r="V1" s="208" t="s">
        <v>40</v>
      </c>
      <c r="W1" s="208"/>
      <c r="X1" s="208" t="s">
        <v>41</v>
      </c>
      <c r="Y1" s="208"/>
      <c r="Z1" s="2" t="s">
        <v>42</v>
      </c>
      <c r="AA1" s="2"/>
      <c r="AB1" s="2"/>
      <c r="AC1" s="2"/>
      <c r="AD1" s="2"/>
      <c r="AE1" s="2"/>
      <c r="AF1" s="2"/>
      <c r="AG1" s="2"/>
      <c r="AH1" s="2"/>
    </row>
    <row r="2" spans="1:34" ht="13.5" thickBot="1" x14ac:dyDescent="0.25">
      <c r="A2" s="49"/>
      <c r="B2" s="48"/>
      <c r="C2" s="49"/>
      <c r="D2" s="49"/>
      <c r="E2" s="49"/>
      <c r="F2" s="49"/>
      <c r="G2" s="2"/>
      <c r="H2" s="140" t="s">
        <v>43</v>
      </c>
      <c r="I2" s="55">
        <f>SUM(C:C)</f>
        <v>-2.6032456202740195E-2</v>
      </c>
      <c r="J2" s="49"/>
      <c r="K2" s="49"/>
      <c r="L2" s="49"/>
      <c r="M2" s="49">
        <f t="shared" ref="M2:M19" si="0">+C2</f>
        <v>0</v>
      </c>
      <c r="N2" s="141">
        <f t="shared" ref="N2:N19" si="1">+$I$13+$I$12*M2</f>
        <v>5.0882220592726988</v>
      </c>
      <c r="O2" s="141">
        <f t="shared" ref="O2:O65" si="2">LOG($I$19+($I$20-$I$19)*(ROW()-2)/100)</f>
        <v>-0.14266750356873148</v>
      </c>
      <c r="P2" s="185">
        <f t="shared" ref="P2:P33" si="3">SQRT(2*$I$16*$K$24)*SQRT((1/$I$1)+((O2-$I$10)^2/$I$7))</f>
        <v>0.17274759443264145</v>
      </c>
      <c r="Q2" s="141">
        <f t="shared" ref="Q2:Q65" si="4">+$I$13+$I$12*O2</f>
        <v>6.2702484601693174</v>
      </c>
      <c r="R2" s="141">
        <f t="shared" ref="R2:R65" si="5">+$I$13+$I$12*O2-P2</f>
        <v>6.0975008657366763</v>
      </c>
      <c r="S2" s="141">
        <f t="shared" ref="S2:S65" si="6">+$I$13+$I$12*O2+P2</f>
        <v>6.4429960546019585</v>
      </c>
      <c r="T2" s="48">
        <f t="shared" ref="T2:T65" si="7">10^Q2</f>
        <v>1863152.7427717615</v>
      </c>
      <c r="U2" s="142">
        <f>10^$O2</f>
        <v>0.7200000000000002</v>
      </c>
      <c r="V2" s="48">
        <f t="shared" ref="V2:V65" si="8">10^R2</f>
        <v>1251701.7682120567</v>
      </c>
      <c r="W2" s="142">
        <f t="shared" ref="W2:W65" si="9">10^$O2</f>
        <v>0.7200000000000002</v>
      </c>
      <c r="X2" s="48">
        <f t="shared" ref="X2:X65" si="10">10^S2</f>
        <v>2773294.9102216507</v>
      </c>
      <c r="Y2" s="142">
        <f t="shared" ref="Y2:Y65" si="11">10^$O2</f>
        <v>0.7200000000000002</v>
      </c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 s="49"/>
      <c r="B3" s="48"/>
      <c r="C3" s="49"/>
      <c r="D3" s="49"/>
      <c r="E3" s="49"/>
      <c r="F3" s="49"/>
      <c r="G3" s="2"/>
      <c r="H3" s="143" t="s">
        <v>44</v>
      </c>
      <c r="I3" s="55">
        <f>SUM(D:D)</f>
        <v>35.833238083173264</v>
      </c>
      <c r="J3" s="49"/>
      <c r="K3" s="49"/>
      <c r="L3" s="49"/>
      <c r="M3" s="49">
        <f t="shared" si="0"/>
        <v>0</v>
      </c>
      <c r="N3" s="141">
        <f t="shared" si="1"/>
        <v>5.0882220592726988</v>
      </c>
      <c r="O3" s="141">
        <f t="shared" si="2"/>
        <v>-0.13888395583860466</v>
      </c>
      <c r="P3" s="185">
        <f t="shared" si="3"/>
        <v>0.16926377630727202</v>
      </c>
      <c r="Q3" s="141">
        <f t="shared" si="4"/>
        <v>6.2389010741550397</v>
      </c>
      <c r="R3" s="141">
        <f t="shared" si="5"/>
        <v>6.069637297847768</v>
      </c>
      <c r="S3" s="141">
        <f t="shared" si="6"/>
        <v>6.4081648504623114</v>
      </c>
      <c r="T3" s="48">
        <f t="shared" si="7"/>
        <v>1733409.1078822426</v>
      </c>
      <c r="U3" s="142">
        <f t="shared" ref="U3:U66" si="12">10^O3</f>
        <v>0.72630000000000006</v>
      </c>
      <c r="V3" s="48">
        <f t="shared" si="8"/>
        <v>1173916.745847923</v>
      </c>
      <c r="W3" s="142">
        <f t="shared" si="9"/>
        <v>0.72630000000000006</v>
      </c>
      <c r="X3" s="48">
        <f t="shared" si="10"/>
        <v>2559557.2649564724</v>
      </c>
      <c r="Y3" s="142">
        <f t="shared" si="11"/>
        <v>0.72630000000000006</v>
      </c>
      <c r="Z3" s="144" t="s">
        <v>45</v>
      </c>
      <c r="AA3" s="144"/>
      <c r="AB3" s="2"/>
      <c r="AC3" s="2"/>
      <c r="AD3" s="2"/>
      <c r="AE3" s="2"/>
      <c r="AF3" s="2"/>
      <c r="AG3" s="2"/>
      <c r="AH3" s="2"/>
    </row>
    <row r="4" spans="1:34" x14ac:dyDescent="0.2">
      <c r="A4" s="49">
        <f>+Results!D25</f>
        <v>1.35</v>
      </c>
      <c r="B4" s="48">
        <f>+Results!C25</f>
        <v>10766</v>
      </c>
      <c r="C4" s="49">
        <f t="shared" ref="C4:D5" si="13">LOG(A4)</f>
        <v>0.13033376849500614</v>
      </c>
      <c r="D4" s="49">
        <f t="shared" si="13"/>
        <v>4.0320543754796692</v>
      </c>
      <c r="E4" s="49">
        <f t="shared" ref="E4:F5" si="14">+C4^2</f>
        <v>1.6986891210109854E-2</v>
      </c>
      <c r="F4" s="49">
        <f t="shared" si="14"/>
        <v>16.257462486824746</v>
      </c>
      <c r="G4" s="2">
        <f t="shared" ref="G4:G5" si="15">+C4*D4</f>
        <v>0.52551284153304378</v>
      </c>
      <c r="H4" s="143" t="s">
        <v>46</v>
      </c>
      <c r="I4" s="55">
        <f>SUM(E:E)</f>
        <v>4.6775803291796467E-2</v>
      </c>
      <c r="J4" s="49"/>
      <c r="K4" s="49"/>
      <c r="L4" s="49"/>
      <c r="M4" s="49">
        <f t="shared" si="0"/>
        <v>0.13033376849500614</v>
      </c>
      <c r="N4" s="141">
        <f t="shared" si="1"/>
        <v>4.008382912755172</v>
      </c>
      <c r="O4" s="141">
        <f t="shared" si="2"/>
        <v>-0.13513308567147381</v>
      </c>
      <c r="P4" s="185">
        <f t="shared" si="3"/>
        <v>0.16583569798264078</v>
      </c>
      <c r="Q4" s="141">
        <f t="shared" si="4"/>
        <v>6.2078244277360586</v>
      </c>
      <c r="R4" s="141">
        <f t="shared" si="5"/>
        <v>6.0419887297534176</v>
      </c>
      <c r="S4" s="141">
        <f t="shared" si="6"/>
        <v>6.3736601257186996</v>
      </c>
      <c r="T4" s="48">
        <f t="shared" si="7"/>
        <v>1613706.0518702944</v>
      </c>
      <c r="U4" s="142">
        <f t="shared" si="12"/>
        <v>0.73260000000000014</v>
      </c>
      <c r="V4" s="48">
        <f t="shared" si="8"/>
        <v>1101510.7241942077</v>
      </c>
      <c r="W4" s="142">
        <f t="shared" si="9"/>
        <v>0.73260000000000014</v>
      </c>
      <c r="X4" s="48">
        <f t="shared" si="10"/>
        <v>2364068.8779927781</v>
      </c>
      <c r="Y4" s="142">
        <f t="shared" si="11"/>
        <v>0.73260000000000014</v>
      </c>
      <c r="Z4" s="2" t="s">
        <v>47</v>
      </c>
      <c r="AA4" s="2">
        <v>0.88244046806828758</v>
      </c>
      <c r="AB4" s="2"/>
      <c r="AC4" s="2"/>
      <c r="AD4" s="2"/>
      <c r="AE4" s="2"/>
      <c r="AF4" s="2"/>
      <c r="AG4" s="2"/>
      <c r="AH4" s="2"/>
    </row>
    <row r="5" spans="1:34" x14ac:dyDescent="0.2">
      <c r="A5" s="49">
        <f>+Results!D26</f>
        <v>0.9900000000000001</v>
      </c>
      <c r="B5" s="48">
        <f>+Results!C26</f>
        <v>148187</v>
      </c>
      <c r="C5" s="49">
        <f t="shared" si="13"/>
        <v>-4.3648054024500397E-3</v>
      </c>
      <c r="D5" s="49">
        <f t="shared" si="13"/>
        <v>5.1708101059651499</v>
      </c>
      <c r="E5" s="49">
        <f t="shared" si="14"/>
        <v>1.9051526201257054E-5</v>
      </c>
      <c r="F5" s="49">
        <f t="shared" si="14"/>
        <v>26.737277151951325</v>
      </c>
      <c r="G5" s="2">
        <f t="shared" si="15"/>
        <v>-2.2569579885559948E-2</v>
      </c>
      <c r="H5" s="143" t="s">
        <v>48</v>
      </c>
      <c r="I5" s="55">
        <f>SUM(F:F)</f>
        <v>186.65896451664457</v>
      </c>
      <c r="J5" s="49"/>
      <c r="K5" s="49"/>
      <c r="L5" s="49"/>
      <c r="M5" s="49">
        <f t="shared" si="0"/>
        <v>-4.3648054024500397E-3</v>
      </c>
      <c r="N5" s="141">
        <f t="shared" si="1"/>
        <v>5.1243852715769398</v>
      </c>
      <c r="O5" s="141">
        <f t="shared" si="2"/>
        <v>-0.13141433344123429</v>
      </c>
      <c r="P5" s="185">
        <f t="shared" si="3"/>
        <v>0.16246378230881772</v>
      </c>
      <c r="Q5" s="141">
        <f t="shared" si="4"/>
        <v>6.177013884307585</v>
      </c>
      <c r="R5" s="141">
        <f t="shared" si="5"/>
        <v>6.0145501019987675</v>
      </c>
      <c r="S5" s="141">
        <f t="shared" si="6"/>
        <v>6.3394776666164026</v>
      </c>
      <c r="T5" s="48">
        <f t="shared" si="7"/>
        <v>1503190.0220057226</v>
      </c>
      <c r="U5" s="142">
        <f t="shared" si="12"/>
        <v>0.73890000000000011</v>
      </c>
      <c r="V5" s="48">
        <f t="shared" si="8"/>
        <v>1034070.3887172292</v>
      </c>
      <c r="W5" s="142">
        <f t="shared" si="9"/>
        <v>0.73890000000000011</v>
      </c>
      <c r="X5" s="48">
        <f t="shared" si="10"/>
        <v>2185131.9474108452</v>
      </c>
      <c r="Y5" s="142">
        <f t="shared" si="11"/>
        <v>0.73890000000000011</v>
      </c>
      <c r="Z5" s="2" t="s">
        <v>49</v>
      </c>
      <c r="AA5" s="2">
        <v>0.77870117968457842</v>
      </c>
      <c r="AB5" s="2"/>
      <c r="AC5" s="2"/>
      <c r="AD5" s="2"/>
      <c r="AE5" s="2"/>
      <c r="AF5" s="2"/>
      <c r="AG5" s="2"/>
      <c r="AH5" s="2"/>
    </row>
    <row r="6" spans="1:34" x14ac:dyDescent="0.2">
      <c r="A6" s="49">
        <f>+Results!D27</f>
        <v>0.81</v>
      </c>
      <c r="B6" s="48">
        <f>+Results!C27</f>
        <v>581856</v>
      </c>
      <c r="C6" s="49">
        <f t="shared" ref="C6:C13" si="16">LOG(A6)</f>
        <v>-9.1514981121350217E-2</v>
      </c>
      <c r="D6" s="49">
        <f t="shared" ref="D6:D13" si="17">LOG(B6)</f>
        <v>5.7648155170495787</v>
      </c>
      <c r="E6" s="49">
        <f t="shared" ref="E6:E13" si="18">+C6^2</f>
        <v>8.374991769641087E-3</v>
      </c>
      <c r="F6" s="49">
        <f t="shared" ref="F6:F13" si="19">+D6^2</f>
        <v>33.233097945615604</v>
      </c>
      <c r="G6" s="2">
        <f t="shared" ref="G6:G13" si="20">+C6*D6</f>
        <v>-0.52756698321085893</v>
      </c>
      <c r="H6" s="143" t="s">
        <v>50</v>
      </c>
      <c r="I6" s="55">
        <f>SUM(G:G)</f>
        <v>-0.52000501657082498</v>
      </c>
      <c r="J6" s="49"/>
      <c r="K6" s="49"/>
      <c r="L6" s="49"/>
      <c r="M6" s="49">
        <f t="shared" si="0"/>
        <v>-9.1514981121350217E-2</v>
      </c>
      <c r="N6" s="141">
        <f t="shared" si="1"/>
        <v>5.8464404415750018</v>
      </c>
      <c r="O6" s="141">
        <f t="shared" si="2"/>
        <v>-0.12772715377579494</v>
      </c>
      <c r="P6" s="185">
        <f t="shared" si="3"/>
        <v>0.15914852426471809</v>
      </c>
      <c r="Q6" s="141">
        <f t="shared" si="4"/>
        <v>6.1464649253619426</v>
      </c>
      <c r="R6" s="141">
        <f t="shared" si="5"/>
        <v>5.9873164010972246</v>
      </c>
      <c r="S6" s="141">
        <f t="shared" si="6"/>
        <v>6.3056134496266605</v>
      </c>
      <c r="T6" s="48">
        <f t="shared" si="7"/>
        <v>1401086.4253540742</v>
      </c>
      <c r="U6" s="142">
        <f t="shared" si="12"/>
        <v>0.74519999999999997</v>
      </c>
      <c r="V6" s="48">
        <f t="shared" si="8"/>
        <v>971217.28063556075</v>
      </c>
      <c r="W6" s="142">
        <f t="shared" si="9"/>
        <v>0.74519999999999997</v>
      </c>
      <c r="X6" s="48">
        <f t="shared" si="10"/>
        <v>2021219.3609517056</v>
      </c>
      <c r="Y6" s="142">
        <f t="shared" si="11"/>
        <v>0.74519999999999997</v>
      </c>
      <c r="Z6" s="2" t="s">
        <v>51</v>
      </c>
      <c r="AA6" s="2">
        <v>0.75103882714515069</v>
      </c>
      <c r="AB6" s="2"/>
      <c r="AC6" s="2"/>
      <c r="AD6" s="2"/>
      <c r="AE6" s="2"/>
      <c r="AF6" s="2"/>
      <c r="AG6" s="2"/>
      <c r="AH6" s="2"/>
    </row>
    <row r="7" spans="1:34" x14ac:dyDescent="0.2">
      <c r="A7" s="49">
        <f>+Results!D28</f>
        <v>0.9</v>
      </c>
      <c r="B7" s="48">
        <f>+Results!C28</f>
        <v>290916</v>
      </c>
      <c r="C7" s="49">
        <f t="shared" si="16"/>
        <v>-4.5757490560675115E-2</v>
      </c>
      <c r="D7" s="49">
        <f t="shared" si="17"/>
        <v>5.4637676075331436</v>
      </c>
      <c r="E7" s="49">
        <f t="shared" si="18"/>
        <v>2.0937479424102722E-3</v>
      </c>
      <c r="F7" s="49">
        <f t="shared" si="19"/>
        <v>29.852756469128451</v>
      </c>
      <c r="G7" s="2">
        <f t="shared" si="20"/>
        <v>-0.25000829472742025</v>
      </c>
      <c r="H7" s="140" t="s">
        <v>52</v>
      </c>
      <c r="I7" s="145">
        <f>+I4-I2^2/$I$1</f>
        <v>4.6678990609518238E-2</v>
      </c>
      <c r="J7" s="2"/>
      <c r="K7" s="2"/>
      <c r="L7" s="2"/>
      <c r="M7" s="49">
        <f t="shared" si="0"/>
        <v>-4.5757490560675115E-2</v>
      </c>
      <c r="N7" s="141">
        <f t="shared" si="1"/>
        <v>5.4673312504238503</v>
      </c>
      <c r="O7" s="141">
        <f t="shared" si="2"/>
        <v>-0.12407101507707301</v>
      </c>
      <c r="P7" s="185">
        <f t="shared" si="3"/>
        <v>0.15589049330741281</v>
      </c>
      <c r="Q7" s="141">
        <f t="shared" si="4"/>
        <v>6.1161731465116373</v>
      </c>
      <c r="R7" s="141">
        <f t="shared" si="5"/>
        <v>5.9602826532042243</v>
      </c>
      <c r="S7" s="141">
        <f t="shared" si="6"/>
        <v>6.2720636398190504</v>
      </c>
      <c r="T7" s="48">
        <f t="shared" si="7"/>
        <v>1306691.7421406761</v>
      </c>
      <c r="U7" s="142">
        <f t="shared" si="12"/>
        <v>0.75150000000000006</v>
      </c>
      <c r="V7" s="48">
        <f t="shared" si="8"/>
        <v>912604.59935461532</v>
      </c>
      <c r="W7" s="142">
        <f t="shared" si="9"/>
        <v>0.75150000000000006</v>
      </c>
      <c r="X7" s="48">
        <f t="shared" si="10"/>
        <v>1870956.2829138949</v>
      </c>
      <c r="Y7" s="142">
        <f t="shared" si="11"/>
        <v>0.75150000000000006</v>
      </c>
      <c r="Z7" s="2" t="s">
        <v>53</v>
      </c>
      <c r="AA7" s="2">
        <v>4.8757093884921039</v>
      </c>
      <c r="AB7" s="2"/>
      <c r="AC7" s="2"/>
      <c r="AD7" s="2"/>
      <c r="AE7" s="2"/>
      <c r="AF7" s="2"/>
      <c r="AG7" s="2"/>
      <c r="AH7" s="2"/>
    </row>
    <row r="8" spans="1:34" ht="15" thickBot="1" x14ac:dyDescent="0.3">
      <c r="A8" s="49"/>
      <c r="B8" s="48"/>
      <c r="C8" s="49"/>
      <c r="D8" s="49"/>
      <c r="E8" s="49"/>
      <c r="F8" s="49"/>
      <c r="G8" s="2"/>
      <c r="H8" s="143" t="s">
        <v>118</v>
      </c>
      <c r="I8" s="146">
        <f>+I5-I3^2/$I$1</f>
        <v>3.2274000130190359</v>
      </c>
      <c r="J8" s="135"/>
      <c r="K8" s="135"/>
      <c r="L8" s="135"/>
      <c r="M8" s="49">
        <f t="shared" si="0"/>
        <v>0</v>
      </c>
      <c r="N8" s="141">
        <f t="shared" si="1"/>
        <v>5.0882220592726988</v>
      </c>
      <c r="O8" s="141">
        <f t="shared" si="2"/>
        <v>-0.12044539906102561</v>
      </c>
      <c r="P8" s="185">
        <f t="shared" si="3"/>
        <v>0.15269033576544186</v>
      </c>
      <c r="Q8" s="141">
        <f t="shared" si="4"/>
        <v>6.0861342536784351</v>
      </c>
      <c r="R8" s="141">
        <f t="shared" si="5"/>
        <v>5.9334439179129932</v>
      </c>
      <c r="S8" s="141">
        <f t="shared" si="6"/>
        <v>6.238824589443877</v>
      </c>
      <c r="T8" s="48">
        <f t="shared" si="7"/>
        <v>1219366.4840621534</v>
      </c>
      <c r="U8" s="142">
        <f t="shared" si="12"/>
        <v>0.75780000000000003</v>
      </c>
      <c r="V8" s="48">
        <f t="shared" si="8"/>
        <v>857914.32185203291</v>
      </c>
      <c r="W8" s="142">
        <f t="shared" si="9"/>
        <v>0.75780000000000003</v>
      </c>
      <c r="X8" s="48">
        <f t="shared" si="10"/>
        <v>1733103.8596538785</v>
      </c>
      <c r="Y8" s="142">
        <f t="shared" si="11"/>
        <v>0.75780000000000003</v>
      </c>
      <c r="Z8" s="147" t="s">
        <v>54</v>
      </c>
      <c r="AA8" s="147">
        <v>10</v>
      </c>
      <c r="AB8" s="2"/>
      <c r="AC8" s="2"/>
      <c r="AD8" s="2"/>
      <c r="AE8" s="2"/>
      <c r="AF8" s="2"/>
      <c r="AG8" s="2"/>
      <c r="AH8" s="2"/>
    </row>
    <row r="9" spans="1:34" ht="13.5" thickBot="1" x14ac:dyDescent="0.25">
      <c r="A9" s="49"/>
      <c r="B9" s="48"/>
      <c r="C9" s="49"/>
      <c r="D9" s="49"/>
      <c r="E9" s="49"/>
      <c r="F9" s="49"/>
      <c r="G9" s="2"/>
      <c r="H9" s="148" t="s">
        <v>55</v>
      </c>
      <c r="I9" s="149">
        <f>+I6-I2*I3/$I$1</f>
        <v>-0.38674398785617214</v>
      </c>
      <c r="J9" s="2"/>
      <c r="K9" s="2"/>
      <c r="L9" s="2"/>
      <c r="M9" s="49">
        <f t="shared" si="0"/>
        <v>0</v>
      </c>
      <c r="N9" s="141">
        <f t="shared" si="1"/>
        <v>5.0882220592726988</v>
      </c>
      <c r="O9" s="141">
        <f t="shared" si="2"/>
        <v>-0.11684980031672239</v>
      </c>
      <c r="P9" s="185">
        <f t="shared" si="3"/>
        <v>0.14954877724460186</v>
      </c>
      <c r="Q9" s="141">
        <f t="shared" si="4"/>
        <v>6.056344059440196</v>
      </c>
      <c r="R9" s="141">
        <f t="shared" si="5"/>
        <v>5.9067952821955938</v>
      </c>
      <c r="S9" s="141">
        <f t="shared" si="6"/>
        <v>6.2058928366847983</v>
      </c>
      <c r="T9" s="48">
        <f t="shared" si="7"/>
        <v>1138528.9009890708</v>
      </c>
      <c r="U9" s="142">
        <f t="shared" si="12"/>
        <v>0.76410000000000011</v>
      </c>
      <c r="V9" s="48">
        <f t="shared" si="8"/>
        <v>806854.6053367547</v>
      </c>
      <c r="W9" s="142">
        <f t="shared" si="9"/>
        <v>0.76410000000000011</v>
      </c>
      <c r="X9" s="48">
        <f t="shared" si="10"/>
        <v>1606544.7849137203</v>
      </c>
      <c r="Y9" s="142">
        <f t="shared" si="11"/>
        <v>0.76410000000000011</v>
      </c>
      <c r="Z9" s="2"/>
      <c r="AA9" s="2"/>
      <c r="AB9" s="2"/>
      <c r="AC9" s="2"/>
      <c r="AD9" s="2"/>
      <c r="AE9" s="2"/>
      <c r="AF9" s="2"/>
      <c r="AG9" s="2"/>
      <c r="AH9" s="2"/>
    </row>
    <row r="10" spans="1:34" ht="13.5" thickBot="1" x14ac:dyDescent="0.25">
      <c r="A10" s="49">
        <f>+Results!D31</f>
        <v>1.1700000000000002</v>
      </c>
      <c r="B10" s="48">
        <f>+Results!C31</f>
        <v>35032</v>
      </c>
      <c r="C10" s="49">
        <f t="shared" si="16"/>
        <v>6.8185861746161702E-2</v>
      </c>
      <c r="D10" s="49">
        <f t="shared" si="17"/>
        <v>4.5444649321840691</v>
      </c>
      <c r="E10" s="49">
        <f t="shared" si="18"/>
        <v>4.6493117420666778E-3</v>
      </c>
      <c r="F10" s="49">
        <f t="shared" si="19"/>
        <v>20.652161519850758</v>
      </c>
      <c r="G10" s="2">
        <f t="shared" si="20"/>
        <v>0.30986825757618303</v>
      </c>
      <c r="H10" s="150" t="s">
        <v>56</v>
      </c>
      <c r="I10" s="139">
        <f>+I2/$I$1</f>
        <v>-3.7189223146771705E-3</v>
      </c>
      <c r="J10" s="2"/>
      <c r="K10" s="2"/>
      <c r="L10" s="2"/>
      <c r="M10" s="49">
        <f t="shared" si="0"/>
        <v>6.8185861746161702E-2</v>
      </c>
      <c r="N10" s="141">
        <f t="shared" si="1"/>
        <v>4.5232897044213276</v>
      </c>
      <c r="O10" s="141">
        <f t="shared" si="2"/>
        <v>-0.11328372588352185</v>
      </c>
      <c r="P10" s="185">
        <f t="shared" si="3"/>
        <v>0.14646662500747379</v>
      </c>
      <c r="Q10" s="141">
        <f t="shared" si="4"/>
        <v>6.0267984795277059</v>
      </c>
      <c r="R10" s="141">
        <f t="shared" si="5"/>
        <v>5.8803318545202323</v>
      </c>
      <c r="S10" s="141">
        <f t="shared" si="6"/>
        <v>6.1732651045351794</v>
      </c>
      <c r="T10" s="48">
        <f t="shared" si="7"/>
        <v>1063649.3512156317</v>
      </c>
      <c r="U10" s="142">
        <f t="shared" si="12"/>
        <v>0.77040000000000008</v>
      </c>
      <c r="V10" s="48">
        <f t="shared" si="8"/>
        <v>759157.4433245887</v>
      </c>
      <c r="W10" s="142">
        <f t="shared" si="9"/>
        <v>0.77040000000000008</v>
      </c>
      <c r="X10" s="48">
        <f t="shared" si="10"/>
        <v>1490270.4996040079</v>
      </c>
      <c r="Y10" s="142">
        <f t="shared" si="11"/>
        <v>0.77040000000000008</v>
      </c>
      <c r="Z10" s="2" t="s">
        <v>57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2">
      <c r="A11" s="49">
        <f>+Results!D32</f>
        <v>0.72000000000000008</v>
      </c>
      <c r="B11" s="48">
        <f>+Results!C32</f>
        <v>2000000</v>
      </c>
      <c r="C11" s="49"/>
      <c r="D11" s="49"/>
      <c r="E11" s="49"/>
      <c r="F11" s="49"/>
      <c r="G11" s="2"/>
      <c r="H11" s="143" t="s">
        <v>58</v>
      </c>
      <c r="I11" s="55">
        <f>+I3/$I$1</f>
        <v>5.1190340118818947</v>
      </c>
      <c r="J11" s="49"/>
      <c r="K11" s="49"/>
      <c r="L11" s="49"/>
      <c r="M11" s="49">
        <f t="shared" si="0"/>
        <v>0</v>
      </c>
      <c r="N11" s="141">
        <f t="shared" si="1"/>
        <v>5.0882220592726988</v>
      </c>
      <c r="O11" s="141">
        <f t="shared" si="2"/>
        <v>-0.1097466948454655</v>
      </c>
      <c r="P11" s="185">
        <f t="shared" si="3"/>
        <v>0.14344477027964134</v>
      </c>
      <c r="Q11" s="141">
        <f t="shared" si="4"/>
        <v>5.9974935294641529</v>
      </c>
      <c r="R11" s="141">
        <f t="shared" si="5"/>
        <v>5.8540487591845114</v>
      </c>
      <c r="S11" s="141">
        <f t="shared" si="6"/>
        <v>6.1409382997437945</v>
      </c>
      <c r="T11" s="48">
        <f t="shared" si="7"/>
        <v>994245.26062284957</v>
      </c>
      <c r="U11" s="142">
        <f t="shared" si="12"/>
        <v>0.77670000000000006</v>
      </c>
      <c r="V11" s="48">
        <f t="shared" si="8"/>
        <v>714576.54863279779</v>
      </c>
      <c r="W11" s="142">
        <f t="shared" si="9"/>
        <v>0.77670000000000006</v>
      </c>
      <c r="X11" s="48">
        <f t="shared" si="10"/>
        <v>1383369.8295337909</v>
      </c>
      <c r="Y11" s="142">
        <f t="shared" si="11"/>
        <v>0.77670000000000006</v>
      </c>
      <c r="Z11" s="151"/>
      <c r="AA11" s="151" t="s">
        <v>59</v>
      </c>
      <c r="AB11" s="151" t="s">
        <v>60</v>
      </c>
      <c r="AC11" s="151" t="s">
        <v>61</v>
      </c>
      <c r="AD11" s="151" t="s">
        <v>62</v>
      </c>
      <c r="AE11" s="151" t="s">
        <v>63</v>
      </c>
      <c r="AF11" s="2"/>
      <c r="AG11" s="2"/>
      <c r="AH11" s="2"/>
    </row>
    <row r="12" spans="1:34" x14ac:dyDescent="0.2">
      <c r="A12" s="49">
        <f>+Results!D33</f>
        <v>1.08</v>
      </c>
      <c r="B12" s="48">
        <f>+Results!C33</f>
        <v>53299</v>
      </c>
      <c r="C12" s="49">
        <f t="shared" si="16"/>
        <v>3.342375548694973E-2</v>
      </c>
      <c r="D12" s="49">
        <f t="shared" si="17"/>
        <v>4.7267190608360279</v>
      </c>
      <c r="E12" s="49">
        <f t="shared" si="18"/>
        <v>1.1171474308514023E-3</v>
      </c>
      <c r="F12" s="49">
        <f t="shared" si="19"/>
        <v>22.34187308007062</v>
      </c>
      <c r="G12" s="2">
        <f t="shared" si="20"/>
        <v>0.15798470214488805</v>
      </c>
      <c r="H12" s="143" t="s">
        <v>64</v>
      </c>
      <c r="I12" s="145">
        <f>+I9/I7</f>
        <v>-8.2851831799745863</v>
      </c>
      <c r="J12" s="141">
        <f>+I12</f>
        <v>-8.2851831799745863</v>
      </c>
      <c r="K12" s="141">
        <f>1/J12</f>
        <v>-0.12069739175073585</v>
      </c>
      <c r="L12" s="2"/>
      <c r="M12" s="49">
        <f t="shared" si="0"/>
        <v>3.342375548694973E-2</v>
      </c>
      <c r="N12" s="141">
        <f t="shared" si="1"/>
        <v>4.81130012250064</v>
      </c>
      <c r="O12" s="141">
        <f t="shared" si="2"/>
        <v>-0.10623823794205653</v>
      </c>
      <c r="P12" s="185">
        <f t="shared" si="3"/>
        <v>0.14048419042604915</v>
      </c>
      <c r="Q12" s="141">
        <f t="shared" si="4"/>
        <v>5.9684253213403631</v>
      </c>
      <c r="R12" s="141">
        <f t="shared" si="5"/>
        <v>5.8279411309143141</v>
      </c>
      <c r="S12" s="141">
        <f t="shared" si="6"/>
        <v>6.1089095117664121</v>
      </c>
      <c r="T12" s="48">
        <f t="shared" si="7"/>
        <v>929876.60503340082</v>
      </c>
      <c r="U12" s="142">
        <f t="shared" si="12"/>
        <v>0.78300000000000014</v>
      </c>
      <c r="V12" s="48">
        <f t="shared" si="8"/>
        <v>672885.43975471391</v>
      </c>
      <c r="W12" s="142">
        <f t="shared" si="9"/>
        <v>0.78300000000000014</v>
      </c>
      <c r="X12" s="48">
        <f t="shared" si="10"/>
        <v>1285018.8895507094</v>
      </c>
      <c r="Y12" s="142">
        <f t="shared" si="11"/>
        <v>0.78300000000000014</v>
      </c>
      <c r="Z12" s="2" t="s">
        <v>65</v>
      </c>
      <c r="AA12" s="2">
        <v>1</v>
      </c>
      <c r="AB12" s="2">
        <v>669.20217667916086</v>
      </c>
      <c r="AC12" s="2">
        <v>669.20217667916086</v>
      </c>
      <c r="AD12" s="2">
        <v>28.150215299826005</v>
      </c>
      <c r="AE12" s="2">
        <v>7.2341618680963758E-4</v>
      </c>
      <c r="AF12" s="2"/>
      <c r="AG12" s="2"/>
      <c r="AH12" s="2"/>
    </row>
    <row r="13" spans="1:34" x14ac:dyDescent="0.2">
      <c r="A13" s="49">
        <f>+Results!D34</f>
        <v>0.76500000000000001</v>
      </c>
      <c r="B13" s="48">
        <f>+Results!C34</f>
        <v>1350848</v>
      </c>
      <c r="C13" s="49">
        <f t="shared" si="16"/>
        <v>-0.11633856484638239</v>
      </c>
      <c r="D13" s="49">
        <f t="shared" si="17"/>
        <v>6.1306064841256198</v>
      </c>
      <c r="E13" s="49">
        <f t="shared" si="18"/>
        <v>1.3534661670515919E-2</v>
      </c>
      <c r="F13" s="49">
        <f t="shared" si="19"/>
        <v>37.584335863203094</v>
      </c>
      <c r="G13" s="2">
        <f t="shared" si="20"/>
        <v>-0.71322596000110072</v>
      </c>
      <c r="H13" s="143" t="s">
        <v>66</v>
      </c>
      <c r="I13" s="55">
        <f>+I11-I12*I10</f>
        <v>5.0882220592726988</v>
      </c>
      <c r="J13" s="142">
        <f>10^I13</f>
        <v>122524.25183363975</v>
      </c>
      <c r="K13" s="165">
        <f>+J13^J12</f>
        <v>6.9686423923668962E-43</v>
      </c>
      <c r="L13" s="49"/>
      <c r="M13" s="49">
        <f t="shared" si="0"/>
        <v>-0.11633856484638239</v>
      </c>
      <c r="N13" s="141">
        <f t="shared" si="1"/>
        <v>6.0521083799203286</v>
      </c>
      <c r="O13" s="141">
        <f t="shared" si="2"/>
        <v>-0.10275789719463455</v>
      </c>
      <c r="P13" s="185">
        <f t="shared" si="3"/>
        <v>0.13758595093021514</v>
      </c>
      <c r="Q13" s="141">
        <f t="shared" si="4"/>
        <v>5.9395900607192429</v>
      </c>
      <c r="R13" s="141">
        <f t="shared" si="5"/>
        <v>5.8020041097890278</v>
      </c>
      <c r="S13" s="141">
        <f t="shared" si="6"/>
        <v>6.077176011649458</v>
      </c>
      <c r="T13" s="48">
        <f t="shared" si="7"/>
        <v>870141.85782301135</v>
      </c>
      <c r="U13" s="142">
        <f t="shared" si="12"/>
        <v>0.78930000000000011</v>
      </c>
      <c r="V13" s="48">
        <f t="shared" si="8"/>
        <v>633875.70968246437</v>
      </c>
      <c r="W13" s="142">
        <f t="shared" si="9"/>
        <v>0.78930000000000011</v>
      </c>
      <c r="X13" s="48">
        <f t="shared" si="10"/>
        <v>1194472.1041842266</v>
      </c>
      <c r="Y13" s="142">
        <f t="shared" si="11"/>
        <v>0.78930000000000011</v>
      </c>
      <c r="Z13" s="2" t="s">
        <v>67</v>
      </c>
      <c r="AA13" s="2">
        <v>8</v>
      </c>
      <c r="AB13" s="2">
        <v>190.18033632824034</v>
      </c>
      <c r="AC13" s="2">
        <v>23.772542041030043</v>
      </c>
      <c r="AD13" s="2"/>
      <c r="AE13" s="2"/>
      <c r="AF13" s="2"/>
      <c r="AG13" s="2"/>
      <c r="AH13" s="2"/>
    </row>
    <row r="14" spans="1:34" ht="13.5" thickBot="1" x14ac:dyDescent="0.25">
      <c r="A14" s="49"/>
      <c r="B14" s="48"/>
      <c r="C14" s="49"/>
      <c r="D14" s="49"/>
      <c r="E14" s="49"/>
      <c r="F14" s="49"/>
      <c r="G14" s="2"/>
      <c r="H14" s="152" t="s">
        <v>68</v>
      </c>
      <c r="I14" s="56">
        <f>+I9^2/(I7*I8)</f>
        <v>0.9928254230081871</v>
      </c>
      <c r="J14" s="2" t="str">
        <f>"(X="&amp;TEXT(J13,"0.0")&amp;"Y^"&amp;TEXT(J12,"0.00")&amp;")"</f>
        <v>(X=122524.3Y^-8.29)</v>
      </c>
      <c r="K14" s="49"/>
      <c r="L14" s="49"/>
      <c r="M14" s="49">
        <f t="shared" si="0"/>
        <v>0</v>
      </c>
      <c r="N14" s="141">
        <f t="shared" si="1"/>
        <v>5.0882220592726988</v>
      </c>
      <c r="O14" s="141">
        <f t="shared" si="2"/>
        <v>-9.9305225547601989E-2</v>
      </c>
      <c r="P14" s="185">
        <f t="shared" si="3"/>
        <v>0.13475120709703103</v>
      </c>
      <c r="Q14" s="141">
        <f t="shared" si="4"/>
        <v>5.910984043663273</v>
      </c>
      <c r="R14" s="141">
        <f t="shared" si="5"/>
        <v>5.7762328365662423</v>
      </c>
      <c r="S14" s="141">
        <f t="shared" si="6"/>
        <v>6.0457352507603037</v>
      </c>
      <c r="T14" s="48">
        <f t="shared" si="7"/>
        <v>814674.35166474676</v>
      </c>
      <c r="U14" s="142">
        <f t="shared" si="12"/>
        <v>0.79559999999999997</v>
      </c>
      <c r="V14" s="48">
        <f t="shared" si="8"/>
        <v>597355.45854638191</v>
      </c>
      <c r="W14" s="142">
        <f t="shared" si="9"/>
        <v>0.79559999999999997</v>
      </c>
      <c r="X14" s="48">
        <f t="shared" si="10"/>
        <v>1111054.2136426175</v>
      </c>
      <c r="Y14" s="142">
        <f t="shared" si="11"/>
        <v>0.79559999999999997</v>
      </c>
      <c r="Z14" s="147" t="s">
        <v>69</v>
      </c>
      <c r="AA14" s="147">
        <v>9</v>
      </c>
      <c r="AB14" s="147">
        <v>859.38251300740126</v>
      </c>
      <c r="AC14" s="147"/>
      <c r="AD14" s="147"/>
      <c r="AE14" s="147"/>
      <c r="AF14" s="2"/>
      <c r="AG14" s="2"/>
      <c r="AH14" s="2"/>
    </row>
    <row r="15" spans="1:34" ht="13.5" thickBot="1" x14ac:dyDescent="0.25">
      <c r="A15" s="49"/>
      <c r="B15" s="48"/>
      <c r="C15" s="49"/>
      <c r="D15" s="49"/>
      <c r="E15" s="49"/>
      <c r="F15" s="49"/>
      <c r="G15" s="2"/>
      <c r="H15" s="2" t="s">
        <v>70</v>
      </c>
      <c r="I15" s="49">
        <f>VLOOKUP($J$24,$H$33:$J$69,2)</f>
        <v>2.5706000000000002</v>
      </c>
      <c r="J15" s="49"/>
      <c r="K15" s="49"/>
      <c r="L15" s="49"/>
      <c r="M15" s="49">
        <f t="shared" si="0"/>
        <v>0</v>
      </c>
      <c r="N15" s="141">
        <f t="shared" si="1"/>
        <v>5.0882220592726988</v>
      </c>
      <c r="O15" s="141">
        <f t="shared" si="2"/>
        <v>-9.5879786523800303E-2</v>
      </c>
      <c r="P15" s="185">
        <f t="shared" si="3"/>
        <v>0.13198120538671504</v>
      </c>
      <c r="Q15" s="141">
        <f t="shared" si="4"/>
        <v>5.8826036538792428</v>
      </c>
      <c r="R15" s="141">
        <f t="shared" si="5"/>
        <v>5.7506224484925275</v>
      </c>
      <c r="S15" s="141">
        <f t="shared" si="6"/>
        <v>6.0145848592659581</v>
      </c>
      <c r="T15" s="48">
        <f t="shared" si="7"/>
        <v>763139.00924731931</v>
      </c>
      <c r="U15" s="142">
        <f t="shared" si="12"/>
        <v>0.80189999999999995</v>
      </c>
      <c r="V15" s="48">
        <f t="shared" si="8"/>
        <v>563147.87347075855</v>
      </c>
      <c r="W15" s="142">
        <f t="shared" si="9"/>
        <v>0.80189999999999995</v>
      </c>
      <c r="X15" s="48">
        <f t="shared" si="10"/>
        <v>1034153.1503007998</v>
      </c>
      <c r="Y15" s="142">
        <f t="shared" si="11"/>
        <v>0.80189999999999995</v>
      </c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">
      <c r="A16" s="49"/>
      <c r="B16" s="48"/>
      <c r="C16" s="49"/>
      <c r="D16" s="49"/>
      <c r="E16" s="49"/>
      <c r="F16" s="49"/>
      <c r="G16" s="2"/>
      <c r="H16" s="2" t="s">
        <v>71</v>
      </c>
      <c r="I16" s="49">
        <f>VLOOKUP($J$24,$H$33:$J$69,3)</f>
        <v>5.79</v>
      </c>
      <c r="J16" s="49"/>
      <c r="K16" s="49"/>
      <c r="L16" s="49"/>
      <c r="M16" s="49">
        <f t="shared" si="0"/>
        <v>0</v>
      </c>
      <c r="N16" s="141">
        <f t="shared" si="1"/>
        <v>5.0882220592726988</v>
      </c>
      <c r="O16" s="141">
        <f t="shared" si="2"/>
        <v>-9.2481153893370735E-2</v>
      </c>
      <c r="P16" s="185">
        <f t="shared" si="3"/>
        <v>0.12927728427323698</v>
      </c>
      <c r="Q16" s="141">
        <f t="shared" si="4"/>
        <v>5.8544453599746955</v>
      </c>
      <c r="R16" s="141">
        <f t="shared" si="5"/>
        <v>5.7251680757014585</v>
      </c>
      <c r="S16" s="141">
        <f t="shared" si="6"/>
        <v>5.9837226442479325</v>
      </c>
      <c r="T16" s="48">
        <f t="shared" si="7"/>
        <v>715229.40303742723</v>
      </c>
      <c r="U16" s="142">
        <f t="shared" si="12"/>
        <v>0.80820000000000003</v>
      </c>
      <c r="V16" s="48">
        <f t="shared" si="8"/>
        <v>531089.94084090693</v>
      </c>
      <c r="W16" s="142">
        <f t="shared" si="9"/>
        <v>0.80820000000000003</v>
      </c>
      <c r="X16" s="48">
        <f t="shared" si="10"/>
        <v>963213.68497264781</v>
      </c>
      <c r="Y16" s="142">
        <f t="shared" si="11"/>
        <v>0.80820000000000003</v>
      </c>
      <c r="Z16" s="151"/>
      <c r="AA16" s="151" t="s">
        <v>72</v>
      </c>
      <c r="AB16" s="151" t="s">
        <v>53</v>
      </c>
      <c r="AC16" s="151" t="s">
        <v>73</v>
      </c>
      <c r="AD16" s="151" t="s">
        <v>74</v>
      </c>
      <c r="AE16" s="151" t="s">
        <v>75</v>
      </c>
      <c r="AF16" s="151" t="s">
        <v>76</v>
      </c>
      <c r="AG16" s="151" t="s">
        <v>77</v>
      </c>
      <c r="AH16" s="151" t="s">
        <v>78</v>
      </c>
    </row>
    <row r="17" spans="1:34" x14ac:dyDescent="0.2">
      <c r="A17" s="49"/>
      <c r="B17" s="48"/>
      <c r="C17" s="49"/>
      <c r="D17" s="49"/>
      <c r="E17" s="49"/>
      <c r="F17" s="49"/>
      <c r="G17" s="2"/>
      <c r="H17" s="2" t="s">
        <v>79</v>
      </c>
      <c r="I17" s="2">
        <f>+I15*SQRT($K$24/$I$7)</f>
        <v>0.80967983126749121</v>
      </c>
      <c r="J17" s="2">
        <f>+I12+I17</f>
        <v>-7.475503348707095</v>
      </c>
      <c r="K17" s="2">
        <f>+I12-I17</f>
        <v>-9.0948630112420776</v>
      </c>
      <c r="L17" s="2"/>
      <c r="M17" s="49">
        <f t="shared" si="0"/>
        <v>0</v>
      </c>
      <c r="N17" s="141">
        <f t="shared" si="1"/>
        <v>5.0882220592726988</v>
      </c>
      <c r="O17" s="141">
        <f t="shared" si="2"/>
        <v>-8.9108911355471748E-2</v>
      </c>
      <c r="P17" s="185">
        <f t="shared" si="3"/>
        <v>0.12664087450545791</v>
      </c>
      <c r="Q17" s="141">
        <f t="shared" si="4"/>
        <v>5.8265057128209001</v>
      </c>
      <c r="R17" s="141">
        <f t="shared" si="5"/>
        <v>5.6998648383154418</v>
      </c>
      <c r="S17" s="141">
        <f t="shared" si="6"/>
        <v>5.9531465873263585</v>
      </c>
      <c r="T17" s="48">
        <f t="shared" si="7"/>
        <v>670665.10874494887</v>
      </c>
      <c r="U17" s="142">
        <f t="shared" si="12"/>
        <v>0.81450000000000011</v>
      </c>
      <c r="V17" s="48">
        <f t="shared" si="8"/>
        <v>501031.27776455006</v>
      </c>
      <c r="W17" s="142">
        <f t="shared" si="9"/>
        <v>0.81450000000000011</v>
      </c>
      <c r="X17" s="48">
        <f t="shared" si="10"/>
        <v>897731.75458168704</v>
      </c>
      <c r="Y17" s="142">
        <f t="shared" si="11"/>
        <v>0.81450000000000011</v>
      </c>
      <c r="Z17" s="2" t="s">
        <v>80</v>
      </c>
      <c r="AA17" s="2">
        <v>86.958826444998394</v>
      </c>
      <c r="AB17" s="2">
        <v>2.9348406973796441</v>
      </c>
      <c r="AC17" s="2">
        <v>29.629828468250114</v>
      </c>
      <c r="AD17" s="2">
        <v>1.824742265606886E-9</v>
      </c>
      <c r="AE17" s="2">
        <v>80.1910672841029</v>
      </c>
      <c r="AF17" s="2">
        <v>93.726585605893888</v>
      </c>
      <c r="AG17" s="2">
        <v>80.1910672841029</v>
      </c>
      <c r="AH17" s="2">
        <v>93.726585605893888</v>
      </c>
    </row>
    <row r="18" spans="1:34" ht="13.5" thickBot="1" x14ac:dyDescent="0.25">
      <c r="A18" s="49"/>
      <c r="B18" s="48"/>
      <c r="C18" s="49"/>
      <c r="D18" s="49"/>
      <c r="E18" s="49"/>
      <c r="F18" s="49"/>
      <c r="G18" s="2"/>
      <c r="H18" s="2" t="s">
        <v>81</v>
      </c>
      <c r="I18" s="2">
        <f>+I15*SQRT(K24/I1)</f>
        <v>6.6118810134913664E-2</v>
      </c>
      <c r="J18" s="49">
        <f>+I13-I18</f>
        <v>5.0221032491377855</v>
      </c>
      <c r="K18" s="49">
        <f>+I13+I18</f>
        <v>5.154340869407612</v>
      </c>
      <c r="L18" s="2"/>
      <c r="M18" s="49">
        <f t="shared" si="0"/>
        <v>0</v>
      </c>
      <c r="N18" s="141">
        <f t="shared" si="1"/>
        <v>5.0882220592726988</v>
      </c>
      <c r="O18" s="141">
        <f t="shared" si="2"/>
        <v>-8.5762652232258901E-2</v>
      </c>
      <c r="P18" s="185">
        <f t="shared" si="3"/>
        <v>0.12407349863367148</v>
      </c>
      <c r="Q18" s="141">
        <f t="shared" si="4"/>
        <v>5.7987813430174198</v>
      </c>
      <c r="R18" s="141">
        <f t="shared" si="5"/>
        <v>5.6747078443837484</v>
      </c>
      <c r="S18" s="141">
        <f t="shared" si="6"/>
        <v>5.9228548416510911</v>
      </c>
      <c r="T18" s="48">
        <f t="shared" si="7"/>
        <v>629189.32118089939</v>
      </c>
      <c r="U18" s="142">
        <f t="shared" si="12"/>
        <v>0.82079999999999997</v>
      </c>
      <c r="V18" s="48">
        <f t="shared" si="8"/>
        <v>472833.07091632596</v>
      </c>
      <c r="W18" s="142">
        <f t="shared" si="9"/>
        <v>0.82079999999999997</v>
      </c>
      <c r="X18" s="48">
        <f t="shared" si="10"/>
        <v>837249.39357750001</v>
      </c>
      <c r="Y18" s="142">
        <f t="shared" si="11"/>
        <v>0.82079999999999997</v>
      </c>
      <c r="Z18" s="147" t="s">
        <v>82</v>
      </c>
      <c r="AA18" s="147">
        <v>-3.9353116272950031E-4</v>
      </c>
      <c r="AB18" s="147">
        <v>7.4171706023342889E-5</v>
      </c>
      <c r="AC18" s="147">
        <v>-5.3056776475607892</v>
      </c>
      <c r="AD18" s="147">
        <v>7.2341618680962284E-4</v>
      </c>
      <c r="AE18" s="147">
        <v>-5.645715341428152E-4</v>
      </c>
      <c r="AF18" s="147">
        <v>-2.2249079131618545E-4</v>
      </c>
      <c r="AG18" s="147">
        <v>-5.645715341428152E-4</v>
      </c>
      <c r="AH18" s="147">
        <v>-2.2249079131618545E-4</v>
      </c>
    </row>
    <row r="19" spans="1:34" x14ac:dyDescent="0.2">
      <c r="A19" s="49"/>
      <c r="B19" s="48"/>
      <c r="C19" s="49"/>
      <c r="D19" s="49"/>
      <c r="E19" s="49"/>
      <c r="F19" s="49"/>
      <c r="G19" s="2"/>
      <c r="H19" s="2" t="s">
        <v>83</v>
      </c>
      <c r="I19" s="2">
        <f>MIN(A:A)</f>
        <v>0.72000000000000008</v>
      </c>
      <c r="J19" s="135"/>
      <c r="K19" s="135"/>
      <c r="L19" s="135"/>
      <c r="M19" s="49">
        <f t="shared" si="0"/>
        <v>0</v>
      </c>
      <c r="N19" s="141">
        <f t="shared" si="1"/>
        <v>5.0882220592726988</v>
      </c>
      <c r="O19" s="141">
        <f t="shared" si="2"/>
        <v>-8.2441979174563834E-2</v>
      </c>
      <c r="P19" s="185">
        <f t="shared" si="3"/>
        <v>0.12157676964872682</v>
      </c>
      <c r="Q19" s="141">
        <f t="shared" si="4"/>
        <v>5.7712689584536099</v>
      </c>
      <c r="R19" s="141">
        <f t="shared" si="5"/>
        <v>5.6496921888048828</v>
      </c>
      <c r="S19" s="141">
        <f t="shared" si="6"/>
        <v>5.892845728102337</v>
      </c>
      <c r="T19" s="48">
        <f t="shared" si="7"/>
        <v>590566.70474294387</v>
      </c>
      <c r="U19" s="142">
        <f t="shared" si="12"/>
        <v>0.82709999999999995</v>
      </c>
      <c r="V19" s="48">
        <f t="shared" si="8"/>
        <v>446367.11219950975</v>
      </c>
      <c r="W19" s="142">
        <f t="shared" si="9"/>
        <v>0.82709999999999995</v>
      </c>
      <c r="X19" s="48">
        <f t="shared" si="10"/>
        <v>781350.20080747432</v>
      </c>
      <c r="Y19" s="142">
        <f t="shared" si="11"/>
        <v>0.82709999999999995</v>
      </c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3.5" thickBot="1" x14ac:dyDescent="0.25">
      <c r="A20" s="49"/>
      <c r="B20" s="48"/>
      <c r="C20" s="49"/>
      <c r="D20" s="49"/>
      <c r="E20" s="49"/>
      <c r="F20" s="49"/>
      <c r="G20" s="2"/>
      <c r="H20" s="2" t="s">
        <v>84</v>
      </c>
      <c r="I20" s="2">
        <f>MAX(A:A)</f>
        <v>1.35</v>
      </c>
      <c r="J20" s="2"/>
      <c r="K20" s="2"/>
      <c r="L20" s="2"/>
      <c r="M20" s="2"/>
      <c r="N20" s="2"/>
      <c r="O20" s="141">
        <f t="shared" si="2"/>
        <v>-7.9146503878740726E-2</v>
      </c>
      <c r="P20" s="185">
        <f t="shared" si="3"/>
        <v>0.11915238856618564</v>
      </c>
      <c r="Q20" s="141">
        <f t="shared" si="4"/>
        <v>5.7439653419626344</v>
      </c>
      <c r="R20" s="141">
        <f t="shared" si="5"/>
        <v>5.6248129533964484</v>
      </c>
      <c r="S20" s="141">
        <f t="shared" si="6"/>
        <v>5.8631177305288205</v>
      </c>
      <c r="T20" s="48">
        <f t="shared" si="7"/>
        <v>554581.45388369344</v>
      </c>
      <c r="U20" s="142">
        <f t="shared" si="12"/>
        <v>0.83340000000000014</v>
      </c>
      <c r="V20" s="48">
        <f t="shared" si="8"/>
        <v>421514.92176303978</v>
      </c>
      <c r="W20" s="142">
        <f t="shared" si="9"/>
        <v>0.83340000000000014</v>
      </c>
      <c r="X20" s="48">
        <f t="shared" si="10"/>
        <v>729655.28172843636</v>
      </c>
      <c r="Y20" s="142">
        <f t="shared" si="11"/>
        <v>0.83340000000000014</v>
      </c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3.5" thickBot="1" x14ac:dyDescent="0.25">
      <c r="A21" s="49"/>
      <c r="B21" s="48"/>
      <c r="C21" s="49"/>
      <c r="D21" s="49"/>
      <c r="E21" s="49"/>
      <c r="F21" s="49"/>
      <c r="G21" s="2"/>
      <c r="H21" s="153" t="s">
        <v>85</v>
      </c>
      <c r="I21" s="154"/>
      <c r="J21" s="2"/>
      <c r="K21" s="2"/>
      <c r="L21" s="2"/>
      <c r="M21" s="2"/>
      <c r="N21" s="2"/>
      <c r="O21" s="141">
        <f t="shared" si="2"/>
        <v>-7.5875846814175127E-2</v>
      </c>
      <c r="P21" s="185">
        <f t="shared" si="3"/>
        <v>0.11680214077495413</v>
      </c>
      <c r="Q21" s="141">
        <f t="shared" si="4"/>
        <v>5.7168673490638309</v>
      </c>
      <c r="R21" s="141">
        <f t="shared" si="5"/>
        <v>5.6000652082888767</v>
      </c>
      <c r="S21" s="141">
        <f t="shared" si="6"/>
        <v>5.8336694898387851</v>
      </c>
      <c r="T21" s="48">
        <f t="shared" si="7"/>
        <v>521035.54166657757</v>
      </c>
      <c r="U21" s="142">
        <f t="shared" si="12"/>
        <v>0.83970000000000011</v>
      </c>
      <c r="V21" s="48">
        <f t="shared" si="8"/>
        <v>398166.94989094842</v>
      </c>
      <c r="W21" s="142">
        <f t="shared" si="9"/>
        <v>0.83970000000000011</v>
      </c>
      <c r="X21" s="48">
        <f t="shared" si="10"/>
        <v>681819.61298931984</v>
      </c>
      <c r="Y21" s="142">
        <f t="shared" si="11"/>
        <v>0.83970000000000011</v>
      </c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x14ac:dyDescent="0.2">
      <c r="A22" s="49"/>
      <c r="B22" s="48"/>
      <c r="C22" s="49"/>
      <c r="D22" s="49"/>
      <c r="E22" s="49"/>
      <c r="F22" s="49"/>
      <c r="G22" s="2"/>
      <c r="H22" s="138"/>
      <c r="I22" s="155" t="s">
        <v>86</v>
      </c>
      <c r="J22" s="156" t="s">
        <v>87</v>
      </c>
      <c r="K22" s="156" t="s">
        <v>119</v>
      </c>
      <c r="L22" s="157" t="s">
        <v>62</v>
      </c>
      <c r="M22" s="2"/>
      <c r="N22" s="2"/>
      <c r="O22" s="141">
        <f t="shared" si="2"/>
        <v>-7.2629636960976421E-2</v>
      </c>
      <c r="P22" s="185">
        <f t="shared" si="3"/>
        <v>0.11452789095975124</v>
      </c>
      <c r="Q22" s="141">
        <f t="shared" si="4"/>
        <v>5.6899719057894416</v>
      </c>
      <c r="R22" s="141">
        <f t="shared" si="5"/>
        <v>5.5754440148296904</v>
      </c>
      <c r="S22" s="141">
        <f t="shared" si="6"/>
        <v>5.8044997967491927</v>
      </c>
      <c r="T22" s="48">
        <f t="shared" si="7"/>
        <v>489747.13693912618</v>
      </c>
      <c r="U22" s="142">
        <f t="shared" si="12"/>
        <v>0.84600000000000009</v>
      </c>
      <c r="V22" s="48">
        <f t="shared" si="8"/>
        <v>376221.85015018616</v>
      </c>
      <c r="W22" s="142">
        <f t="shared" si="9"/>
        <v>0.84600000000000009</v>
      </c>
      <c r="X22" s="48">
        <f t="shared" si="10"/>
        <v>637528.78266991465</v>
      </c>
      <c r="Y22" s="142">
        <f t="shared" si="11"/>
        <v>0.84600000000000009</v>
      </c>
      <c r="Z22" s="2" t="s">
        <v>88</v>
      </c>
      <c r="AA22" s="2"/>
      <c r="AB22" s="2"/>
      <c r="AC22" s="2"/>
      <c r="AD22" s="2"/>
      <c r="AE22" s="2"/>
      <c r="AF22" s="2"/>
      <c r="AG22" s="2"/>
      <c r="AH22" s="2"/>
    </row>
    <row r="23" spans="1:34" ht="13.5" thickBot="1" x14ac:dyDescent="0.25">
      <c r="A23" s="49"/>
      <c r="B23" s="48"/>
      <c r="C23" s="49"/>
      <c r="D23" s="49"/>
      <c r="E23" s="49"/>
      <c r="F23" s="49"/>
      <c r="G23" s="2"/>
      <c r="H23" s="140" t="s">
        <v>89</v>
      </c>
      <c r="I23" s="158">
        <f>+I9^2/I7</f>
        <v>3.2042447831422529</v>
      </c>
      <c r="J23" s="2">
        <v>1</v>
      </c>
      <c r="K23" s="49">
        <f>+I23/1</f>
        <v>3.2042447831422529</v>
      </c>
      <c r="L23" s="146">
        <f>+K23/K24</f>
        <v>691.90519813302478</v>
      </c>
      <c r="M23" s="2"/>
      <c r="N23" s="2"/>
      <c r="O23" s="141">
        <f t="shared" si="2"/>
        <v>-6.9407511557401672E-2</v>
      </c>
      <c r="P23" s="185">
        <f t="shared" si="3"/>
        <v>0.11233157640108098</v>
      </c>
      <c r="Q23" s="141">
        <f t="shared" si="4"/>
        <v>5.6632760065919747</v>
      </c>
      <c r="R23" s="141">
        <f t="shared" si="5"/>
        <v>5.5509444301908939</v>
      </c>
      <c r="S23" s="141">
        <f t="shared" si="6"/>
        <v>5.7756075829930555</v>
      </c>
      <c r="T23" s="48">
        <f t="shared" si="7"/>
        <v>460549.17279452196</v>
      </c>
      <c r="U23" s="142">
        <f t="shared" si="12"/>
        <v>0.85230000000000017</v>
      </c>
      <c r="V23" s="48">
        <f t="shared" si="8"/>
        <v>355585.81695424375</v>
      </c>
      <c r="W23" s="142">
        <f t="shared" si="9"/>
        <v>0.85230000000000017</v>
      </c>
      <c r="X23" s="48">
        <f t="shared" si="10"/>
        <v>596496.06494010263</v>
      </c>
      <c r="Y23" s="142">
        <f t="shared" si="11"/>
        <v>0.85230000000000017</v>
      </c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">
      <c r="A24" s="49"/>
      <c r="B24" s="48"/>
      <c r="C24" s="49"/>
      <c r="D24" s="49"/>
      <c r="E24" s="49"/>
      <c r="F24" s="49"/>
      <c r="G24" s="2"/>
      <c r="H24" s="140" t="s">
        <v>67</v>
      </c>
      <c r="I24" s="159">
        <f>+I8-I23</f>
        <v>2.3155229876782979E-2</v>
      </c>
      <c r="J24" s="160">
        <f>+I1-2</f>
        <v>5</v>
      </c>
      <c r="K24" s="161">
        <f>+I24/($I$1-2)</f>
        <v>4.6310459753565961E-3</v>
      </c>
      <c r="L24" s="162"/>
      <c r="M24" s="2"/>
      <c r="N24" s="2"/>
      <c r="O24" s="141">
        <f t="shared" si="2"/>
        <v>-6.620911585658E-2</v>
      </c>
      <c r="P24" s="185">
        <f t="shared" si="3"/>
        <v>0.11021519845678937</v>
      </c>
      <c r="Q24" s="141">
        <f t="shared" si="4"/>
        <v>5.6367767123286239</v>
      </c>
      <c r="R24" s="141">
        <f t="shared" si="5"/>
        <v>5.5265615138718349</v>
      </c>
      <c r="S24" s="141">
        <f t="shared" si="6"/>
        <v>5.7469919107854128</v>
      </c>
      <c r="T24" s="48">
        <f t="shared" si="7"/>
        <v>433288.0508842225</v>
      </c>
      <c r="U24" s="142">
        <f t="shared" si="12"/>
        <v>0.85860000000000003</v>
      </c>
      <c r="V24" s="48">
        <f t="shared" si="8"/>
        <v>336171.98138521361</v>
      </c>
      <c r="W24" s="142">
        <f t="shared" si="9"/>
        <v>0.85860000000000003</v>
      </c>
      <c r="X24" s="48">
        <f t="shared" si="10"/>
        <v>558459.79270926293</v>
      </c>
      <c r="Y24" s="142">
        <f t="shared" si="11"/>
        <v>0.85860000000000003</v>
      </c>
      <c r="Z24" s="151" t="s">
        <v>90</v>
      </c>
      <c r="AA24" s="151" t="s">
        <v>91</v>
      </c>
      <c r="AB24" s="151" t="s">
        <v>92</v>
      </c>
      <c r="AC24" s="151" t="s">
        <v>93</v>
      </c>
      <c r="AD24" s="2"/>
      <c r="AE24" s="2"/>
      <c r="AF24" s="2"/>
      <c r="AG24" s="2"/>
      <c r="AH24" s="2"/>
    </row>
    <row r="25" spans="1:34" ht="13.5" thickBot="1" x14ac:dyDescent="0.25">
      <c r="A25" s="49"/>
      <c r="B25" s="48"/>
      <c r="C25" s="49"/>
      <c r="D25" s="49"/>
      <c r="E25" s="49"/>
      <c r="F25" s="49"/>
      <c r="G25" s="2"/>
      <c r="H25" s="152" t="s">
        <v>69</v>
      </c>
      <c r="I25" s="163">
        <f>SUM(I23:I24)</f>
        <v>3.2274000130190359</v>
      </c>
      <c r="J25" s="164">
        <f>SUM(J23:J24)</f>
        <v>6</v>
      </c>
      <c r="K25" s="147"/>
      <c r="L25" s="149"/>
      <c r="M25" s="2"/>
      <c r="N25" s="2"/>
      <c r="O25" s="141">
        <f t="shared" si="2"/>
        <v>-6.3034102892129712E-2</v>
      </c>
      <c r="P25" s="185">
        <f t="shared" si="3"/>
        <v>0.10818081203774044</v>
      </c>
      <c r="Q25" s="141">
        <f t="shared" si="4"/>
        <v>5.610471148319359</v>
      </c>
      <c r="R25" s="141">
        <f t="shared" si="5"/>
        <v>5.5022903362816189</v>
      </c>
      <c r="S25" s="141">
        <f t="shared" si="6"/>
        <v>5.7186519603570991</v>
      </c>
      <c r="T25" s="48">
        <f t="shared" si="7"/>
        <v>407822.4678178844</v>
      </c>
      <c r="U25" s="142">
        <f t="shared" si="12"/>
        <v>0.86490000000000011</v>
      </c>
      <c r="V25" s="48">
        <f t="shared" si="8"/>
        <v>317899.85972613381</v>
      </c>
      <c r="W25" s="142">
        <f t="shared" si="9"/>
        <v>0.86490000000000011</v>
      </c>
      <c r="X25" s="48">
        <f t="shared" si="10"/>
        <v>523180.99605439033</v>
      </c>
      <c r="Y25" s="142">
        <f t="shared" si="11"/>
        <v>0.86490000000000011</v>
      </c>
      <c r="Z25" s="2">
        <v>1</v>
      </c>
      <c r="AA25" s="2">
        <v>64.96200857307025</v>
      </c>
      <c r="AB25" s="2">
        <v>0.47441169590722154</v>
      </c>
      <c r="AC25" s="2">
        <v>0.1032033599178334</v>
      </c>
      <c r="AD25" s="2"/>
      <c r="AE25" s="2"/>
      <c r="AF25" s="2"/>
      <c r="AG25" s="2"/>
      <c r="AH25" s="2"/>
    </row>
    <row r="26" spans="1:34" x14ac:dyDescent="0.2">
      <c r="A26" s="49"/>
      <c r="B26" s="48"/>
      <c r="C26" s="49"/>
      <c r="D26" s="49"/>
      <c r="E26" s="49"/>
      <c r="F26" s="49"/>
      <c r="G26" s="2"/>
      <c r="H26" s="2"/>
      <c r="I26" s="2"/>
      <c r="J26" s="2"/>
      <c r="K26" s="2"/>
      <c r="L26" s="2"/>
      <c r="M26" s="2"/>
      <c r="N26" s="2"/>
      <c r="O26" s="141">
        <f t="shared" si="2"/>
        <v>-5.9882133252281415E-2</v>
      </c>
      <c r="P26" s="185">
        <f t="shared" si="3"/>
        <v>0.10623051290870525</v>
      </c>
      <c r="Q26" s="141">
        <f t="shared" si="4"/>
        <v>5.5843565024754973</v>
      </c>
      <c r="R26" s="141">
        <f t="shared" si="5"/>
        <v>5.4781259895667924</v>
      </c>
      <c r="S26" s="141">
        <f t="shared" si="6"/>
        <v>5.6905870153842022</v>
      </c>
      <c r="T26" s="48">
        <f t="shared" si="7"/>
        <v>384022.35136839456</v>
      </c>
      <c r="U26" s="142">
        <f t="shared" si="12"/>
        <v>0.87120000000000009</v>
      </c>
      <c r="V26" s="48">
        <f t="shared" si="8"/>
        <v>300694.84969754663</v>
      </c>
      <c r="W26" s="142">
        <f t="shared" si="9"/>
        <v>0.87120000000000009</v>
      </c>
      <c r="X26" s="48">
        <f t="shared" si="10"/>
        <v>490441.27792293846</v>
      </c>
      <c r="Y26" s="142">
        <f t="shared" si="11"/>
        <v>0.87120000000000009</v>
      </c>
      <c r="Z26" s="2">
        <v>2</v>
      </c>
      <c r="AA26" s="2">
        <v>84.735375375576723</v>
      </c>
      <c r="AB26" s="2">
        <v>8.1224337994435558</v>
      </c>
      <c r="AC26" s="2">
        <v>1.7669515023438278</v>
      </c>
      <c r="AD26" s="2"/>
      <c r="AE26" s="2"/>
      <c r="AF26" s="2"/>
      <c r="AG26" s="2"/>
      <c r="AH26" s="2"/>
    </row>
    <row r="27" spans="1:34" x14ac:dyDescent="0.2">
      <c r="A27" s="49"/>
      <c r="B27" s="48"/>
      <c r="C27" s="49"/>
      <c r="D27" s="49"/>
      <c r="E27" s="49"/>
      <c r="F27" s="49"/>
      <c r="G27" s="2"/>
      <c r="H27" s="2"/>
      <c r="I27" s="2"/>
      <c r="J27" s="2"/>
      <c r="K27" s="2"/>
      <c r="L27" s="2"/>
      <c r="M27" s="2"/>
      <c r="N27" s="2"/>
      <c r="O27" s="141">
        <f t="shared" si="2"/>
        <v>-5.6752874862138279E-2</v>
      </c>
      <c r="P27" s="185">
        <f t="shared" si="3"/>
        <v>0.10436642267630089</v>
      </c>
      <c r="Q27" s="141">
        <f t="shared" si="4"/>
        <v>5.5584300234956894</v>
      </c>
      <c r="R27" s="141">
        <f t="shared" si="5"/>
        <v>5.4540636008193886</v>
      </c>
      <c r="S27" s="141">
        <f t="shared" si="6"/>
        <v>5.6627964461719902</v>
      </c>
      <c r="T27" s="48">
        <f t="shared" si="7"/>
        <v>361767.89551260171</v>
      </c>
      <c r="U27" s="142">
        <f t="shared" si="12"/>
        <v>0.87749999999999995</v>
      </c>
      <c r="V27" s="48">
        <f t="shared" si="8"/>
        <v>284487.76987520751</v>
      </c>
      <c r="W27" s="142">
        <f t="shared" si="9"/>
        <v>0.87749999999999995</v>
      </c>
      <c r="X27" s="48">
        <f t="shared" si="10"/>
        <v>460040.90186733281</v>
      </c>
      <c r="Y27" s="142">
        <f t="shared" si="11"/>
        <v>0.87749999999999995</v>
      </c>
      <c r="Z27" s="2">
        <v>3</v>
      </c>
      <c r="AA27" s="2">
        <v>72.398960486332342</v>
      </c>
      <c r="AB27" s="2">
        <v>-3.7728515527469852</v>
      </c>
      <c r="AC27" s="2">
        <v>-0.82074485109416684</v>
      </c>
      <c r="AD27" s="2"/>
      <c r="AE27" s="2"/>
      <c r="AF27" s="2"/>
      <c r="AG27" s="2"/>
      <c r="AH27" s="2"/>
    </row>
    <row r="28" spans="1:34" x14ac:dyDescent="0.2">
      <c r="A28" s="49"/>
      <c r="B28" s="48"/>
      <c r="C28" s="49"/>
      <c r="D28" s="49"/>
      <c r="E28" s="49"/>
      <c r="F28" s="49"/>
      <c r="G28" s="2"/>
      <c r="H28" s="2"/>
      <c r="I28" s="49"/>
      <c r="J28" s="2"/>
      <c r="K28" s="2"/>
      <c r="L28" s="2"/>
      <c r="M28" s="2"/>
      <c r="N28" s="2"/>
      <c r="O28" s="141">
        <f t="shared" si="2"/>
        <v>-5.3646002773725388E-2</v>
      </c>
      <c r="P28" s="185">
        <f t="shared" si="3"/>
        <v>0.10259067137064276</v>
      </c>
      <c r="Q28" s="141">
        <f t="shared" si="4"/>
        <v>5.5326890191264386</v>
      </c>
      <c r="R28" s="141">
        <f t="shared" si="5"/>
        <v>5.4300983477557958</v>
      </c>
      <c r="S28" s="141">
        <f t="shared" si="6"/>
        <v>5.6352796904970814</v>
      </c>
      <c r="T28" s="48">
        <f t="shared" si="7"/>
        <v>340948.68450273824</v>
      </c>
      <c r="U28" s="142">
        <f t="shared" si="12"/>
        <v>0.88380000000000003</v>
      </c>
      <c r="V28" s="48">
        <f t="shared" si="8"/>
        <v>269214.43819732178</v>
      </c>
      <c r="W28" s="142">
        <f t="shared" si="9"/>
        <v>0.88380000000000003</v>
      </c>
      <c r="X28" s="48">
        <f t="shared" si="10"/>
        <v>431797.06943854457</v>
      </c>
      <c r="Y28" s="142">
        <f t="shared" si="11"/>
        <v>0.88380000000000003</v>
      </c>
      <c r="Z28" s="2">
        <v>4</v>
      </c>
      <c r="AA28" s="2">
        <v>83.967989608254186</v>
      </c>
      <c r="AB28" s="2">
        <v>3.5389412932821216</v>
      </c>
      <c r="AC28" s="2">
        <v>0.76986009234077568</v>
      </c>
      <c r="AD28" s="2"/>
      <c r="AE28" s="2"/>
      <c r="AF28" s="2"/>
      <c r="AG28" s="2"/>
      <c r="AH28" s="2"/>
    </row>
    <row r="29" spans="1:34" x14ac:dyDescent="0.2">
      <c r="A29" s="49"/>
      <c r="B29" s="48"/>
      <c r="C29" s="49"/>
      <c r="D29" s="49"/>
      <c r="E29" s="49"/>
      <c r="F29" s="49"/>
      <c r="G29" s="2"/>
      <c r="H29" s="2" t="s">
        <v>94</v>
      </c>
      <c r="I29" s="165">
        <f>10^$I$13</f>
        <v>122524.25183363975</v>
      </c>
      <c r="J29" s="2" t="s">
        <v>95</v>
      </c>
      <c r="K29" s="2" t="s">
        <v>96</v>
      </c>
      <c r="L29" s="135">
        <f>+I12</f>
        <v>-8.2851831799745863</v>
      </c>
      <c r="M29" s="2"/>
      <c r="N29" s="2"/>
      <c r="O29" s="141">
        <f t="shared" si="2"/>
        <v>-5.0561198963495667E-2</v>
      </c>
      <c r="P29" s="185">
        <f t="shared" si="3"/>
        <v>0.10090537758775371</v>
      </c>
      <c r="Q29" s="141">
        <f t="shared" si="4"/>
        <v>5.5071308544844015</v>
      </c>
      <c r="R29" s="141">
        <f t="shared" si="5"/>
        <v>5.4062254768966476</v>
      </c>
      <c r="S29" s="141">
        <f t="shared" si="6"/>
        <v>5.6080362320721555</v>
      </c>
      <c r="T29" s="48">
        <f t="shared" si="7"/>
        <v>321462.89719709114</v>
      </c>
      <c r="U29" s="142">
        <f t="shared" si="12"/>
        <v>0.89010000000000011</v>
      </c>
      <c r="V29" s="48">
        <f t="shared" si="8"/>
        <v>254815.28585614453</v>
      </c>
      <c r="W29" s="142">
        <f t="shared" si="9"/>
        <v>0.89010000000000011</v>
      </c>
      <c r="X29" s="48">
        <f t="shared" si="10"/>
        <v>405542.36739426578</v>
      </c>
      <c r="Y29" s="142">
        <f t="shared" si="11"/>
        <v>0.89010000000000011</v>
      </c>
      <c r="Z29" s="2">
        <v>5</v>
      </c>
      <c r="AA29" s="2">
        <v>80.249513651623147</v>
      </c>
      <c r="AB29" s="2">
        <v>-3.074627132090697</v>
      </c>
      <c r="AC29" s="2">
        <v>-0.66885334671080132</v>
      </c>
      <c r="AD29" s="2"/>
      <c r="AE29" s="2"/>
      <c r="AF29" s="2"/>
      <c r="AG29" s="2"/>
      <c r="AH29" s="2"/>
    </row>
    <row r="30" spans="1:34" ht="15.75" x14ac:dyDescent="0.2">
      <c r="A30" s="136"/>
      <c r="B30" s="136"/>
      <c r="C30" s="1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1">
        <f t="shared" si="2"/>
        <v>-4.7498152136976356E-2</v>
      </c>
      <c r="P30" s="185">
        <f t="shared" si="3"/>
        <v>9.9312626236465293E-2</v>
      </c>
      <c r="Q30" s="141">
        <f t="shared" si="4"/>
        <v>5.4817529504378495</v>
      </c>
      <c r="R30" s="141">
        <f t="shared" si="5"/>
        <v>5.3824403242013839</v>
      </c>
      <c r="S30" s="141">
        <f t="shared" si="6"/>
        <v>5.5810655766743151</v>
      </c>
      <c r="T30" s="48">
        <f t="shared" si="7"/>
        <v>303216.58379679924</v>
      </c>
      <c r="U30" s="142">
        <f t="shared" si="12"/>
        <v>0.89640000000000009</v>
      </c>
      <c r="V30" s="48">
        <f t="shared" si="8"/>
        <v>241235.00321656358</v>
      </c>
      <c r="W30" s="142">
        <f t="shared" si="9"/>
        <v>0.89640000000000009</v>
      </c>
      <c r="X30" s="48">
        <f t="shared" si="10"/>
        <v>381123.36710466485</v>
      </c>
      <c r="Y30" s="142">
        <f t="shared" si="11"/>
        <v>0.89640000000000009</v>
      </c>
      <c r="Z30" s="2">
        <v>6</v>
      </c>
      <c r="AA30" s="2">
        <v>78.183475047293271</v>
      </c>
      <c r="AB30" s="2">
        <v>-4.5407034997025164</v>
      </c>
      <c r="AC30" s="2">
        <v>-0.98778310400595504</v>
      </c>
      <c r="AD30" s="2"/>
      <c r="AE30" s="2"/>
      <c r="AF30" s="2"/>
      <c r="AG30" s="2"/>
      <c r="AH30" s="2"/>
    </row>
    <row r="31" spans="1:34" ht="16.5" thickBot="1" x14ac:dyDescent="0.25">
      <c r="A31" s="136"/>
      <c r="B31" s="136"/>
      <c r="C31" s="14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1">
        <f t="shared" si="2"/>
        <v>-4.4456557540256979E-2</v>
      </c>
      <c r="P31" s="185">
        <f t="shared" si="3"/>
        <v>9.7814444026246186E-2</v>
      </c>
      <c r="Q31" s="141">
        <f t="shared" si="4"/>
        <v>5.4565527820448079</v>
      </c>
      <c r="R31" s="141">
        <f t="shared" si="5"/>
        <v>5.3587383380185614</v>
      </c>
      <c r="S31" s="141">
        <f t="shared" si="6"/>
        <v>5.5543672260710544</v>
      </c>
      <c r="T31" s="48">
        <f t="shared" si="7"/>
        <v>286123.00795223669</v>
      </c>
      <c r="U31" s="142">
        <f t="shared" si="12"/>
        <v>0.90270000000000017</v>
      </c>
      <c r="V31" s="48">
        <f t="shared" si="8"/>
        <v>228422.21471912085</v>
      </c>
      <c r="W31" s="142">
        <f t="shared" si="9"/>
        <v>0.90270000000000017</v>
      </c>
      <c r="X31" s="48">
        <f t="shared" si="10"/>
        <v>358399.36050135316</v>
      </c>
      <c r="Y31" s="142">
        <f t="shared" si="11"/>
        <v>0.90270000000000017</v>
      </c>
      <c r="Z31" s="2">
        <v>7</v>
      </c>
      <c r="AA31" s="2">
        <v>58.292048895967945</v>
      </c>
      <c r="AB31" s="2">
        <v>5.5384635753090379</v>
      </c>
      <c r="AC31" s="2">
        <v>1.2048354934870995</v>
      </c>
      <c r="AD31" s="2"/>
      <c r="AE31" s="2"/>
      <c r="AF31" s="2"/>
      <c r="AG31" s="2"/>
      <c r="AH31" s="2"/>
    </row>
    <row r="32" spans="1:34" ht="16.5" thickBot="1" x14ac:dyDescent="0.25">
      <c r="A32" s="136"/>
      <c r="B32" s="136"/>
      <c r="C32" s="142"/>
      <c r="D32" s="2"/>
      <c r="E32" s="2"/>
      <c r="F32" s="2"/>
      <c r="G32" s="2"/>
      <c r="H32" s="153" t="s">
        <v>33</v>
      </c>
      <c r="I32" s="166" t="s">
        <v>97</v>
      </c>
      <c r="J32" s="166" t="s">
        <v>98</v>
      </c>
      <c r="K32" s="166"/>
      <c r="L32" s="167">
        <v>0.95</v>
      </c>
      <c r="M32" s="2"/>
      <c r="N32" s="2"/>
      <c r="O32" s="141">
        <f t="shared" si="2"/>
        <v>-4.1436116778032536E-2</v>
      </c>
      <c r="P32" s="185">
        <f t="shared" si="3"/>
        <v>9.6412772939404701E-2</v>
      </c>
      <c r="Q32" s="141">
        <f t="shared" si="4"/>
        <v>5.4315278770455171</v>
      </c>
      <c r="R32" s="141">
        <f t="shared" si="5"/>
        <v>5.3351151041061122</v>
      </c>
      <c r="S32" s="141">
        <f t="shared" si="6"/>
        <v>5.527940649984922</v>
      </c>
      <c r="T32" s="48">
        <f t="shared" si="7"/>
        <v>270102.04792916472</v>
      </c>
      <c r="U32" s="142">
        <f t="shared" si="12"/>
        <v>0.90899999999999992</v>
      </c>
      <c r="V32" s="48">
        <f t="shared" si="8"/>
        <v>216329.18001203384</v>
      </c>
      <c r="W32" s="142">
        <f t="shared" si="9"/>
        <v>0.90899999999999992</v>
      </c>
      <c r="X32" s="48">
        <f t="shared" si="10"/>
        <v>337241.21864406182</v>
      </c>
      <c r="Y32" s="142">
        <f t="shared" si="11"/>
        <v>0.90899999999999992</v>
      </c>
      <c r="Z32" s="2">
        <v>8</v>
      </c>
      <c r="AA32" s="2">
        <v>76.17685964853554</v>
      </c>
      <c r="AB32" s="2">
        <v>-1.6616650429208448</v>
      </c>
      <c r="AC32" s="2">
        <v>-0.36147805158871843</v>
      </c>
      <c r="AD32" s="2"/>
      <c r="AE32" s="2"/>
      <c r="AF32" s="2"/>
      <c r="AG32" s="2"/>
      <c r="AH32" s="2"/>
    </row>
    <row r="33" spans="1:34" ht="15.75" x14ac:dyDescent="0.2">
      <c r="A33" s="136"/>
      <c r="B33" s="136"/>
      <c r="C33" s="142"/>
      <c r="D33" s="2"/>
      <c r="E33" s="2"/>
      <c r="F33" s="2"/>
      <c r="G33" s="2"/>
      <c r="H33" s="140">
        <v>1</v>
      </c>
      <c r="I33" s="2">
        <v>12.706</v>
      </c>
      <c r="J33" s="2">
        <v>199.5</v>
      </c>
      <c r="K33" s="2"/>
      <c r="L33" s="145"/>
      <c r="M33" s="2"/>
      <c r="N33" s="2"/>
      <c r="O33" s="141">
        <f t="shared" si="2"/>
        <v>-3.8436537637930472E-2</v>
      </c>
      <c r="P33" s="185">
        <f t="shared" si="3"/>
        <v>9.5109442049063644E-2</v>
      </c>
      <c r="Q33" s="141">
        <f t="shared" si="4"/>
        <v>5.40667581440694</v>
      </c>
      <c r="R33" s="141">
        <f t="shared" si="5"/>
        <v>5.3115663723578761</v>
      </c>
      <c r="S33" s="141">
        <f t="shared" si="6"/>
        <v>5.5017852564560039</v>
      </c>
      <c r="T33" s="48">
        <f t="shared" si="7"/>
        <v>255079.65117212862</v>
      </c>
      <c r="U33" s="142">
        <f t="shared" si="12"/>
        <v>0.91530000000000011</v>
      </c>
      <c r="V33" s="48">
        <f t="shared" si="8"/>
        <v>204911.5188208491</v>
      </c>
      <c r="W33" s="142">
        <f t="shared" si="9"/>
        <v>0.91530000000000011</v>
      </c>
      <c r="X33" s="48">
        <f t="shared" si="10"/>
        <v>317530.3605015034</v>
      </c>
      <c r="Y33" s="142">
        <f t="shared" si="11"/>
        <v>0.91530000000000011</v>
      </c>
      <c r="Z33" s="2">
        <v>9</v>
      </c>
      <c r="AA33" s="2">
        <v>66.37832722773372</v>
      </c>
      <c r="AB33" s="2">
        <v>1.0806764711593644</v>
      </c>
      <c r="AC33" s="2">
        <v>0.23508999413371393</v>
      </c>
      <c r="AD33" s="2"/>
      <c r="AE33" s="2"/>
      <c r="AF33" s="2"/>
      <c r="AG33" s="2"/>
      <c r="AH33" s="2"/>
    </row>
    <row r="34" spans="1:34" ht="16.5" thickBot="1" x14ac:dyDescent="0.25">
      <c r="A34" s="136"/>
      <c r="B34" s="136"/>
      <c r="C34" s="142"/>
      <c r="D34" s="2"/>
      <c r="E34" s="2"/>
      <c r="F34" s="2"/>
      <c r="G34" s="2"/>
      <c r="H34" s="140">
        <v>2</v>
      </c>
      <c r="I34" s="2">
        <v>4.3029999999999999</v>
      </c>
      <c r="J34" s="2">
        <v>19</v>
      </c>
      <c r="K34" s="2"/>
      <c r="L34" s="145"/>
      <c r="M34" s="2"/>
      <c r="N34" s="2"/>
      <c r="O34" s="141">
        <f t="shared" si="2"/>
        <v>-3.5457533920863135E-2</v>
      </c>
      <c r="P34" s="185">
        <f t="shared" ref="P34:P65" si="21">SQRT(2*$I$16*$K$24)*SQRT((1/$I$1)+((O34-$I$10)^2/$I$7))</f>
        <v>9.3906138167955996E-2</v>
      </c>
      <c r="Q34" s="141">
        <f t="shared" si="4"/>
        <v>5.3819942229172124</v>
      </c>
      <c r="R34" s="141">
        <f t="shared" si="5"/>
        <v>5.2880880847492566</v>
      </c>
      <c r="S34" s="141">
        <f t="shared" si="6"/>
        <v>5.4759003610851682</v>
      </c>
      <c r="T34" s="48">
        <f t="shared" si="7"/>
        <v>240987.33717962744</v>
      </c>
      <c r="U34" s="142">
        <f t="shared" si="12"/>
        <v>0.92159999999999997</v>
      </c>
      <c r="V34" s="48">
        <f t="shared" si="8"/>
        <v>194127.95730959182</v>
      </c>
      <c r="W34" s="142">
        <f t="shared" si="9"/>
        <v>0.92159999999999997</v>
      </c>
      <c r="X34" s="48">
        <f t="shared" si="10"/>
        <v>299157.82088156807</v>
      </c>
      <c r="Y34" s="142">
        <f t="shared" si="11"/>
        <v>0.92159999999999997</v>
      </c>
      <c r="Z34" s="147">
        <v>10</v>
      </c>
      <c r="AA34" s="147">
        <v>71.750027598991394</v>
      </c>
      <c r="AB34" s="147">
        <v>-5.705079607640414</v>
      </c>
      <c r="AC34" s="147">
        <v>-1.2410810888236428</v>
      </c>
      <c r="AD34" s="2"/>
      <c r="AE34" s="2"/>
      <c r="AF34" s="2"/>
      <c r="AG34" s="2"/>
      <c r="AH34" s="2"/>
    </row>
    <row r="35" spans="1:34" ht="15.75" x14ac:dyDescent="0.2">
      <c r="A35" s="136"/>
      <c r="B35" s="136"/>
      <c r="C35" s="142"/>
      <c r="D35" s="2"/>
      <c r="E35" s="2"/>
      <c r="F35" s="2"/>
      <c r="G35" s="2"/>
      <c r="H35" s="140">
        <v>3</v>
      </c>
      <c r="I35" s="2">
        <v>3.1819999999999999</v>
      </c>
      <c r="J35" s="2">
        <v>9.5500000000000007</v>
      </c>
      <c r="K35" s="2"/>
      <c r="L35" s="145"/>
      <c r="M35" s="2"/>
      <c r="N35" s="2"/>
      <c r="O35" s="141">
        <f t="shared" si="2"/>
        <v>-3.2498825277158548E-2</v>
      </c>
      <c r="P35" s="185">
        <f t="shared" si="21"/>
        <v>9.280437593533418E-2</v>
      </c>
      <c r="Q35" s="141">
        <f t="shared" si="4"/>
        <v>5.357480779827946</v>
      </c>
      <c r="R35" s="141">
        <f t="shared" si="5"/>
        <v>5.2646764038926115</v>
      </c>
      <c r="S35" s="141">
        <f t="shared" si="6"/>
        <v>5.4502851557632805</v>
      </c>
      <c r="T35" s="48">
        <f t="shared" si="7"/>
        <v>227761.74412033588</v>
      </c>
      <c r="U35" s="142">
        <f t="shared" si="12"/>
        <v>0.92790000000000006</v>
      </c>
      <c r="V35" s="48">
        <f t="shared" si="8"/>
        <v>183940.09391683366</v>
      </c>
      <c r="W35" s="142">
        <f t="shared" si="9"/>
        <v>0.92790000000000006</v>
      </c>
      <c r="X35" s="48">
        <f t="shared" si="10"/>
        <v>282023.40762200661</v>
      </c>
      <c r="Y35" s="142">
        <f t="shared" si="11"/>
        <v>0.92790000000000006</v>
      </c>
      <c r="Z35" s="2">
        <v>11</v>
      </c>
      <c r="AA35" s="2">
        <v>1.8219740757524479</v>
      </c>
      <c r="AB35" s="2">
        <v>-2.3572384393459211E-2</v>
      </c>
      <c r="AC35" s="2">
        <v>-2.1105589333618084</v>
      </c>
      <c r="AD35" s="2"/>
      <c r="AE35" s="2"/>
      <c r="AF35" s="2"/>
      <c r="AG35" s="2"/>
      <c r="AH35" s="2"/>
    </row>
    <row r="36" spans="1:34" ht="16.5" thickBot="1" x14ac:dyDescent="0.25">
      <c r="A36" s="136"/>
      <c r="B36" s="136"/>
      <c r="C36" s="142"/>
      <c r="D36" s="2"/>
      <c r="E36" s="2"/>
      <c r="F36" s="2"/>
      <c r="G36" s="2"/>
      <c r="H36" s="140">
        <v>4</v>
      </c>
      <c r="I36" s="2">
        <v>2.7764000000000002</v>
      </c>
      <c r="J36" s="2">
        <v>6.94</v>
      </c>
      <c r="K36" s="2"/>
      <c r="L36" s="145"/>
      <c r="M36" s="2"/>
      <c r="N36" s="2"/>
      <c r="O36" s="141">
        <f t="shared" si="2"/>
        <v>-2.9560137048236013E-2</v>
      </c>
      <c r="P36" s="185">
        <f t="shared" si="21"/>
        <v>9.1805468061396014E-2</v>
      </c>
      <c r="Q36" s="141">
        <f t="shared" si="4"/>
        <v>5.3331332095424875</v>
      </c>
      <c r="R36" s="141">
        <f t="shared" si="5"/>
        <v>5.2413277414810917</v>
      </c>
      <c r="S36" s="141">
        <f t="shared" si="6"/>
        <v>5.4249386776038833</v>
      </c>
      <c r="T36" s="48">
        <f t="shared" si="7"/>
        <v>215344.21507934763</v>
      </c>
      <c r="U36" s="142">
        <f t="shared" si="12"/>
        <v>0.93420000000000014</v>
      </c>
      <c r="V36" s="48">
        <f t="shared" si="8"/>
        <v>174312.18286670098</v>
      </c>
      <c r="W36" s="142">
        <f t="shared" si="9"/>
        <v>0.93420000000000014</v>
      </c>
      <c r="X36" s="48">
        <f t="shared" si="10"/>
        <v>266034.93918495945</v>
      </c>
      <c r="Y36" s="142">
        <f t="shared" si="11"/>
        <v>0.93420000000000014</v>
      </c>
      <c r="Z36" s="147">
        <v>12</v>
      </c>
      <c r="AA36" s="147">
        <v>1.7418458667896419</v>
      </c>
      <c r="AB36" s="147">
        <v>5.198026089093144E-3</v>
      </c>
      <c r="AC36" s="147">
        <v>0.46540647798138757</v>
      </c>
      <c r="AD36" s="2"/>
      <c r="AE36" s="2"/>
      <c r="AF36" s="2"/>
      <c r="AG36" s="2"/>
      <c r="AH36" s="2"/>
    </row>
    <row r="37" spans="1:34" ht="15.75" x14ac:dyDescent="0.2">
      <c r="A37" s="136"/>
      <c r="B37" s="136"/>
      <c r="C37" s="142"/>
      <c r="D37" s="2"/>
      <c r="E37" s="2"/>
      <c r="F37" s="2"/>
      <c r="G37" s="2"/>
      <c r="H37" s="140">
        <v>5</v>
      </c>
      <c r="I37" s="2">
        <v>2.5706000000000002</v>
      </c>
      <c r="J37" s="2">
        <v>5.79</v>
      </c>
      <c r="K37" s="2"/>
      <c r="L37" s="145"/>
      <c r="M37" s="2"/>
      <c r="N37" s="2"/>
      <c r="O37" s="141">
        <f t="shared" si="2"/>
        <v>-2.6641200113602267E-2</v>
      </c>
      <c r="P37" s="185">
        <f t="shared" si="21"/>
        <v>9.0910496540779262E-2</v>
      </c>
      <c r="Q37" s="141">
        <f t="shared" si="4"/>
        <v>5.3089492823482534</v>
      </c>
      <c r="R37" s="141">
        <f t="shared" si="5"/>
        <v>5.2180387858074742</v>
      </c>
      <c r="S37" s="141">
        <f t="shared" si="6"/>
        <v>5.3998597788890326</v>
      </c>
      <c r="T37" s="48">
        <f t="shared" si="7"/>
        <v>203680.42023408739</v>
      </c>
      <c r="U37" s="142">
        <f t="shared" si="12"/>
        <v>0.94050000000000022</v>
      </c>
      <c r="V37" s="48">
        <f t="shared" si="8"/>
        <v>165210.93375971288</v>
      </c>
      <c r="W37" s="142">
        <f t="shared" si="9"/>
        <v>0.94050000000000022</v>
      </c>
      <c r="X37" s="48">
        <f t="shared" si="10"/>
        <v>251107.55470380923</v>
      </c>
      <c r="Y37" s="142">
        <f t="shared" si="11"/>
        <v>0.94050000000000022</v>
      </c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142"/>
      <c r="B38" s="2"/>
      <c r="C38" s="142"/>
      <c r="D38" s="2"/>
      <c r="E38" s="2"/>
      <c r="F38" s="2"/>
      <c r="G38" s="2"/>
      <c r="H38" s="140">
        <v>6</v>
      </c>
      <c r="I38" s="2">
        <v>2.4468999999999999</v>
      </c>
      <c r="J38" s="2">
        <v>5.14</v>
      </c>
      <c r="K38" s="2"/>
      <c r="L38" s="145"/>
      <c r="M38" s="2"/>
      <c r="N38" s="2"/>
      <c r="O38" s="141">
        <f t="shared" si="2"/>
        <v>-2.3741750742954825E-2</v>
      </c>
      <c r="P38" s="185">
        <f t="shared" si="21"/>
        <v>9.0120285708769343E-2</v>
      </c>
      <c r="Q38" s="141">
        <f t="shared" si="4"/>
        <v>5.2849268131913769</v>
      </c>
      <c r="R38" s="141">
        <f t="shared" si="5"/>
        <v>5.1948065274826076</v>
      </c>
      <c r="S38" s="141">
        <f t="shared" si="6"/>
        <v>5.3750470989001462</v>
      </c>
      <c r="T38" s="48">
        <f t="shared" si="7"/>
        <v>192720.01162684441</v>
      </c>
      <c r="U38" s="142">
        <f t="shared" si="12"/>
        <v>0.9468000000000002</v>
      </c>
      <c r="V38" s="48">
        <f t="shared" si="8"/>
        <v>156605.32584214141</v>
      </c>
      <c r="W38" s="142">
        <f t="shared" si="9"/>
        <v>0.9468000000000002</v>
      </c>
      <c r="X38" s="48">
        <f t="shared" si="10"/>
        <v>237163.08932487527</v>
      </c>
      <c r="Y38" s="142">
        <f t="shared" si="11"/>
        <v>0.9468000000000002</v>
      </c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142"/>
      <c r="B39" s="2"/>
      <c r="C39" s="142"/>
      <c r="D39" s="2"/>
      <c r="E39" s="2"/>
      <c r="F39" s="2"/>
      <c r="G39" s="2"/>
      <c r="H39" s="140">
        <v>7</v>
      </c>
      <c r="I39" s="2">
        <v>2.3645999999999998</v>
      </c>
      <c r="J39" s="2">
        <v>4.74</v>
      </c>
      <c r="K39" s="2"/>
      <c r="L39" s="145"/>
      <c r="M39" s="2"/>
      <c r="N39" s="2"/>
      <c r="O39" s="141">
        <f t="shared" si="2"/>
        <v>-2.0861530453190096E-2</v>
      </c>
      <c r="P39" s="185">
        <f t="shared" si="21"/>
        <v>8.9435378036607921E-2</v>
      </c>
      <c r="Q39" s="141">
        <f t="shared" si="4"/>
        <v>5.2610636604919971</v>
      </c>
      <c r="R39" s="141">
        <f t="shared" si="5"/>
        <v>5.171628282455389</v>
      </c>
      <c r="S39" s="141">
        <f t="shared" si="6"/>
        <v>5.3504990385286053</v>
      </c>
      <c r="T39" s="48">
        <f t="shared" si="7"/>
        <v>182416.30752956713</v>
      </c>
      <c r="U39" s="142">
        <f t="shared" si="12"/>
        <v>0.95310000000000006</v>
      </c>
      <c r="V39" s="48">
        <f t="shared" si="8"/>
        <v>148466.43573450093</v>
      </c>
      <c r="W39" s="142">
        <f t="shared" si="9"/>
        <v>0.95310000000000006</v>
      </c>
      <c r="X39" s="48">
        <f t="shared" si="10"/>
        <v>224129.50838415613</v>
      </c>
      <c r="Y39" s="142">
        <f t="shared" si="11"/>
        <v>0.95310000000000006</v>
      </c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">
      <c r="A40" s="2"/>
      <c r="B40" s="2"/>
      <c r="C40" s="2"/>
      <c r="D40" s="2"/>
      <c r="E40" s="2"/>
      <c r="F40" s="2"/>
      <c r="G40" s="2"/>
      <c r="H40" s="140">
        <v>8</v>
      </c>
      <c r="I40" s="2">
        <v>2.306</v>
      </c>
      <c r="J40" s="2">
        <v>4.46</v>
      </c>
      <c r="K40" s="2"/>
      <c r="L40" s="145"/>
      <c r="M40" s="2"/>
      <c r="N40" s="2"/>
      <c r="O40" s="141">
        <f t="shared" si="2"/>
        <v>-1.8000285870121653E-2</v>
      </c>
      <c r="P40" s="185">
        <f t="shared" si="21"/>
        <v>8.8856013538401363E-2</v>
      </c>
      <c r="Q40" s="141">
        <f t="shared" si="4"/>
        <v>5.2373577249985646</v>
      </c>
      <c r="R40" s="141">
        <f t="shared" si="5"/>
        <v>5.1485017114601632</v>
      </c>
      <c r="S40" s="141">
        <f t="shared" si="6"/>
        <v>5.3262137385369659</v>
      </c>
      <c r="T40" s="48">
        <f t="shared" si="7"/>
        <v>172726.00369094822</v>
      </c>
      <c r="U40" s="142">
        <f t="shared" si="12"/>
        <v>0.95939999999999992</v>
      </c>
      <c r="V40" s="48">
        <f t="shared" si="8"/>
        <v>140767.27756837985</v>
      </c>
      <c r="W40" s="142">
        <f t="shared" si="9"/>
        <v>0.95939999999999992</v>
      </c>
      <c r="X40" s="48">
        <f t="shared" si="10"/>
        <v>211940.39457467705</v>
      </c>
      <c r="Y40" s="142">
        <f t="shared" si="11"/>
        <v>0.95939999999999992</v>
      </c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">
      <c r="A41" s="2"/>
      <c r="B41" s="2"/>
      <c r="C41" s="2"/>
      <c r="D41" s="2"/>
      <c r="E41" s="2"/>
      <c r="F41" s="2"/>
      <c r="G41" s="2"/>
      <c r="H41" s="140">
        <v>9</v>
      </c>
      <c r="I41" s="2">
        <v>2.2622</v>
      </c>
      <c r="J41" s="2">
        <v>4.26</v>
      </c>
      <c r="K41" s="2"/>
      <c r="L41" s="145"/>
      <c r="M41" s="2"/>
      <c r="N41" s="2"/>
      <c r="O41" s="141">
        <f t="shared" si="2"/>
        <v>-1.5157768594723991E-2</v>
      </c>
      <c r="P41" s="185">
        <f t="shared" si="21"/>
        <v>8.8382113587528968E-2</v>
      </c>
      <c r="Q41" s="141">
        <f t="shared" si="4"/>
        <v>5.213806948679653</v>
      </c>
      <c r="R41" s="141">
        <f t="shared" si="5"/>
        <v>5.1254248350921241</v>
      </c>
      <c r="S41" s="141">
        <f t="shared" si="6"/>
        <v>5.3021890622671819</v>
      </c>
      <c r="T41" s="48">
        <f t="shared" si="7"/>
        <v>163608.90901966771</v>
      </c>
      <c r="U41" s="142">
        <f t="shared" si="12"/>
        <v>0.96570000000000022</v>
      </c>
      <c r="V41" s="48">
        <f t="shared" si="8"/>
        <v>133482.65463382754</v>
      </c>
      <c r="W41" s="142">
        <f t="shared" si="9"/>
        <v>0.96570000000000022</v>
      </c>
      <c r="X41" s="48">
        <f t="shared" si="10"/>
        <v>200534.48280629469</v>
      </c>
      <c r="Y41" s="142">
        <f t="shared" si="11"/>
        <v>0.96570000000000022</v>
      </c>
      <c r="Z41" s="2"/>
      <c r="AA41" s="49"/>
      <c r="AB41" s="2"/>
      <c r="AC41" s="2"/>
      <c r="AD41" s="2"/>
      <c r="AE41" s="2"/>
      <c r="AF41" s="2"/>
      <c r="AG41" s="2"/>
      <c r="AH41" s="2"/>
    </row>
    <row r="42" spans="1:34" x14ac:dyDescent="0.2">
      <c r="A42" s="2"/>
      <c r="B42" s="2"/>
      <c r="C42" s="2"/>
      <c r="D42" s="2"/>
      <c r="E42" s="2"/>
      <c r="F42" s="2"/>
      <c r="G42" s="2"/>
      <c r="H42" s="140">
        <v>10</v>
      </c>
      <c r="I42" s="2">
        <v>2.2281</v>
      </c>
      <c r="J42" s="2">
        <v>4.0999999999999996</v>
      </c>
      <c r="K42" s="2"/>
      <c r="L42" s="145"/>
      <c r="M42" s="2"/>
      <c r="N42" s="2"/>
      <c r="O42" s="141">
        <f t="shared" si="2"/>
        <v>-1.2333735073725385E-2</v>
      </c>
      <c r="P42" s="185">
        <f t="shared" si="21"/>
        <v>8.8013269815215761E-2</v>
      </c>
      <c r="Q42" s="141">
        <f t="shared" si="4"/>
        <v>5.1904093136517906</v>
      </c>
      <c r="R42" s="141">
        <f t="shared" si="5"/>
        <v>5.102396043836575</v>
      </c>
      <c r="S42" s="141">
        <f t="shared" si="6"/>
        <v>5.2784225834670062</v>
      </c>
      <c r="T42" s="48">
        <f t="shared" si="7"/>
        <v>155027.70349431509</v>
      </c>
      <c r="U42" s="142">
        <f t="shared" si="12"/>
        <v>0.97199999999999998</v>
      </c>
      <c r="V42" s="48">
        <f t="shared" si="8"/>
        <v>126589.02177436669</v>
      </c>
      <c r="W42" s="142">
        <f t="shared" si="9"/>
        <v>0.97199999999999998</v>
      </c>
      <c r="X42" s="48">
        <f t="shared" si="10"/>
        <v>189855.23794913982</v>
      </c>
      <c r="Y42" s="142">
        <f t="shared" si="11"/>
        <v>0.97199999999999998</v>
      </c>
      <c r="Z42" s="49"/>
      <c r="AA42" s="49"/>
      <c r="AB42" s="2"/>
      <c r="AC42" s="2"/>
      <c r="AD42" s="2"/>
      <c r="AE42" s="2"/>
      <c r="AF42" s="2"/>
      <c r="AG42" s="2"/>
      <c r="AH42" s="2"/>
    </row>
    <row r="43" spans="1:34" x14ac:dyDescent="0.2">
      <c r="A43" s="2"/>
      <c r="B43" s="2"/>
      <c r="C43" s="2"/>
      <c r="D43" s="2"/>
      <c r="E43" s="2"/>
      <c r="F43" s="2"/>
      <c r="G43" s="2"/>
      <c r="H43" s="140">
        <v>11</v>
      </c>
      <c r="I43" s="2">
        <v>2.2010000000000001</v>
      </c>
      <c r="J43" s="2">
        <v>3.98</v>
      </c>
      <c r="K43" s="2"/>
      <c r="L43" s="145"/>
      <c r="M43" s="2"/>
      <c r="N43" s="2"/>
      <c r="O43" s="141">
        <f t="shared" si="2"/>
        <v>-9.5279464743805095E-3</v>
      </c>
      <c r="P43" s="185">
        <f t="shared" si="21"/>
        <v>8.7748738592827419E-2</v>
      </c>
      <c r="Q43" s="141">
        <f t="shared" si="4"/>
        <v>5.1671628411419341</v>
      </c>
      <c r="R43" s="141">
        <f t="shared" si="5"/>
        <v>5.0794141025491069</v>
      </c>
      <c r="S43" s="141">
        <f t="shared" si="6"/>
        <v>5.2549115797347614</v>
      </c>
      <c r="T43" s="48">
        <f t="shared" si="7"/>
        <v>146947.71630293335</v>
      </c>
      <c r="U43" s="142">
        <f t="shared" si="12"/>
        <v>0.97830000000000006</v>
      </c>
      <c r="V43" s="48">
        <f t="shared" si="8"/>
        <v>120064.35788099663</v>
      </c>
      <c r="W43" s="142">
        <f t="shared" si="9"/>
        <v>0.97830000000000006</v>
      </c>
      <c r="X43" s="48">
        <f t="shared" si="10"/>
        <v>179850.47109526172</v>
      </c>
      <c r="Y43" s="142">
        <f t="shared" si="11"/>
        <v>0.97830000000000006</v>
      </c>
      <c r="Z43" s="49"/>
      <c r="AA43" s="49"/>
      <c r="AB43" s="2"/>
      <c r="AC43" s="2"/>
      <c r="AD43" s="2"/>
      <c r="AE43" s="2"/>
      <c r="AF43" s="2"/>
      <c r="AG43" s="2"/>
      <c r="AH43" s="2"/>
    </row>
    <row r="44" spans="1:34" x14ac:dyDescent="0.2">
      <c r="A44" s="2"/>
      <c r="B44" s="2"/>
      <c r="C44" s="2"/>
      <c r="D44" s="2"/>
      <c r="E44" s="2"/>
      <c r="F44" s="2"/>
      <c r="G44" s="2"/>
      <c r="H44" s="140">
        <v>12</v>
      </c>
      <c r="I44" s="2">
        <v>2.1787999999999998</v>
      </c>
      <c r="J44" s="2">
        <v>2.89</v>
      </c>
      <c r="K44" s="2"/>
      <c r="L44" s="145"/>
      <c r="M44" s="2"/>
      <c r="N44" s="2"/>
      <c r="O44" s="141">
        <f t="shared" si="2"/>
        <v>-6.7401685632630937E-3</v>
      </c>
      <c r="P44" s="185">
        <f t="shared" si="21"/>
        <v>8.7587441391864695E-2</v>
      </c>
      <c r="Q44" s="141">
        <f t="shared" si="4"/>
        <v>5.1440655904832395</v>
      </c>
      <c r="R44" s="141">
        <f t="shared" si="5"/>
        <v>5.0564781490913751</v>
      </c>
      <c r="S44" s="141">
        <f t="shared" si="6"/>
        <v>5.231653031875104</v>
      </c>
      <c r="T44" s="48">
        <f t="shared" si="7"/>
        <v>139336.72240590394</v>
      </c>
      <c r="U44" s="142">
        <f t="shared" si="12"/>
        <v>0.98460000000000003</v>
      </c>
      <c r="V44" s="48">
        <f t="shared" si="8"/>
        <v>113888.04792840888</v>
      </c>
      <c r="W44" s="142">
        <f t="shared" si="9"/>
        <v>0.98460000000000003</v>
      </c>
      <c r="X44" s="48">
        <f t="shared" si="10"/>
        <v>170471.99037974744</v>
      </c>
      <c r="Y44" s="142">
        <f t="shared" si="11"/>
        <v>0.98460000000000003</v>
      </c>
      <c r="Z44" s="49"/>
      <c r="AA44" s="49"/>
      <c r="AB44" s="2"/>
      <c r="AC44" s="2"/>
      <c r="AD44" s="2"/>
      <c r="AE44" s="2"/>
      <c r="AF44" s="2"/>
      <c r="AG44" s="2"/>
      <c r="AH44" s="2"/>
    </row>
    <row r="45" spans="1:34" x14ac:dyDescent="0.2">
      <c r="A45" s="2"/>
      <c r="B45" s="2"/>
      <c r="C45" s="2"/>
      <c r="D45" s="2"/>
      <c r="E45" s="2"/>
      <c r="F45" s="2"/>
      <c r="G45" s="2"/>
      <c r="H45" s="140">
        <v>13</v>
      </c>
      <c r="I45" s="2">
        <v>2.1604000000000001</v>
      </c>
      <c r="J45" s="2">
        <v>3.81</v>
      </c>
      <c r="K45" s="2"/>
      <c r="L45" s="145"/>
      <c r="M45" s="2"/>
      <c r="N45" s="2"/>
      <c r="O45" s="141">
        <f t="shared" si="2"/>
        <v>-3.9701715889233005E-3</v>
      </c>
      <c r="P45" s="185">
        <f t="shared" si="21"/>
        <v>8.7527971084927464E-2</v>
      </c>
      <c r="Q45" s="141">
        <f t="shared" si="4"/>
        <v>5.121115658142859</v>
      </c>
      <c r="R45" s="141">
        <f t="shared" si="5"/>
        <v>5.0335876870579312</v>
      </c>
      <c r="S45" s="141">
        <f t="shared" si="6"/>
        <v>5.2086436292277867</v>
      </c>
      <c r="T45" s="48">
        <f t="shared" si="7"/>
        <v>132164.7558873996</v>
      </c>
      <c r="U45" s="142">
        <f t="shared" si="12"/>
        <v>0.99090000000000023</v>
      </c>
      <c r="V45" s="48">
        <f t="shared" si="8"/>
        <v>108040.77406522978</v>
      </c>
      <c r="W45" s="142">
        <f t="shared" si="9"/>
        <v>0.99090000000000023</v>
      </c>
      <c r="X45" s="48">
        <f t="shared" si="10"/>
        <v>161675.28278009087</v>
      </c>
      <c r="Y45" s="142">
        <f t="shared" si="11"/>
        <v>0.99090000000000023</v>
      </c>
      <c r="Z45" s="49"/>
      <c r="AA45" s="49"/>
      <c r="AB45" s="2"/>
      <c r="AC45" s="2"/>
      <c r="AD45" s="2"/>
      <c r="AE45" s="2"/>
      <c r="AF45" s="2"/>
      <c r="AG45" s="2"/>
      <c r="AH45" s="2"/>
    </row>
    <row r="46" spans="1:34" x14ac:dyDescent="0.2">
      <c r="A46" s="2"/>
      <c r="B46" s="2"/>
      <c r="C46" s="2"/>
      <c r="D46" s="2"/>
      <c r="E46" s="2"/>
      <c r="F46" s="2"/>
      <c r="G46" s="2"/>
      <c r="H46" s="140">
        <v>14</v>
      </c>
      <c r="I46" s="2">
        <v>2.1448</v>
      </c>
      <c r="J46" s="2">
        <v>3.74</v>
      </c>
      <c r="K46" s="2"/>
      <c r="L46" s="145"/>
      <c r="M46" s="2"/>
      <c r="N46" s="2"/>
      <c r="O46" s="141">
        <f t="shared" si="2"/>
        <v>-1.2177301682641437E-3</v>
      </c>
      <c r="P46" s="185">
        <f t="shared" si="21"/>
        <v>8.7568604013084403E-2</v>
      </c>
      <c r="Q46" s="141">
        <f t="shared" si="4"/>
        <v>5.0983111767805482</v>
      </c>
      <c r="R46" s="141">
        <f t="shared" si="5"/>
        <v>5.0107425727674642</v>
      </c>
      <c r="S46" s="141">
        <f t="shared" si="6"/>
        <v>5.1858797807936323</v>
      </c>
      <c r="T46" s="48">
        <f t="shared" si="7"/>
        <v>125403.93861487716</v>
      </c>
      <c r="U46" s="142">
        <f t="shared" si="12"/>
        <v>0.9972000000000002</v>
      </c>
      <c r="V46" s="48">
        <f t="shared" si="8"/>
        <v>102504.4153158456</v>
      </c>
      <c r="W46" s="142">
        <f t="shared" si="9"/>
        <v>0.9972000000000002</v>
      </c>
      <c r="X46" s="48">
        <f t="shared" si="10"/>
        <v>153419.22366628909</v>
      </c>
      <c r="Y46" s="142">
        <f t="shared" si="11"/>
        <v>0.9972000000000002</v>
      </c>
      <c r="Z46" s="2"/>
      <c r="AA46" s="2"/>
      <c r="AB46" s="2"/>
      <c r="AC46" s="2"/>
      <c r="AD46" s="2"/>
      <c r="AE46" s="2"/>
      <c r="AF46" s="2"/>
      <c r="AG46" s="2"/>
      <c r="AH46" s="2"/>
    </row>
    <row r="47" spans="1:34" x14ac:dyDescent="0.2">
      <c r="A47" s="2"/>
      <c r="B47" s="2"/>
      <c r="C47" s="2"/>
      <c r="D47" s="2"/>
      <c r="E47" s="2"/>
      <c r="F47" s="2"/>
      <c r="G47" s="2"/>
      <c r="H47" s="140">
        <v>15</v>
      </c>
      <c r="I47" s="2">
        <v>2.1315</v>
      </c>
      <c r="J47" s="2">
        <v>3.68</v>
      </c>
      <c r="K47" s="2"/>
      <c r="L47" s="145"/>
      <c r="M47" s="2"/>
      <c r="N47" s="2"/>
      <c r="O47" s="141">
        <f t="shared" si="2"/>
        <v>1.5173768235043782E-3</v>
      </c>
      <c r="P47" s="185">
        <f t="shared" si="21"/>
        <v>8.7707317417076491E-2</v>
      </c>
      <c r="Q47" s="141">
        <f t="shared" si="4"/>
        <v>5.0756503143369169</v>
      </c>
      <c r="R47" s="141">
        <f t="shared" si="5"/>
        <v>4.9879429969198403</v>
      </c>
      <c r="S47" s="141">
        <f t="shared" si="6"/>
        <v>5.1633576317539935</v>
      </c>
      <c r="T47" s="48">
        <f t="shared" si="7"/>
        <v>119028.32286492748</v>
      </c>
      <c r="U47" s="142">
        <f t="shared" si="12"/>
        <v>1.0035000000000001</v>
      </c>
      <c r="V47" s="48">
        <f t="shared" si="8"/>
        <v>97261.955476103496</v>
      </c>
      <c r="W47" s="142">
        <f t="shared" si="9"/>
        <v>1.0035000000000001</v>
      </c>
      <c r="X47" s="48">
        <f t="shared" si="10"/>
        <v>145665.81120732578</v>
      </c>
      <c r="Y47" s="142">
        <f t="shared" si="11"/>
        <v>1.0035000000000001</v>
      </c>
      <c r="Z47" s="49"/>
      <c r="AA47" s="2"/>
      <c r="AB47" s="2"/>
      <c r="AC47" s="2"/>
      <c r="AD47" s="2"/>
      <c r="AE47" s="2"/>
      <c r="AF47" s="2"/>
      <c r="AG47" s="2"/>
      <c r="AH47" s="2"/>
    </row>
    <row r="48" spans="1:34" x14ac:dyDescent="0.2">
      <c r="A48" s="2"/>
      <c r="B48" s="2"/>
      <c r="C48" s="2"/>
      <c r="D48" s="2"/>
      <c r="E48" s="2"/>
      <c r="F48" s="2"/>
      <c r="G48" s="2"/>
      <c r="H48" s="140">
        <v>16</v>
      </c>
      <c r="I48" s="2">
        <v>2.1198999999999999</v>
      </c>
      <c r="J48" s="2">
        <v>3.63</v>
      </c>
      <c r="K48" s="2"/>
      <c r="L48" s="145"/>
      <c r="M48" s="2"/>
      <c r="N48" s="2"/>
      <c r="O48" s="141">
        <f t="shared" si="2"/>
        <v>4.2353663594674896E-3</v>
      </c>
      <c r="P48" s="185">
        <f t="shared" si="21"/>
        <v>8.7941811627620881E-2</v>
      </c>
      <c r="Q48" s="141">
        <f t="shared" si="4"/>
        <v>5.0531312731502087</v>
      </c>
      <c r="R48" s="141">
        <f t="shared" si="5"/>
        <v>4.9651894615225878</v>
      </c>
      <c r="S48" s="141">
        <f t="shared" si="6"/>
        <v>5.1410730847778296</v>
      </c>
      <c r="T48" s="48">
        <f t="shared" si="7"/>
        <v>113013.74669885382</v>
      </c>
      <c r="U48" s="142">
        <f t="shared" si="12"/>
        <v>1.0098</v>
      </c>
      <c r="V48" s="48">
        <f t="shared" si="8"/>
        <v>92297.398792098378</v>
      </c>
      <c r="W48" s="142">
        <f t="shared" si="9"/>
        <v>1.0098</v>
      </c>
      <c r="X48" s="48">
        <f t="shared" si="10"/>
        <v>138379.92305375912</v>
      </c>
      <c r="Y48" s="142">
        <f t="shared" si="11"/>
        <v>1.0098</v>
      </c>
      <c r="Z48" s="49"/>
      <c r="AA48" s="2"/>
      <c r="AB48" s="2"/>
      <c r="AC48" s="2"/>
      <c r="AD48" s="2"/>
      <c r="AE48" s="2"/>
      <c r="AF48" s="2"/>
      <c r="AG48" s="2"/>
      <c r="AH48" s="2"/>
    </row>
    <row r="49" spans="1:34" x14ac:dyDescent="0.2">
      <c r="A49" s="2"/>
      <c r="B49" s="2"/>
      <c r="C49" s="2"/>
      <c r="D49" s="2"/>
      <c r="E49" s="2"/>
      <c r="F49" s="2"/>
      <c r="G49" s="2"/>
      <c r="H49" s="140">
        <v>17</v>
      </c>
      <c r="I49" s="2">
        <v>2.1097999999999999</v>
      </c>
      <c r="J49" s="2">
        <v>3.59</v>
      </c>
      <c r="K49" s="2"/>
      <c r="L49" s="145"/>
      <c r="M49" s="2"/>
      <c r="N49" s="2"/>
      <c r="O49" s="141">
        <f t="shared" si="2"/>
        <v>6.9364513642927372E-3</v>
      </c>
      <c r="P49" s="185">
        <f t="shared" si="21"/>
        <v>8.8269536247123803E-2</v>
      </c>
      <c r="Q49" s="141">
        <f t="shared" si="4"/>
        <v>5.0307522891005485</v>
      </c>
      <c r="R49" s="141">
        <f t="shared" si="5"/>
        <v>4.942482752853425</v>
      </c>
      <c r="S49" s="141">
        <f t="shared" si="6"/>
        <v>5.119021825347672</v>
      </c>
      <c r="T49" s="48">
        <f t="shared" si="7"/>
        <v>107337.70098405988</v>
      </c>
      <c r="U49" s="142">
        <f t="shared" si="12"/>
        <v>1.0161</v>
      </c>
      <c r="V49" s="48">
        <f t="shared" si="8"/>
        <v>87595.693004500266</v>
      </c>
      <c r="W49" s="142">
        <f t="shared" si="9"/>
        <v>1.0161</v>
      </c>
      <c r="X49" s="48">
        <f t="shared" si="10"/>
        <v>131529.09301090331</v>
      </c>
      <c r="Y49" s="142">
        <f t="shared" si="11"/>
        <v>1.0161</v>
      </c>
      <c r="Z49" s="49"/>
      <c r="AA49" s="2"/>
      <c r="AB49" s="2"/>
      <c r="AC49" s="2"/>
      <c r="AD49" s="2"/>
      <c r="AE49" s="2"/>
      <c r="AF49" s="2"/>
      <c r="AG49" s="2"/>
      <c r="AH49" s="2"/>
    </row>
    <row r="50" spans="1:34" x14ac:dyDescent="0.2">
      <c r="A50" s="2"/>
      <c r="B50" s="2"/>
      <c r="C50" s="2"/>
      <c r="D50" s="2"/>
      <c r="E50" s="2"/>
      <c r="F50" s="2"/>
      <c r="G50" s="2"/>
      <c r="H50" s="140">
        <v>18</v>
      </c>
      <c r="I50" s="2">
        <v>2.1009000000000002</v>
      </c>
      <c r="J50" s="2">
        <v>3.55</v>
      </c>
      <c r="K50" s="2"/>
      <c r="L50" s="145"/>
      <c r="M50" s="2"/>
      <c r="N50" s="2"/>
      <c r="O50" s="141">
        <f t="shared" si="2"/>
        <v>9.6208408143250261E-3</v>
      </c>
      <c r="P50" s="185">
        <f t="shared" si="21"/>
        <v>8.8687719440688761E-2</v>
      </c>
      <c r="Q50" s="141">
        <f t="shared" si="4"/>
        <v>5.0085116307806397</v>
      </c>
      <c r="R50" s="141">
        <f t="shared" si="5"/>
        <v>4.9198239113399511</v>
      </c>
      <c r="S50" s="141">
        <f t="shared" si="6"/>
        <v>5.0971993502213282</v>
      </c>
      <c r="T50" s="48">
        <f t="shared" si="7"/>
        <v>101979.20705898515</v>
      </c>
      <c r="U50" s="142">
        <f t="shared" si="12"/>
        <v>1.0224000000000002</v>
      </c>
      <c r="V50" s="48">
        <f t="shared" si="8"/>
        <v>83142.659325347442</v>
      </c>
      <c r="W50" s="142">
        <f t="shared" si="9"/>
        <v>1.0224000000000002</v>
      </c>
      <c r="X50" s="48">
        <f t="shared" si="10"/>
        <v>125083.3056912918</v>
      </c>
      <c r="Y50" s="142">
        <f t="shared" si="11"/>
        <v>1.0224000000000002</v>
      </c>
      <c r="Z50" s="49"/>
      <c r="AA50" s="2"/>
      <c r="AB50" s="2"/>
      <c r="AC50" s="2"/>
      <c r="AD50" s="2"/>
      <c r="AE50" s="2"/>
      <c r="AF50" s="2"/>
      <c r="AG50" s="2"/>
      <c r="AH50" s="2"/>
    </row>
    <row r="51" spans="1:34" x14ac:dyDescent="0.2">
      <c r="A51" s="2"/>
      <c r="B51" s="2"/>
      <c r="C51" s="2"/>
      <c r="D51" s="2"/>
      <c r="E51" s="2"/>
      <c r="F51" s="2"/>
      <c r="G51" s="2"/>
      <c r="H51" s="140">
        <v>19</v>
      </c>
      <c r="I51" s="2">
        <v>2.093</v>
      </c>
      <c r="J51" s="2">
        <v>3.52</v>
      </c>
      <c r="K51" s="2"/>
      <c r="L51" s="145"/>
      <c r="M51" s="2"/>
      <c r="N51" s="2"/>
      <c r="O51" s="141">
        <f t="shared" si="2"/>
        <v>1.2288739834606686E-2</v>
      </c>
      <c r="P51" s="185">
        <f t="shared" si="21"/>
        <v>8.9193399392988593E-2</v>
      </c>
      <c r="Q51" s="141">
        <f t="shared" si="4"/>
        <v>4.9864075986919314</v>
      </c>
      <c r="R51" s="141">
        <f t="shared" si="5"/>
        <v>4.8972141992989426</v>
      </c>
      <c r="S51" s="141">
        <f t="shared" si="6"/>
        <v>5.0756009980849202</v>
      </c>
      <c r="T51" s="48">
        <f t="shared" si="7"/>
        <v>96918.704131062608</v>
      </c>
      <c r="U51" s="142">
        <f t="shared" si="12"/>
        <v>1.0287000000000002</v>
      </c>
      <c r="V51" s="48">
        <f t="shared" si="8"/>
        <v>78924.928894788813</v>
      </c>
      <c r="W51" s="142">
        <f t="shared" si="9"/>
        <v>1.0287000000000002</v>
      </c>
      <c r="X51" s="48">
        <f t="shared" si="10"/>
        <v>119014.80738698087</v>
      </c>
      <c r="Y51" s="142">
        <f t="shared" si="11"/>
        <v>1.0287000000000002</v>
      </c>
      <c r="Z51" s="49"/>
      <c r="AA51" s="2"/>
      <c r="AB51" s="2"/>
      <c r="AC51" s="2"/>
      <c r="AD51" s="2"/>
      <c r="AE51" s="2"/>
      <c r="AF51" s="2"/>
      <c r="AG51" s="2"/>
      <c r="AH51" s="2"/>
    </row>
    <row r="52" spans="1:34" x14ac:dyDescent="0.2">
      <c r="A52" s="2"/>
      <c r="B52" s="2"/>
      <c r="C52" s="2"/>
      <c r="D52" s="2"/>
      <c r="E52" s="2"/>
      <c r="F52" s="2"/>
      <c r="G52" s="2"/>
      <c r="H52" s="140">
        <v>20</v>
      </c>
      <c r="I52" s="2">
        <v>2.0859999999999999</v>
      </c>
      <c r="J52" s="2">
        <v>3.49</v>
      </c>
      <c r="K52" s="2"/>
      <c r="L52" s="145"/>
      <c r="M52" s="2"/>
      <c r="N52" s="2"/>
      <c r="O52" s="141">
        <f t="shared" si="2"/>
        <v>1.4940349792936618E-2</v>
      </c>
      <c r="P52" s="185">
        <f t="shared" si="21"/>
        <v>8.9783456979055876E-2</v>
      </c>
      <c r="Q52" s="141">
        <f t="shared" si="4"/>
        <v>4.9644385244653231</v>
      </c>
      <c r="R52" s="141">
        <f t="shared" si="5"/>
        <v>4.874655067486267</v>
      </c>
      <c r="S52" s="141">
        <f t="shared" si="6"/>
        <v>5.0542219814443792</v>
      </c>
      <c r="T52" s="48">
        <f t="shared" si="7"/>
        <v>92137.945580023676</v>
      </c>
      <c r="U52" s="142">
        <f t="shared" si="12"/>
        <v>1.0350000000000001</v>
      </c>
      <c r="V52" s="48">
        <f t="shared" si="8"/>
        <v>74929.88524654675</v>
      </c>
      <c r="W52" s="142">
        <f t="shared" si="9"/>
        <v>1.0350000000000001</v>
      </c>
      <c r="X52" s="48">
        <f t="shared" si="10"/>
        <v>113297.93163000539</v>
      </c>
      <c r="Y52" s="142">
        <f t="shared" si="11"/>
        <v>1.0350000000000001</v>
      </c>
      <c r="Z52" s="49"/>
      <c r="AA52" s="2"/>
      <c r="AB52" s="2"/>
      <c r="AC52" s="2"/>
      <c r="AD52" s="2"/>
      <c r="AE52" s="2"/>
      <c r="AF52" s="2"/>
      <c r="AG52" s="2"/>
      <c r="AH52" s="2"/>
    </row>
    <row r="53" spans="1:34" x14ac:dyDescent="0.2">
      <c r="A53" s="2"/>
      <c r="B53" s="2"/>
      <c r="C53" s="2"/>
      <c r="D53" s="2"/>
      <c r="E53" s="2"/>
      <c r="F53" s="2"/>
      <c r="G53" s="2"/>
      <c r="H53" s="140">
        <v>21</v>
      </c>
      <c r="I53" s="2">
        <v>2.0796000000000001</v>
      </c>
      <c r="J53" s="2">
        <v>3.47</v>
      </c>
      <c r="K53" s="2"/>
      <c r="L53" s="145"/>
      <c r="M53" s="2"/>
      <c r="N53" s="2"/>
      <c r="O53" s="141">
        <f t="shared" si="2"/>
        <v>1.7575868391074476E-2</v>
      </c>
      <c r="P53" s="185">
        <f t="shared" si="21"/>
        <v>9.0454648736688639E-2</v>
      </c>
      <c r="Q53" s="141">
        <f t="shared" si="4"/>
        <v>4.9426027701055215</v>
      </c>
      <c r="R53" s="141">
        <f t="shared" si="5"/>
        <v>4.8521481213688329</v>
      </c>
      <c r="S53" s="141">
        <f t="shared" si="6"/>
        <v>5.0330574188422101</v>
      </c>
      <c r="T53" s="48">
        <f t="shared" si="7"/>
        <v>87619.903413737615</v>
      </c>
      <c r="U53" s="142">
        <f t="shared" si="12"/>
        <v>1.0413000000000001</v>
      </c>
      <c r="V53" s="48">
        <f t="shared" si="8"/>
        <v>71145.612296649284</v>
      </c>
      <c r="W53" s="142">
        <f t="shared" si="9"/>
        <v>1.0413000000000001</v>
      </c>
      <c r="X53" s="48">
        <f t="shared" si="10"/>
        <v>107908.93811162362</v>
      </c>
      <c r="Y53" s="142">
        <f t="shared" si="11"/>
        <v>1.0413000000000001</v>
      </c>
      <c r="Z53" s="49"/>
      <c r="AA53" s="2"/>
      <c r="AB53" s="2"/>
      <c r="AC53" s="2"/>
      <c r="AD53" s="2"/>
      <c r="AE53" s="2"/>
      <c r="AF53" s="2"/>
      <c r="AG53" s="2"/>
      <c r="AH53" s="2"/>
    </row>
    <row r="54" spans="1:34" x14ac:dyDescent="0.2">
      <c r="A54" s="2"/>
      <c r="B54" s="2"/>
      <c r="C54" s="2"/>
      <c r="D54" s="2"/>
      <c r="E54" s="2"/>
      <c r="F54" s="2"/>
      <c r="G54" s="2"/>
      <c r="H54" s="140">
        <v>22</v>
      </c>
      <c r="I54" s="2">
        <v>2.0739000000000001</v>
      </c>
      <c r="J54" s="2">
        <v>3.44</v>
      </c>
      <c r="K54" s="2"/>
      <c r="L54" s="145"/>
      <c r="M54" s="2"/>
      <c r="N54" s="2"/>
      <c r="O54" s="141">
        <f t="shared" si="2"/>
        <v>2.0195489753194591E-2</v>
      </c>
      <c r="P54" s="185">
        <f t="shared" si="21"/>
        <v>9.1203639307968598E-2</v>
      </c>
      <c r="Q54" s="141">
        <f t="shared" si="4"/>
        <v>4.9208987272581819</v>
      </c>
      <c r="R54" s="141">
        <f t="shared" si="5"/>
        <v>4.8296950879502134</v>
      </c>
      <c r="S54" s="141">
        <f t="shared" si="6"/>
        <v>5.0121023665661504</v>
      </c>
      <c r="T54" s="48">
        <f t="shared" si="7"/>
        <v>83348.680191465275</v>
      </c>
      <c r="U54" s="142">
        <f t="shared" si="12"/>
        <v>1.0476000000000001</v>
      </c>
      <c r="V54" s="48">
        <f t="shared" si="8"/>
        <v>67560.847363033856</v>
      </c>
      <c r="W54" s="142">
        <f t="shared" si="9"/>
        <v>1.0476000000000001</v>
      </c>
      <c r="X54" s="48">
        <f t="shared" si="10"/>
        <v>102825.86380733042</v>
      </c>
      <c r="Y54" s="142">
        <f t="shared" si="11"/>
        <v>1.0476000000000001</v>
      </c>
      <c r="Z54" s="49"/>
      <c r="AA54" s="168"/>
      <c r="AB54" s="2"/>
      <c r="AC54" s="2"/>
      <c r="AD54" s="2"/>
      <c r="AE54" s="2"/>
      <c r="AF54" s="2"/>
      <c r="AG54" s="2"/>
      <c r="AH54" s="2"/>
    </row>
    <row r="55" spans="1:34" x14ac:dyDescent="0.2">
      <c r="A55" s="2"/>
      <c r="B55" s="2"/>
      <c r="C55" s="2"/>
      <c r="D55" s="2"/>
      <c r="E55" s="2"/>
      <c r="F55" s="2"/>
      <c r="G55" s="2"/>
      <c r="H55" s="140">
        <v>23</v>
      </c>
      <c r="I55" s="2">
        <v>2.069</v>
      </c>
      <c r="J55" s="2">
        <v>3.42</v>
      </c>
      <c r="K55" s="2"/>
      <c r="L55" s="145"/>
      <c r="M55" s="2"/>
      <c r="N55" s="2"/>
      <c r="O55" s="141">
        <f t="shared" si="2"/>
        <v>2.2799404511688028E-2</v>
      </c>
      <c r="P55" s="185">
        <f t="shared" si="21"/>
        <v>9.2027032627225711E-2</v>
      </c>
      <c r="Q55" s="141">
        <f t="shared" si="4"/>
        <v>4.8993248164990248</v>
      </c>
      <c r="R55" s="141">
        <f t="shared" si="5"/>
        <v>4.8072977838717987</v>
      </c>
      <c r="S55" s="141">
        <f t="shared" si="6"/>
        <v>4.991351849126251</v>
      </c>
      <c r="T55" s="48">
        <f t="shared" si="7"/>
        <v>79309.427790651433</v>
      </c>
      <c r="U55" s="142">
        <f t="shared" si="12"/>
        <v>1.0539000000000001</v>
      </c>
      <c r="V55" s="48">
        <f t="shared" si="8"/>
        <v>64164.938725531261</v>
      </c>
      <c r="W55" s="142">
        <f t="shared" si="9"/>
        <v>1.0539000000000001</v>
      </c>
      <c r="X55" s="48">
        <f t="shared" si="10"/>
        <v>98028.385305350021</v>
      </c>
      <c r="Y55" s="142">
        <f t="shared" si="11"/>
        <v>1.0539000000000001</v>
      </c>
      <c r="Z55" s="2"/>
      <c r="AA55" s="2"/>
      <c r="AB55" s="2"/>
      <c r="AC55" s="2"/>
      <c r="AD55" s="2"/>
      <c r="AE55" s="2"/>
      <c r="AF55" s="2"/>
      <c r="AG55" s="2"/>
      <c r="AH55" s="2"/>
    </row>
    <row r="56" spans="1:34" x14ac:dyDescent="0.2">
      <c r="A56" s="2"/>
      <c r="B56" s="2"/>
      <c r="C56" s="2"/>
      <c r="D56" s="2"/>
      <c r="E56" s="2"/>
      <c r="F56" s="2"/>
      <c r="G56" s="2"/>
      <c r="H56" s="140">
        <v>24</v>
      </c>
      <c r="I56" s="2">
        <v>2.0640000000000001</v>
      </c>
      <c r="J56" s="2">
        <v>3.4</v>
      </c>
      <c r="K56" s="2"/>
      <c r="L56" s="145"/>
      <c r="M56" s="2"/>
      <c r="N56" s="2"/>
      <c r="O56" s="141">
        <f t="shared" si="2"/>
        <v>2.5387799890407722E-2</v>
      </c>
      <c r="P56" s="185">
        <f t="shared" si="21"/>
        <v>9.2921401261728404E-2</v>
      </c>
      <c r="Q56" s="141">
        <f t="shared" si="4"/>
        <v>4.8778794866441322</v>
      </c>
      <c r="R56" s="141">
        <f t="shared" si="5"/>
        <v>4.7849580853824039</v>
      </c>
      <c r="S56" s="141">
        <f t="shared" si="6"/>
        <v>4.9708008879058605</v>
      </c>
      <c r="T56" s="48">
        <f t="shared" si="7"/>
        <v>75488.272448824137</v>
      </c>
      <c r="U56" s="142">
        <f t="shared" si="12"/>
        <v>1.0602</v>
      </c>
      <c r="V56" s="48">
        <f t="shared" si="8"/>
        <v>60947.807246989389</v>
      </c>
      <c r="W56" s="142">
        <f t="shared" si="9"/>
        <v>1.0602</v>
      </c>
      <c r="X56" s="48">
        <f t="shared" si="10"/>
        <v>93497.691462712566</v>
      </c>
      <c r="Y56" s="142">
        <f t="shared" si="11"/>
        <v>1.0602</v>
      </c>
      <c r="Z56" s="2"/>
      <c r="AA56" s="2"/>
      <c r="AB56" s="2"/>
      <c r="AC56" s="2"/>
      <c r="AD56" s="2"/>
      <c r="AE56" s="2"/>
      <c r="AF56" s="2"/>
      <c r="AG56" s="2"/>
      <c r="AH56" s="2"/>
    </row>
    <row r="57" spans="1:34" x14ac:dyDescent="0.2">
      <c r="A57" s="2"/>
      <c r="B57" s="2"/>
      <c r="C57" s="2"/>
      <c r="D57" s="2"/>
      <c r="E57" s="2"/>
      <c r="F57" s="2"/>
      <c r="G57" s="2"/>
      <c r="H57" s="140">
        <v>25</v>
      </c>
      <c r="I57" s="2">
        <v>2.06</v>
      </c>
      <c r="J57" s="2">
        <v>3.39</v>
      </c>
      <c r="K57" s="2"/>
      <c r="L57" s="145"/>
      <c r="M57" s="2"/>
      <c r="N57" s="2"/>
      <c r="O57" s="141">
        <f t="shared" si="2"/>
        <v>2.7960859785447545E-2</v>
      </c>
      <c r="P57" s="185">
        <f t="shared" si="21"/>
        <v>9.3883313448839059E-2</v>
      </c>
      <c r="Q57" s="141">
        <f t="shared" si="4"/>
        <v>4.8565612140806813</v>
      </c>
      <c r="R57" s="141">
        <f t="shared" si="5"/>
        <v>4.762677900631842</v>
      </c>
      <c r="S57" s="141">
        <f t="shared" si="6"/>
        <v>4.9504445275295206</v>
      </c>
      <c r="T57" s="48">
        <f t="shared" si="7"/>
        <v>71872.245562400552</v>
      </c>
      <c r="U57" s="142">
        <f t="shared" si="12"/>
        <v>1.0665</v>
      </c>
      <c r="V57" s="48">
        <f t="shared" si="8"/>
        <v>57899.911596377155</v>
      </c>
      <c r="W57" s="142">
        <f t="shared" si="9"/>
        <v>1.0665</v>
      </c>
      <c r="X57" s="48">
        <f t="shared" si="10"/>
        <v>89216.365617131858</v>
      </c>
      <c r="Y57" s="142">
        <f t="shared" si="11"/>
        <v>1.0665</v>
      </c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2">
      <c r="A58" s="2"/>
      <c r="B58" s="2"/>
      <c r="C58" s="2"/>
      <c r="D58" s="2"/>
      <c r="E58" s="2"/>
      <c r="F58" s="2"/>
      <c r="G58" s="2"/>
      <c r="H58" s="140">
        <v>26</v>
      </c>
      <c r="I58" s="2">
        <v>2.056</v>
      </c>
      <c r="J58" s="2">
        <v>3.37</v>
      </c>
      <c r="K58" s="2"/>
      <c r="L58" s="145"/>
      <c r="M58" s="2"/>
      <c r="N58" s="2"/>
      <c r="O58" s="141">
        <f t="shared" si="2"/>
        <v>3.051876484354249E-2</v>
      </c>
      <c r="P58" s="185">
        <f t="shared" si="21"/>
        <v>9.4909357510002776E-2</v>
      </c>
      <c r="Q58" s="141">
        <f t="shared" si="4"/>
        <v>4.8353685021173805</v>
      </c>
      <c r="R58" s="141">
        <f t="shared" si="5"/>
        <v>4.7404591446073781</v>
      </c>
      <c r="S58" s="141">
        <f t="shared" si="6"/>
        <v>4.9302778596273829</v>
      </c>
      <c r="T58" s="48">
        <f t="shared" si="7"/>
        <v>68449.219769717776</v>
      </c>
      <c r="U58" s="142">
        <f t="shared" si="12"/>
        <v>1.0728</v>
      </c>
      <c r="V58" s="48">
        <f t="shared" si="8"/>
        <v>55012.216642394669</v>
      </c>
      <c r="W58" s="142">
        <f t="shared" si="9"/>
        <v>1.0728</v>
      </c>
      <c r="X58" s="48">
        <f t="shared" si="10"/>
        <v>85168.276667340149</v>
      </c>
      <c r="Y58" s="142">
        <f t="shared" si="11"/>
        <v>1.0728</v>
      </c>
      <c r="Z58" s="2"/>
      <c r="AA58" s="169"/>
      <c r="AB58" s="2"/>
      <c r="AC58" s="2"/>
      <c r="AD58" s="2"/>
      <c r="AE58" s="2"/>
      <c r="AF58" s="2"/>
      <c r="AG58" s="2"/>
      <c r="AH58" s="2"/>
    </row>
    <row r="59" spans="1:34" x14ac:dyDescent="0.2">
      <c r="A59" s="2"/>
      <c r="B59" s="2"/>
      <c r="C59" s="2"/>
      <c r="D59" s="2"/>
      <c r="E59" s="2"/>
      <c r="F59" s="2"/>
      <c r="G59" s="2"/>
      <c r="H59" s="140">
        <v>27</v>
      </c>
      <c r="I59" s="2">
        <v>2.052</v>
      </c>
      <c r="J59" s="2">
        <v>3.35</v>
      </c>
      <c r="K59" s="2"/>
      <c r="L59" s="145"/>
      <c r="M59" s="2"/>
      <c r="N59" s="2"/>
      <c r="O59" s="141">
        <f t="shared" si="2"/>
        <v>3.306169253817362E-2</v>
      </c>
      <c r="P59" s="185">
        <f t="shared" si="21"/>
        <v>9.5996163450200692E-2</v>
      </c>
      <c r="Q59" s="141">
        <f t="shared" si="4"/>
        <v>4.8142998803539312</v>
      </c>
      <c r="R59" s="141">
        <f t="shared" si="5"/>
        <v>4.7183037169037307</v>
      </c>
      <c r="S59" s="141">
        <f t="shared" si="6"/>
        <v>4.9102960438041316</v>
      </c>
      <c r="T59" s="48">
        <f t="shared" si="7"/>
        <v>65207.849886902244</v>
      </c>
      <c r="U59" s="142">
        <f t="shared" si="12"/>
        <v>1.0791000000000002</v>
      </c>
      <c r="V59" s="48">
        <f t="shared" si="8"/>
        <v>52276.164619683521</v>
      </c>
      <c r="W59" s="142">
        <f t="shared" si="9"/>
        <v>1.0791000000000002</v>
      </c>
      <c r="X59" s="48">
        <f t="shared" si="10"/>
        <v>81338.478402291905</v>
      </c>
      <c r="Y59" s="142">
        <f t="shared" si="11"/>
        <v>1.0791000000000002</v>
      </c>
      <c r="Z59" s="2"/>
      <c r="AA59" s="169"/>
      <c r="AB59" s="2"/>
      <c r="AC59" s="2"/>
      <c r="AD59" s="2"/>
      <c r="AE59" s="2"/>
      <c r="AF59" s="2"/>
      <c r="AG59" s="2"/>
      <c r="AH59" s="2"/>
    </row>
    <row r="60" spans="1:34" x14ac:dyDescent="0.2">
      <c r="A60" s="2"/>
      <c r="B60" s="2"/>
      <c r="C60" s="2"/>
      <c r="D60" s="2"/>
      <c r="E60" s="2"/>
      <c r="F60" s="2"/>
      <c r="G60" s="2"/>
      <c r="H60" s="140">
        <v>28</v>
      </c>
      <c r="I60" s="2">
        <v>2.048</v>
      </c>
      <c r="J60" s="2">
        <v>3.34</v>
      </c>
      <c r="K60" s="2"/>
      <c r="L60" s="145"/>
      <c r="M60" s="2"/>
      <c r="N60" s="2"/>
      <c r="O60" s="141">
        <f t="shared" si="2"/>
        <v>3.5589817243457438E-2</v>
      </c>
      <c r="P60" s="185">
        <f t="shared" si="21"/>
        <v>9.7140421665947899E-2</v>
      </c>
      <c r="Q60" s="141">
        <f t="shared" si="4"/>
        <v>4.7933539040688355</v>
      </c>
      <c r="R60" s="141">
        <f t="shared" si="5"/>
        <v>4.6962134824028876</v>
      </c>
      <c r="S60" s="141">
        <f t="shared" si="6"/>
        <v>4.8904943257347835</v>
      </c>
      <c r="T60" s="48">
        <f t="shared" si="7"/>
        <v>62137.518302652083</v>
      </c>
      <c r="U60" s="142">
        <f t="shared" si="12"/>
        <v>1.0854000000000001</v>
      </c>
      <c r="V60" s="48">
        <f t="shared" si="8"/>
        <v>49683.648707263681</v>
      </c>
      <c r="W60" s="142">
        <f t="shared" si="9"/>
        <v>1.0854000000000001</v>
      </c>
      <c r="X60" s="48">
        <f t="shared" si="10"/>
        <v>77713.116513681889</v>
      </c>
      <c r="Y60" s="142">
        <f t="shared" si="11"/>
        <v>1.0854000000000001</v>
      </c>
      <c r="Z60" s="2"/>
      <c r="AA60" s="2"/>
      <c r="AB60" s="2"/>
      <c r="AC60" s="2"/>
      <c r="AD60" s="2"/>
      <c r="AE60" s="2"/>
      <c r="AF60" s="2"/>
      <c r="AG60" s="2"/>
      <c r="AH60" s="2"/>
    </row>
    <row r="61" spans="1:34" x14ac:dyDescent="0.2">
      <c r="A61" s="2"/>
      <c r="B61" s="2"/>
      <c r="C61" s="2"/>
      <c r="D61" s="2"/>
      <c r="E61" s="2"/>
      <c r="F61" s="2"/>
      <c r="G61" s="2"/>
      <c r="H61" s="140">
        <v>29</v>
      </c>
      <c r="I61" s="2">
        <v>2.0449999999999999</v>
      </c>
      <c r="J61" s="2">
        <v>3.33</v>
      </c>
      <c r="K61" s="2"/>
      <c r="L61" s="145"/>
      <c r="M61" s="2"/>
      <c r="N61" s="2"/>
      <c r="O61" s="141">
        <f t="shared" si="2"/>
        <v>3.8103310305897892E-2</v>
      </c>
      <c r="P61" s="185">
        <f t="shared" si="21"/>
        <v>9.8338898782174014E-2</v>
      </c>
      <c r="Q61" s="141">
        <f t="shared" si="4"/>
        <v>4.7725291536249212</v>
      </c>
      <c r="R61" s="141">
        <f t="shared" si="5"/>
        <v>4.6741902548427472</v>
      </c>
      <c r="S61" s="141">
        <f t="shared" si="6"/>
        <v>4.8708680524070953</v>
      </c>
      <c r="T61" s="48">
        <f t="shared" si="7"/>
        <v>59228.284472034204</v>
      </c>
      <c r="U61" s="142">
        <f t="shared" si="12"/>
        <v>1.0917000000000001</v>
      </c>
      <c r="V61" s="48">
        <f t="shared" si="8"/>
        <v>47226.988698392379</v>
      </c>
      <c r="W61" s="142">
        <f t="shared" si="9"/>
        <v>1.0917000000000001</v>
      </c>
      <c r="X61" s="48">
        <f t="shared" si="10"/>
        <v>74279.342769521551</v>
      </c>
      <c r="Y61" s="142">
        <f t="shared" si="11"/>
        <v>1.0917000000000001</v>
      </c>
      <c r="Z61" s="2"/>
      <c r="AA61" s="2"/>
      <c r="AB61" s="2"/>
      <c r="AC61" s="2"/>
      <c r="AD61" s="2"/>
      <c r="AE61" s="2"/>
      <c r="AF61" s="2"/>
      <c r="AG61" s="2"/>
      <c r="AH61" s="2"/>
    </row>
    <row r="62" spans="1:34" x14ac:dyDescent="0.2">
      <c r="A62" s="2"/>
      <c r="B62" s="2"/>
      <c r="C62" s="2"/>
      <c r="D62" s="2"/>
      <c r="E62" s="2"/>
      <c r="F62" s="2"/>
      <c r="G62" s="2"/>
      <c r="H62" s="140">
        <v>30</v>
      </c>
      <c r="I62" s="2">
        <v>2.0419999999999998</v>
      </c>
      <c r="J62" s="2">
        <v>3.32</v>
      </c>
      <c r="K62" s="2"/>
      <c r="L62" s="145"/>
      <c r="M62" s="2"/>
      <c r="N62" s="2"/>
      <c r="O62" s="141">
        <f t="shared" si="2"/>
        <v>4.060234011407314E-2</v>
      </c>
      <c r="P62" s="185">
        <f t="shared" si="21"/>
        <v>9.9588450716866853E-2</v>
      </c>
      <c r="Q62" s="141">
        <f t="shared" si="4"/>
        <v>4.7518242338919725</v>
      </c>
      <c r="R62" s="141">
        <f t="shared" si="5"/>
        <v>4.6522357831751053</v>
      </c>
      <c r="S62" s="141">
        <f t="shared" si="6"/>
        <v>4.8514126846088397</v>
      </c>
      <c r="T62" s="48">
        <f t="shared" si="7"/>
        <v>56470.838180301194</v>
      </c>
      <c r="U62" s="142">
        <f t="shared" si="12"/>
        <v>1.0980000000000001</v>
      </c>
      <c r="V62" s="48">
        <f t="shared" si="8"/>
        <v>44898.908480893384</v>
      </c>
      <c r="W62" s="142">
        <f t="shared" si="9"/>
        <v>1.0980000000000001</v>
      </c>
      <c r="X62" s="48">
        <f t="shared" si="10"/>
        <v>71025.235861642854</v>
      </c>
      <c r="Y62" s="142">
        <f t="shared" si="11"/>
        <v>1.0980000000000001</v>
      </c>
      <c r="Z62" s="2"/>
      <c r="AA62" s="135"/>
      <c r="AB62" s="2"/>
      <c r="AC62" s="2"/>
      <c r="AD62" s="2"/>
      <c r="AE62" s="2"/>
      <c r="AF62" s="2"/>
      <c r="AG62" s="2"/>
      <c r="AH62" s="2"/>
    </row>
    <row r="63" spans="1:34" x14ac:dyDescent="0.2">
      <c r="A63" s="2"/>
      <c r="B63" s="2"/>
      <c r="C63" s="2"/>
      <c r="D63" s="2"/>
      <c r="E63" s="2"/>
      <c r="F63" s="2"/>
      <c r="G63" s="2"/>
      <c r="H63" s="140">
        <v>31</v>
      </c>
      <c r="I63" s="2">
        <v>2.0209999999999999</v>
      </c>
      <c r="J63" s="2">
        <v>3.23</v>
      </c>
      <c r="K63" s="2"/>
      <c r="L63" s="145"/>
      <c r="M63" s="2"/>
      <c r="N63" s="2"/>
      <c r="O63" s="141">
        <f t="shared" si="2"/>
        <v>4.3087072166329142E-2</v>
      </c>
      <c r="P63" s="185">
        <f t="shared" si="21"/>
        <v>0.10088603313220328</v>
      </c>
      <c r="Q63" s="141">
        <f t="shared" si="4"/>
        <v>4.7312377736858773</v>
      </c>
      <c r="R63" s="141">
        <f t="shared" si="5"/>
        <v>4.6303517405536736</v>
      </c>
      <c r="S63" s="141">
        <f t="shared" si="6"/>
        <v>4.832123806818081</v>
      </c>
      <c r="T63" s="48">
        <f t="shared" si="7"/>
        <v>53856.456275830067</v>
      </c>
      <c r="U63" s="142">
        <f t="shared" si="12"/>
        <v>1.1043000000000001</v>
      </c>
      <c r="V63" s="48">
        <f t="shared" si="8"/>
        <v>42692.515085676263</v>
      </c>
      <c r="W63" s="142">
        <f t="shared" si="9"/>
        <v>1.1043000000000001</v>
      </c>
      <c r="X63" s="48">
        <f t="shared" si="10"/>
        <v>67939.728469254362</v>
      </c>
      <c r="Y63" s="142">
        <f t="shared" si="11"/>
        <v>1.1043000000000001</v>
      </c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2">
      <c r="A64" s="2"/>
      <c r="B64" s="2"/>
      <c r="C64" s="2"/>
      <c r="D64" s="2"/>
      <c r="E64" s="2"/>
      <c r="F64" s="2"/>
      <c r="G64" s="2"/>
      <c r="H64" s="140">
        <v>40</v>
      </c>
      <c r="I64" s="2">
        <v>2.0209999999999999</v>
      </c>
      <c r="J64" s="2">
        <v>3.23</v>
      </c>
      <c r="K64" s="2"/>
      <c r="L64" s="145"/>
      <c r="M64" s="2"/>
      <c r="N64" s="2"/>
      <c r="O64" s="141">
        <f t="shared" si="2"/>
        <v>4.5557669136547761E-2</v>
      </c>
      <c r="P64" s="185">
        <f t="shared" si="21"/>
        <v>0.10222870947318338</v>
      </c>
      <c r="Q64" s="141">
        <f t="shared" si="4"/>
        <v>4.7107684252237263</v>
      </c>
      <c r="R64" s="141">
        <f t="shared" si="5"/>
        <v>4.6085397157505428</v>
      </c>
      <c r="S64" s="141">
        <f t="shared" si="6"/>
        <v>4.8129971346969098</v>
      </c>
      <c r="T64" s="48">
        <f t="shared" si="7"/>
        <v>51376.962596838079</v>
      </c>
      <c r="U64" s="142">
        <f t="shared" si="12"/>
        <v>1.1106</v>
      </c>
      <c r="V64" s="48">
        <f t="shared" si="8"/>
        <v>40601.279097505249</v>
      </c>
      <c r="W64" s="142">
        <f t="shared" si="9"/>
        <v>1.1106</v>
      </c>
      <c r="X64" s="48">
        <f t="shared" si="10"/>
        <v>65012.540105887667</v>
      </c>
      <c r="Y64" s="142">
        <f t="shared" si="11"/>
        <v>1.1106</v>
      </c>
      <c r="Z64" s="2"/>
      <c r="AA64" s="2"/>
      <c r="AB64" s="2"/>
      <c r="AC64" s="2"/>
      <c r="AD64" s="2"/>
      <c r="AE64" s="2"/>
      <c r="AF64" s="2"/>
      <c r="AG64" s="2"/>
      <c r="AH64" s="2"/>
    </row>
    <row r="65" spans="1:34" x14ac:dyDescent="0.2">
      <c r="A65" s="2"/>
      <c r="B65" s="2"/>
      <c r="C65" s="2"/>
      <c r="D65" s="2"/>
      <c r="E65" s="2"/>
      <c r="F65" s="2"/>
      <c r="G65" s="2"/>
      <c r="H65" s="140">
        <v>41</v>
      </c>
      <c r="I65" s="2">
        <v>2</v>
      </c>
      <c r="J65" s="2">
        <v>3.15</v>
      </c>
      <c r="K65" s="2"/>
      <c r="L65" s="145"/>
      <c r="M65" s="2"/>
      <c r="N65" s="2"/>
      <c r="O65" s="141">
        <f t="shared" si="2"/>
        <v>4.8014290938054704E-2</v>
      </c>
      <c r="P65" s="185">
        <f t="shared" si="21"/>
        <v>0.10361365682144281</v>
      </c>
      <c r="Q65" s="141">
        <f t="shared" si="4"/>
        <v>4.6904148635943219</v>
      </c>
      <c r="R65" s="141">
        <f t="shared" si="5"/>
        <v>4.5868012067728792</v>
      </c>
      <c r="S65" s="141">
        <f t="shared" si="6"/>
        <v>4.7940285204157647</v>
      </c>
      <c r="T65" s="48">
        <f t="shared" si="7"/>
        <v>49024.690839786505</v>
      </c>
      <c r="U65" s="142">
        <f t="shared" si="12"/>
        <v>1.1169</v>
      </c>
      <c r="V65" s="48">
        <f t="shared" si="8"/>
        <v>38619.016255303919</v>
      </c>
      <c r="W65" s="142">
        <f t="shared" si="9"/>
        <v>1.1169</v>
      </c>
      <c r="X65" s="48">
        <f t="shared" si="10"/>
        <v>62234.115339656339</v>
      </c>
      <c r="Y65" s="142">
        <f t="shared" si="11"/>
        <v>1.1169</v>
      </c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2">
      <c r="A66" s="2"/>
      <c r="B66" s="2"/>
      <c r="C66" s="2"/>
      <c r="D66" s="2"/>
      <c r="E66" s="2"/>
      <c r="F66" s="2"/>
      <c r="G66" s="2"/>
      <c r="H66" s="140">
        <v>60</v>
      </c>
      <c r="I66" s="2">
        <v>2</v>
      </c>
      <c r="J66" s="2">
        <v>3.15</v>
      </c>
      <c r="K66" s="2"/>
      <c r="L66" s="145"/>
      <c r="M66" s="2"/>
      <c r="N66" s="2"/>
      <c r="O66" s="141">
        <f t="shared" ref="O66:O102" si="22">LOG($I$19+($I$20-$I$19)*(ROW()-2)/100)</f>
        <v>5.0457094785730135E-2</v>
      </c>
      <c r="P66" s="185">
        <f t="shared" ref="P66:P97" si="23">SQRT(2*$I$16*$K$24)*SQRT((1/$I$1)+((O66-$I$10)^2/$I$7))</f>
        <v>0.10503816980528287</v>
      </c>
      <c r="Q66" s="141">
        <f t="shared" ref="Q66:Q102" si="24">+$I$13+$I$12*O66</f>
        <v>4.6701757862435844</v>
      </c>
      <c r="R66" s="141">
        <f t="shared" ref="R66:R102" si="25">+$I$13+$I$12*O66-P66</f>
        <v>4.5651376164383013</v>
      </c>
      <c r="S66" s="141">
        <f t="shared" ref="S66:S102" si="26">+$I$13+$I$12*O66+P66</f>
        <v>4.7752139560488676</v>
      </c>
      <c r="T66" s="48">
        <f t="shared" ref="T66:T102" si="27">10^Q66</f>
        <v>46792.450138555054</v>
      </c>
      <c r="U66" s="142">
        <f t="shared" si="12"/>
        <v>1.1232000000000002</v>
      </c>
      <c r="V66" s="48">
        <f t="shared" ref="V66:V102" si="28">10^R66</f>
        <v>36739.870098908708</v>
      </c>
      <c r="W66" s="142">
        <f t="shared" ref="W66:W102" si="29">10^$O66</f>
        <v>1.1232000000000002</v>
      </c>
      <c r="X66" s="48">
        <f t="shared" ref="X66:X102" si="30">10^S66</f>
        <v>59595.566997777525</v>
      </c>
      <c r="Y66" s="142">
        <f t="shared" ref="Y66:Y102" si="31">10^$O66</f>
        <v>1.1232000000000002</v>
      </c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2">
      <c r="A67" s="2"/>
      <c r="B67" s="2"/>
      <c r="C67" s="2"/>
      <c r="D67" s="2"/>
      <c r="E67" s="2"/>
      <c r="F67" s="2"/>
      <c r="G67" s="2"/>
      <c r="H67" s="140">
        <v>61</v>
      </c>
      <c r="I67" s="2">
        <v>1.98</v>
      </c>
      <c r="J67" s="2">
        <v>3.07</v>
      </c>
      <c r="K67" s="2"/>
      <c r="L67" s="145"/>
      <c r="M67" s="2"/>
      <c r="N67" s="2"/>
      <c r="O67" s="141">
        <f t="shared" si="22"/>
        <v>5.2886235256381885E-2</v>
      </c>
      <c r="P67" s="185">
        <f t="shared" si="23"/>
        <v>0.10649966280951657</v>
      </c>
      <c r="Q67" s="141">
        <f t="shared" si="24"/>
        <v>4.6500499124743442</v>
      </c>
      <c r="R67" s="141">
        <f t="shared" si="25"/>
        <v>4.5435502496648272</v>
      </c>
      <c r="S67" s="141">
        <f t="shared" si="26"/>
        <v>4.7565495752838611</v>
      </c>
      <c r="T67" s="48">
        <f t="shared" si="27"/>
        <v>44673.493142759013</v>
      </c>
      <c r="U67" s="142">
        <f t="shared" ref="U67:U102" si="32">10^O67</f>
        <v>1.1295000000000002</v>
      </c>
      <c r="V67" s="48">
        <f t="shared" si="28"/>
        <v>34958.295545010791</v>
      </c>
      <c r="W67" s="142">
        <f t="shared" si="29"/>
        <v>1.1295000000000002</v>
      </c>
      <c r="X67" s="48">
        <f t="shared" si="30"/>
        <v>57088.623986445004</v>
      </c>
      <c r="Y67" s="142">
        <f t="shared" si="31"/>
        <v>1.1295000000000002</v>
      </c>
      <c r="Z67" s="2"/>
      <c r="AA67" s="2"/>
      <c r="AB67" s="2"/>
      <c r="AC67" s="2"/>
      <c r="AD67" s="2"/>
      <c r="AE67" s="2"/>
      <c r="AF67" s="2"/>
      <c r="AG67" s="2"/>
      <c r="AH67" s="2"/>
    </row>
    <row r="68" spans="1:34" x14ac:dyDescent="0.2">
      <c r="A68" s="2"/>
      <c r="B68" s="2"/>
      <c r="C68" s="2"/>
      <c r="D68" s="2"/>
      <c r="E68" s="2"/>
      <c r="F68" s="2"/>
      <c r="G68" s="2"/>
      <c r="H68" s="140">
        <v>120</v>
      </c>
      <c r="I68" s="2">
        <v>1.98</v>
      </c>
      <c r="J68" s="2">
        <v>3.07</v>
      </c>
      <c r="K68" s="2"/>
      <c r="L68" s="145"/>
      <c r="M68" s="2"/>
      <c r="N68" s="2"/>
      <c r="O68" s="141">
        <f t="shared" si="22"/>
        <v>5.5301864347440437E-2</v>
      </c>
      <c r="P68" s="185">
        <f t="shared" si="23"/>
        <v>0.10799567072291376</v>
      </c>
      <c r="Q68" s="141">
        <f t="shared" si="24"/>
        <v>4.6300359829600488</v>
      </c>
      <c r="R68" s="141">
        <f t="shared" si="25"/>
        <v>4.5220403122371353</v>
      </c>
      <c r="S68" s="141">
        <f t="shared" si="26"/>
        <v>4.7380316536829623</v>
      </c>
      <c r="T68" s="48">
        <f t="shared" si="27"/>
        <v>42661.486401164351</v>
      </c>
      <c r="U68" s="142">
        <f t="shared" si="32"/>
        <v>1.1358000000000001</v>
      </c>
      <c r="V68" s="48">
        <f t="shared" si="28"/>
        <v>33269.043297072516</v>
      </c>
      <c r="W68" s="142">
        <f t="shared" si="29"/>
        <v>1.1358000000000001</v>
      </c>
      <c r="X68" s="48">
        <f t="shared" si="30"/>
        <v>54705.583376870964</v>
      </c>
      <c r="Y68" s="142">
        <f t="shared" si="31"/>
        <v>1.1358000000000001</v>
      </c>
      <c r="Z68" s="2"/>
      <c r="AA68" s="2"/>
      <c r="AB68" s="2"/>
      <c r="AC68" s="2"/>
      <c r="AD68" s="2"/>
      <c r="AE68" s="2"/>
      <c r="AF68" s="2"/>
      <c r="AG68" s="2"/>
      <c r="AH68" s="2"/>
    </row>
    <row r="69" spans="1:34" x14ac:dyDescent="0.2">
      <c r="A69" s="2"/>
      <c r="B69" s="2"/>
      <c r="C69" s="2"/>
      <c r="D69" s="2"/>
      <c r="E69" s="2"/>
      <c r="F69" s="2"/>
      <c r="G69" s="2"/>
      <c r="H69" s="140">
        <v>121</v>
      </c>
      <c r="I69" s="2">
        <v>1.96</v>
      </c>
      <c r="J69" s="2">
        <v>3</v>
      </c>
      <c r="K69" s="2"/>
      <c r="L69" s="145"/>
      <c r="M69" s="2"/>
      <c r="N69" s="2"/>
      <c r="O69" s="141">
        <f t="shared" si="22"/>
        <v>5.7704131534029694E-2</v>
      </c>
      <c r="P69" s="185">
        <f t="shared" si="23"/>
        <v>0.10952384844906615</v>
      </c>
      <c r="Q69" s="141">
        <f t="shared" si="24"/>
        <v>4.6101327592719148</v>
      </c>
      <c r="R69" s="141">
        <f t="shared" si="25"/>
        <v>4.5006089108228489</v>
      </c>
      <c r="S69" s="141">
        <f t="shared" si="26"/>
        <v>4.7196566077209807</v>
      </c>
      <c r="T69" s="48">
        <f t="shared" si="27"/>
        <v>40750.482872186833</v>
      </c>
      <c r="U69" s="142">
        <f t="shared" si="32"/>
        <v>1.1421000000000001</v>
      </c>
      <c r="V69" s="48">
        <f t="shared" si="28"/>
        <v>31667.145012452129</v>
      </c>
      <c r="W69" s="142">
        <f t="shared" si="29"/>
        <v>1.1421000000000001</v>
      </c>
      <c r="X69" s="48">
        <f t="shared" si="30"/>
        <v>52439.266427820214</v>
      </c>
      <c r="Y69" s="142">
        <f t="shared" si="31"/>
        <v>1.1421000000000001</v>
      </c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3.5" thickBot="1" x14ac:dyDescent="0.25">
      <c r="A70" s="2"/>
      <c r="B70" s="2"/>
      <c r="C70" s="2"/>
      <c r="D70" s="2"/>
      <c r="E70" s="2"/>
      <c r="F70" s="2"/>
      <c r="G70" s="2"/>
      <c r="H70" s="152"/>
      <c r="I70" s="147"/>
      <c r="J70" s="147"/>
      <c r="K70" s="147"/>
      <c r="L70" s="149"/>
      <c r="M70" s="2"/>
      <c r="N70" s="2"/>
      <c r="O70" s="141">
        <f t="shared" si="22"/>
        <v>6.0093183824468425E-2</v>
      </c>
      <c r="P70" s="185">
        <f t="shared" si="23"/>
        <v>0.11108196939034452</v>
      </c>
      <c r="Q70" s="141">
        <f t="shared" si="24"/>
        <v>4.5903390234190917</v>
      </c>
      <c r="R70" s="141">
        <f t="shared" si="25"/>
        <v>4.4792570540287473</v>
      </c>
      <c r="S70" s="141">
        <f t="shared" si="26"/>
        <v>4.7014209928094362</v>
      </c>
      <c r="T70" s="48">
        <f t="shared" si="27"/>
        <v>38934.896398096054</v>
      </c>
      <c r="U70" s="142">
        <f t="shared" si="32"/>
        <v>1.1484000000000001</v>
      </c>
      <c r="V70" s="48">
        <f t="shared" si="28"/>
        <v>30147.899165107476</v>
      </c>
      <c r="W70" s="142">
        <f t="shared" si="29"/>
        <v>1.1484000000000001</v>
      </c>
      <c r="X70" s="48">
        <f t="shared" si="30"/>
        <v>50282.978234349765</v>
      </c>
      <c r="Y70" s="142">
        <f t="shared" si="31"/>
        <v>1.1484000000000001</v>
      </c>
      <c r="Z70" s="2"/>
      <c r="AA70" s="2"/>
      <c r="AB70" s="2"/>
      <c r="AC70" s="2"/>
      <c r="AD70" s="2"/>
      <c r="AE70" s="2"/>
      <c r="AF70" s="2"/>
      <c r="AG70" s="2"/>
      <c r="AH70" s="2"/>
    </row>
    <row r="71" spans="1:3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41">
        <f t="shared" si="22"/>
        <v>6.2469165814253401E-2</v>
      </c>
      <c r="P71" s="185">
        <f t="shared" si="23"/>
        <v>0.11266792309591153</v>
      </c>
      <c r="Q71" s="141">
        <f t="shared" si="24"/>
        <v>4.5706535774014032</v>
      </c>
      <c r="R71" s="141">
        <f t="shared" si="25"/>
        <v>4.4579856543054914</v>
      </c>
      <c r="S71" s="141">
        <f t="shared" si="26"/>
        <v>4.683321500497315</v>
      </c>
      <c r="T71" s="48">
        <f t="shared" si="27"/>
        <v>37209.477992895801</v>
      </c>
      <c r="U71" s="142">
        <f t="shared" si="32"/>
        <v>1.1547000000000001</v>
      </c>
      <c r="V71" s="48">
        <f t="shared" si="28"/>
        <v>28706.85755443271</v>
      </c>
      <c r="W71" s="142">
        <f t="shared" si="29"/>
        <v>1.1547000000000001</v>
      </c>
      <c r="X71" s="48">
        <f t="shared" si="30"/>
        <v>48230.470711692644</v>
      </c>
      <c r="Y71" s="142">
        <f t="shared" si="31"/>
        <v>1.1547000000000001</v>
      </c>
      <c r="Z71" s="2"/>
      <c r="AA71" s="2"/>
      <c r="AB71" s="2"/>
      <c r="AC71" s="2"/>
      <c r="AD71" s="2"/>
      <c r="AE71" s="2"/>
      <c r="AF71" s="2"/>
      <c r="AG71" s="2"/>
      <c r="AH71" s="2"/>
    </row>
    <row r="72" spans="1:3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41">
        <f t="shared" si="22"/>
        <v>6.4832219738573851E-2</v>
      </c>
      <c r="P72" s="185">
        <f t="shared" si="23"/>
        <v>0.11427971224480765</v>
      </c>
      <c r="Q72" s="141">
        <f t="shared" si="24"/>
        <v>4.5510752427742505</v>
      </c>
      <c r="R72" s="141">
        <f t="shared" si="25"/>
        <v>4.4367955305294426</v>
      </c>
      <c r="S72" s="141">
        <f t="shared" si="26"/>
        <v>4.6653549550190583</v>
      </c>
      <c r="T72" s="48">
        <f t="shared" si="27"/>
        <v>35569.293806054804</v>
      </c>
      <c r="U72" s="142">
        <f t="shared" si="32"/>
        <v>1.161</v>
      </c>
      <c r="V72" s="48">
        <f t="shared" si="28"/>
        <v>27339.812420404913</v>
      </c>
      <c r="W72" s="142">
        <f t="shared" si="29"/>
        <v>1.161</v>
      </c>
      <c r="X72" s="48">
        <f t="shared" si="30"/>
        <v>46275.908642196649</v>
      </c>
      <c r="Y72" s="142">
        <f t="shared" si="31"/>
        <v>1.161</v>
      </c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41">
        <f t="shared" si="22"/>
        <v>6.7182485523404958E-2</v>
      </c>
      <c r="P73" s="185">
        <f t="shared" si="23"/>
        <v>0.11591544911495669</v>
      </c>
      <c r="Q73" s="141">
        <f t="shared" si="24"/>
        <v>4.5316028602252976</v>
      </c>
      <c r="R73" s="141">
        <f t="shared" si="25"/>
        <v>4.4156874111103406</v>
      </c>
      <c r="S73" s="141">
        <f t="shared" si="26"/>
        <v>4.6475183093402546</v>
      </c>
      <c r="T73" s="48">
        <f t="shared" si="27"/>
        <v>34009.704635407965</v>
      </c>
      <c r="U73" s="142">
        <f t="shared" si="32"/>
        <v>1.1673</v>
      </c>
      <c r="V73" s="48">
        <f t="shared" si="28"/>
        <v>26042.784132661087</v>
      </c>
      <c r="W73" s="142">
        <f t="shared" si="29"/>
        <v>1.1673</v>
      </c>
      <c r="X73" s="48">
        <f t="shared" si="30"/>
        <v>44413.838531844354</v>
      </c>
      <c r="Y73" s="142">
        <f t="shared" si="31"/>
        <v>1.1673</v>
      </c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41">
        <f t="shared" si="22"/>
        <v>6.9520100835226264E-2</v>
      </c>
      <c r="P74" s="185">
        <f t="shared" si="23"/>
        <v>0.11757335166929403</v>
      </c>
      <c r="Q74" s="141">
        <f t="shared" si="24"/>
        <v>4.512235289162545</v>
      </c>
      <c r="R74" s="141">
        <f t="shared" si="25"/>
        <v>4.3946619374932512</v>
      </c>
      <c r="S74" s="141">
        <f t="shared" si="26"/>
        <v>4.6298086408318389</v>
      </c>
      <c r="T74" s="48">
        <f t="shared" si="27"/>
        <v>32526.346872740698</v>
      </c>
      <c r="U74" s="142">
        <f t="shared" si="32"/>
        <v>1.1736</v>
      </c>
      <c r="V74" s="48">
        <f t="shared" si="28"/>
        <v>24812.00942675754</v>
      </c>
      <c r="W74" s="142">
        <f t="shared" si="29"/>
        <v>1.1736</v>
      </c>
      <c r="X74" s="48">
        <f t="shared" si="30"/>
        <v>42639.160040981267</v>
      </c>
      <c r="Y74" s="142">
        <f t="shared" si="31"/>
        <v>1.1736</v>
      </c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41">
        <f t="shared" si="22"/>
        <v>7.1845201129409217E-2</v>
      </c>
      <c r="P75" s="185">
        <f t="shared" si="23"/>
        <v>0.11925173937162512</v>
      </c>
      <c r="Q75" s="141">
        <f t="shared" si="24"/>
        <v>4.4929714073134264</v>
      </c>
      <c r="R75" s="141">
        <f t="shared" si="25"/>
        <v>4.3737196679418009</v>
      </c>
      <c r="S75" s="141">
        <f t="shared" si="26"/>
        <v>4.6122231466850518</v>
      </c>
      <c r="T75" s="48">
        <f t="shared" si="27"/>
        <v>31115.114774891816</v>
      </c>
      <c r="U75" s="142">
        <f t="shared" si="32"/>
        <v>1.1799000000000002</v>
      </c>
      <c r="V75" s="48">
        <f t="shared" si="28"/>
        <v>23643.930165028669</v>
      </c>
      <c r="W75" s="142">
        <f t="shared" si="29"/>
        <v>1.1799000000000002</v>
      </c>
      <c r="X75" s="48">
        <f t="shared" si="30"/>
        <v>40947.099771368274</v>
      </c>
      <c r="Y75" s="142">
        <f t="shared" si="31"/>
        <v>1.1799000000000002</v>
      </c>
      <c r="Z75" s="2"/>
      <c r="AA75" s="2"/>
      <c r="AB75" s="2"/>
      <c r="AC75" s="2"/>
      <c r="AD75" s="2"/>
      <c r="AE75" s="2"/>
      <c r="AF75" s="2"/>
      <c r="AG75" s="2"/>
      <c r="AH75" s="2"/>
    </row>
    <row r="76" spans="1:3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41">
        <f t="shared" si="22"/>
        <v>7.4157919697315902E-2</v>
      </c>
      <c r="P76" s="185">
        <f t="shared" si="23"/>
        <v>0.120949028827615</v>
      </c>
      <c r="Q76" s="141">
        <f t="shared" si="24"/>
        <v>4.4738101103345906</v>
      </c>
      <c r="R76" s="141">
        <f t="shared" si="25"/>
        <v>4.3528610815069753</v>
      </c>
      <c r="S76" s="141">
        <f t="shared" si="26"/>
        <v>4.594759139162206</v>
      </c>
      <c r="T76" s="48">
        <f t="shared" si="27"/>
        <v>29772.143961742804</v>
      </c>
      <c r="U76" s="142">
        <f t="shared" si="32"/>
        <v>1.1861999999999999</v>
      </c>
      <c r="V76" s="48">
        <f t="shared" si="28"/>
        <v>22535.182602456705</v>
      </c>
      <c r="W76" s="142">
        <f t="shared" si="29"/>
        <v>1.1861999999999999</v>
      </c>
      <c r="X76" s="48">
        <f t="shared" si="30"/>
        <v>39333.187208436844</v>
      </c>
      <c r="Y76" s="142">
        <f t="shared" si="31"/>
        <v>1.1861999999999999</v>
      </c>
      <c r="Z76" s="2"/>
      <c r="AA76" s="2"/>
      <c r="AB76" s="2"/>
      <c r="AC76" s="2"/>
      <c r="AD76" s="2"/>
      <c r="AE76" s="2"/>
      <c r="AF76" s="2"/>
      <c r="AG76" s="2"/>
      <c r="AH76" s="2"/>
    </row>
    <row r="77" spans="1:3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41">
        <f t="shared" si="22"/>
        <v>7.6458387712151576E-2</v>
      </c>
      <c r="P77" s="185">
        <f t="shared" si="23"/>
        <v>0.12266372933067862</v>
      </c>
      <c r="Q77" s="141">
        <f t="shared" si="24"/>
        <v>4.4547503114320053</v>
      </c>
      <c r="R77" s="141">
        <f t="shared" si="25"/>
        <v>4.3320865821013266</v>
      </c>
      <c r="S77" s="141">
        <f t="shared" si="26"/>
        <v>4.577414040762684</v>
      </c>
      <c r="T77" s="48">
        <f t="shared" si="27"/>
        <v>28493.796050273038</v>
      </c>
      <c r="U77" s="142">
        <f t="shared" si="32"/>
        <v>1.1925000000000001</v>
      </c>
      <c r="V77" s="48">
        <f t="shared" si="28"/>
        <v>21482.587140042418</v>
      </c>
      <c r="W77" s="142">
        <f t="shared" si="29"/>
        <v>1.1925000000000001</v>
      </c>
      <c r="X77" s="48">
        <f t="shared" si="30"/>
        <v>37793.232633569678</v>
      </c>
      <c r="Y77" s="142">
        <f t="shared" si="31"/>
        <v>1.1925000000000001</v>
      </c>
      <c r="Z77" s="2"/>
      <c r="AA77" s="2"/>
      <c r="AB77" s="2"/>
      <c r="AC77" s="2"/>
      <c r="AD77" s="2"/>
      <c r="AE77" s="2"/>
      <c r="AF77" s="2"/>
      <c r="AG77" s="2"/>
      <c r="AH77" s="2"/>
    </row>
    <row r="78" spans="1:3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41">
        <f t="shared" si="22"/>
        <v>7.8746734273607163E-2</v>
      </c>
      <c r="P78" s="185">
        <f t="shared" si="23"/>
        <v>0.12439443837856376</v>
      </c>
      <c r="Q78" s="141">
        <f t="shared" si="24"/>
        <v>4.4357909409910805</v>
      </c>
      <c r="R78" s="141">
        <f t="shared" si="25"/>
        <v>4.3113965026125172</v>
      </c>
      <c r="S78" s="141">
        <f t="shared" si="26"/>
        <v>4.5601853793696439</v>
      </c>
      <c r="T78" s="48">
        <f t="shared" si="27"/>
        <v>27276.644341018087</v>
      </c>
      <c r="U78" s="142">
        <f t="shared" si="32"/>
        <v>1.1988000000000001</v>
      </c>
      <c r="V78" s="48">
        <f t="shared" si="28"/>
        <v>20483.138549561485</v>
      </c>
      <c r="W78" s="142">
        <f t="shared" si="29"/>
        <v>1.1988000000000001</v>
      </c>
      <c r="X78" s="48">
        <f t="shared" si="30"/>
        <v>36323.306836311029</v>
      </c>
      <c r="Y78" s="142">
        <f t="shared" si="31"/>
        <v>1.1988000000000001</v>
      </c>
      <c r="Z78" s="2"/>
      <c r="AA78" s="2"/>
      <c r="AB78" s="2"/>
      <c r="AC78" s="2"/>
      <c r="AD78" s="2"/>
      <c r="AE78" s="2"/>
      <c r="AF78" s="2"/>
      <c r="AG78" s="2"/>
      <c r="AH78" s="2"/>
    </row>
    <row r="79" spans="1:3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41">
        <f t="shared" si="22"/>
        <v>8.1023086451333867E-2</v>
      </c>
      <c r="P79" s="185">
        <f t="shared" si="23"/>
        <v>0.1261398372140955</v>
      </c>
      <c r="Q79" s="141">
        <f t="shared" si="24"/>
        <v>4.416930946216481</v>
      </c>
      <c r="R79" s="141">
        <f t="shared" si="25"/>
        <v>4.2907911090023854</v>
      </c>
      <c r="S79" s="141">
        <f t="shared" si="26"/>
        <v>4.5430707834305766</v>
      </c>
      <c r="T79" s="48">
        <f t="shared" si="27"/>
        <v>26117.460479825277</v>
      </c>
      <c r="U79" s="142">
        <f t="shared" si="32"/>
        <v>1.2051000000000001</v>
      </c>
      <c r="V79" s="48">
        <f t="shared" si="28"/>
        <v>19533.996654467974</v>
      </c>
      <c r="W79" s="142">
        <f t="shared" si="29"/>
        <v>1.2051000000000001</v>
      </c>
      <c r="X79" s="48">
        <f t="shared" si="30"/>
        <v>34919.72247057873</v>
      </c>
      <c r="Y79" s="142">
        <f t="shared" si="31"/>
        <v>1.2051000000000001</v>
      </c>
      <c r="Z79" s="2"/>
      <c r="AA79" s="2"/>
      <c r="AB79" s="2"/>
      <c r="AC79" s="2"/>
      <c r="AD79" s="2"/>
      <c r="AE79" s="2"/>
      <c r="AF79" s="2"/>
      <c r="AG79" s="2"/>
      <c r="AH79" s="2"/>
    </row>
    <row r="80" spans="1:3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41">
        <f t="shared" si="22"/>
        <v>8.3287569327282929E-2</v>
      </c>
      <c r="P80" s="185">
        <f t="shared" si="23"/>
        <v>0.127898686432808</v>
      </c>
      <c r="Q80" s="141">
        <f t="shared" si="24"/>
        <v>4.3981692907813272</v>
      </c>
      <c r="R80" s="141">
        <f t="shared" si="25"/>
        <v>4.2702706043485197</v>
      </c>
      <c r="S80" s="141">
        <f t="shared" si="26"/>
        <v>4.5260679772141348</v>
      </c>
      <c r="T80" s="48">
        <f t="shared" si="27"/>
        <v>25013.202023815473</v>
      </c>
      <c r="U80" s="142">
        <f t="shared" si="32"/>
        <v>1.2114</v>
      </c>
      <c r="V80" s="48">
        <f t="shared" si="28"/>
        <v>18632.477452224073</v>
      </c>
      <c r="W80" s="142">
        <f t="shared" si="29"/>
        <v>1.2114</v>
      </c>
      <c r="X80" s="48">
        <f t="shared" si="30"/>
        <v>33579.016912188621</v>
      </c>
      <c r="Y80" s="142">
        <f t="shared" si="31"/>
        <v>1.2114</v>
      </c>
      <c r="Z80" s="2"/>
      <c r="AA80" s="2"/>
      <c r="AB80" s="2"/>
      <c r="AC80" s="2"/>
      <c r="AD80" s="2"/>
      <c r="AE80" s="2"/>
      <c r="AF80" s="2"/>
      <c r="AG80" s="2"/>
      <c r="AH80" s="2"/>
    </row>
    <row r="81" spans="1:3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41">
        <f t="shared" si="22"/>
        <v>8.5540306036947927E-2</v>
      </c>
      <c r="P81" s="185">
        <f t="shared" si="23"/>
        <v>0.12966982169094188</v>
      </c>
      <c r="Q81" s="141">
        <f t="shared" si="24"/>
        <v>4.3795049544854994</v>
      </c>
      <c r="R81" s="141">
        <f t="shared" si="25"/>
        <v>4.2498351327945576</v>
      </c>
      <c r="S81" s="141">
        <f t="shared" si="26"/>
        <v>4.5091747761764411</v>
      </c>
      <c r="T81" s="48">
        <f t="shared" si="27"/>
        <v>23961.000845976159</v>
      </c>
      <c r="U81" s="142">
        <f t="shared" si="32"/>
        <v>1.2177000000000002</v>
      </c>
      <c r="V81" s="48">
        <f t="shared" si="28"/>
        <v>17776.044663601901</v>
      </c>
      <c r="W81" s="142">
        <f t="shared" si="29"/>
        <v>1.2177000000000002</v>
      </c>
      <c r="X81" s="48">
        <f t="shared" si="30"/>
        <v>32297.93648732526</v>
      </c>
      <c r="Y81" s="142">
        <f t="shared" si="31"/>
        <v>1.2177000000000002</v>
      </c>
      <c r="Z81" s="2"/>
      <c r="AA81" s="2"/>
      <c r="AB81" s="2"/>
      <c r="AC81" s="2"/>
      <c r="AD81" s="2"/>
      <c r="AE81" s="2"/>
      <c r="AF81" s="2"/>
      <c r="AG81" s="2"/>
      <c r="AH81" s="2"/>
    </row>
    <row r="82" spans="1:3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41">
        <f t="shared" si="22"/>
        <v>8.7781417809542461E-2</v>
      </c>
      <c r="P82" s="185">
        <f t="shared" si="23"/>
        <v>0.13145214953939585</v>
      </c>
      <c r="Q82" s="141">
        <f t="shared" si="24"/>
        <v>4.3609369329227556</v>
      </c>
      <c r="R82" s="141">
        <f t="shared" si="25"/>
        <v>4.2294847833833602</v>
      </c>
      <c r="S82" s="141">
        <f t="shared" si="26"/>
        <v>4.4923890824621511</v>
      </c>
      <c r="T82" s="48">
        <f t="shared" si="27"/>
        <v>22958.152317874086</v>
      </c>
      <c r="U82" s="142">
        <f t="shared" si="32"/>
        <v>1.2240000000000002</v>
      </c>
      <c r="V82" s="48">
        <f t="shared" si="28"/>
        <v>16962.301694616563</v>
      </c>
      <c r="W82" s="142">
        <f t="shared" si="29"/>
        <v>1.2240000000000002</v>
      </c>
      <c r="X82" s="48">
        <f t="shared" si="30"/>
        <v>31073.421952988258</v>
      </c>
      <c r="Y82" s="142">
        <f t="shared" si="31"/>
        <v>1.2240000000000002</v>
      </c>
      <c r="Z82" s="2"/>
      <c r="AA82" s="2"/>
      <c r="AB82" s="2"/>
      <c r="AC82" s="2"/>
      <c r="AD82" s="2"/>
      <c r="AE82" s="2"/>
      <c r="AF82" s="2"/>
      <c r="AG82" s="2"/>
      <c r="AH82" s="2"/>
    </row>
    <row r="83" spans="1:3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41">
        <f t="shared" si="22"/>
        <v>9.0011024007147208E-2</v>
      </c>
      <c r="P83" s="185">
        <f t="shared" si="23"/>
        <v>0.1332446434025667</v>
      </c>
      <c r="Q83" s="141">
        <f t="shared" si="24"/>
        <v>4.3424642371563937</v>
      </c>
      <c r="R83" s="141">
        <f t="shared" si="25"/>
        <v>4.2092195937538275</v>
      </c>
      <c r="S83" s="141">
        <f t="shared" si="26"/>
        <v>4.47570888055896</v>
      </c>
      <c r="T83" s="48">
        <f t="shared" si="27"/>
        <v>22002.10521462289</v>
      </c>
      <c r="U83" s="142">
        <f t="shared" si="32"/>
        <v>1.2303000000000002</v>
      </c>
      <c r="V83" s="48">
        <f t="shared" si="28"/>
        <v>16188.983996768759</v>
      </c>
      <c r="W83" s="142">
        <f t="shared" si="29"/>
        <v>1.2303000000000002</v>
      </c>
      <c r="X83" s="48">
        <f t="shared" si="30"/>
        <v>29902.595120975933</v>
      </c>
      <c r="Y83" s="142">
        <f t="shared" si="31"/>
        <v>1.2303000000000002</v>
      </c>
      <c r="Z83" s="2"/>
      <c r="AA83" s="2"/>
      <c r="AB83" s="2"/>
      <c r="AC83" s="2"/>
      <c r="AD83" s="2"/>
      <c r="AE83" s="2"/>
      <c r="AF83" s="2"/>
      <c r="AG83" s="2"/>
      <c r="AH83" s="2"/>
    </row>
    <row r="84" spans="1:3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41">
        <f t="shared" si="22"/>
        <v>9.2229242162856551E-2</v>
      </c>
      <c r="P84" s="185">
        <f t="shared" si="23"/>
        <v>0.13504633971544869</v>
      </c>
      <c r="Q84" s="141">
        <f t="shared" si="24"/>
        <v>4.3240858934031969</v>
      </c>
      <c r="R84" s="141">
        <f t="shared" si="25"/>
        <v>4.1890395536877483</v>
      </c>
      <c r="S84" s="141">
        <f t="shared" si="26"/>
        <v>4.4591322331186456</v>
      </c>
      <c r="T84" s="48">
        <f t="shared" si="27"/>
        <v>21090.452290512731</v>
      </c>
      <c r="U84" s="142">
        <f t="shared" si="32"/>
        <v>1.2366000000000001</v>
      </c>
      <c r="V84" s="48">
        <f t="shared" si="28"/>
        <v>15453.951811262601</v>
      </c>
      <c r="W84" s="142">
        <f t="shared" si="29"/>
        <v>1.2366000000000001</v>
      </c>
      <c r="X84" s="48">
        <f t="shared" si="30"/>
        <v>28782.746526634382</v>
      </c>
      <c r="Y84" s="142">
        <f t="shared" si="31"/>
        <v>1.2366000000000001</v>
      </c>
      <c r="Z84" s="2"/>
      <c r="AA84" s="2"/>
      <c r="AB84" s="2"/>
      <c r="AC84" s="2"/>
      <c r="AD84" s="2"/>
      <c r="AE84" s="2"/>
      <c r="AF84" s="2"/>
      <c r="AG84" s="2"/>
      <c r="AH84" s="2"/>
    </row>
    <row r="85" spans="1:3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41">
        <f t="shared" si="22"/>
        <v>9.4436188017956196E-2</v>
      </c>
      <c r="P85" s="185">
        <f t="shared" si="23"/>
        <v>0.13685633422776375</v>
      </c>
      <c r="Q85" s="141">
        <f t="shared" si="24"/>
        <v>4.3058009427254103</v>
      </c>
      <c r="R85" s="141">
        <f t="shared" si="25"/>
        <v>4.1689446084976467</v>
      </c>
      <c r="S85" s="141">
        <f t="shared" si="26"/>
        <v>4.4426572769531738</v>
      </c>
      <c r="T85" s="48">
        <f t="shared" si="27"/>
        <v>20220.9214776318</v>
      </c>
      <c r="U85" s="142">
        <f t="shared" si="32"/>
        <v>1.2429000000000001</v>
      </c>
      <c r="V85" s="48">
        <f t="shared" si="28"/>
        <v>14755.183282842887</v>
      </c>
      <c r="W85" s="142">
        <f t="shared" si="29"/>
        <v>1.2429000000000001</v>
      </c>
      <c r="X85" s="48">
        <f t="shared" si="30"/>
        <v>27711.324052477026</v>
      </c>
      <c r="Y85" s="142">
        <f t="shared" si="31"/>
        <v>1.2429000000000001</v>
      </c>
      <c r="Z85" s="2"/>
      <c r="AA85" s="2"/>
      <c r="AB85" s="2"/>
      <c r="AC85" s="2"/>
      <c r="AD85" s="2"/>
      <c r="AE85" s="2"/>
      <c r="AF85" s="2"/>
      <c r="AG85" s="2"/>
      <c r="AH85" s="2"/>
    </row>
    <row r="86" spans="1:3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41">
        <f t="shared" si="22"/>
        <v>9.6631975558161012E-2</v>
      </c>
      <c r="P86" s="185">
        <f t="shared" si="23"/>
        <v>0.13867377848012946</v>
      </c>
      <c r="Q86" s="141">
        <f t="shared" si="24"/>
        <v>4.2876084407305077</v>
      </c>
      <c r="R86" s="141">
        <f t="shared" si="25"/>
        <v>4.1489346622503787</v>
      </c>
      <c r="S86" s="141">
        <f t="shared" si="26"/>
        <v>4.4262822192106368</v>
      </c>
      <c r="T86" s="48">
        <f t="shared" si="27"/>
        <v>19391.367663417001</v>
      </c>
      <c r="U86" s="142">
        <f t="shared" si="32"/>
        <v>1.2492000000000001</v>
      </c>
      <c r="V86" s="48">
        <f t="shared" si="28"/>
        <v>14090.767928902924</v>
      </c>
      <c r="W86" s="142">
        <f t="shared" si="29"/>
        <v>1.2492000000000001</v>
      </c>
      <c r="X86" s="48">
        <f t="shared" si="30"/>
        <v>26685.922424888806</v>
      </c>
      <c r="Y86" s="142">
        <f t="shared" si="31"/>
        <v>1.2492000000000001</v>
      </c>
      <c r="Z86" s="2"/>
      <c r="AA86" s="2"/>
      <c r="AB86" s="2"/>
      <c r="AC86" s="2"/>
      <c r="AD86" s="2"/>
      <c r="AE86" s="2"/>
      <c r="AF86" s="2"/>
      <c r="AG86" s="2"/>
      <c r="AH86" s="2"/>
    </row>
    <row r="87" spans="1:3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41">
        <f t="shared" si="22"/>
        <v>9.8816717048941252E-2</v>
      </c>
      <c r="P87" s="185">
        <f t="shared" si="23"/>
        <v>0.14049787645422537</v>
      </c>
      <c r="Q87" s="141">
        <f t="shared" si="24"/>
        <v>4.269507457278503</v>
      </c>
      <c r="R87" s="141">
        <f t="shared" si="25"/>
        <v>4.1290095808242775</v>
      </c>
      <c r="S87" s="141">
        <f t="shared" si="26"/>
        <v>4.4100053337327285</v>
      </c>
      <c r="T87" s="48">
        <f t="shared" si="27"/>
        <v>18599.765006389349</v>
      </c>
      <c r="U87" s="142">
        <f t="shared" si="32"/>
        <v>1.2555000000000001</v>
      </c>
      <c r="V87" s="48">
        <f t="shared" si="28"/>
        <v>13458.900449553788</v>
      </c>
      <c r="W87" s="142">
        <f t="shared" si="29"/>
        <v>1.2555000000000001</v>
      </c>
      <c r="X87" s="48">
        <f t="shared" si="30"/>
        <v>25704.273509532941</v>
      </c>
      <c r="Y87" s="142">
        <f t="shared" si="31"/>
        <v>1.2555000000000001</v>
      </c>
      <c r="Z87" s="2"/>
      <c r="AA87" s="2"/>
      <c r="AB87" s="2"/>
      <c r="AC87" s="2"/>
      <c r="AD87" s="2"/>
      <c r="AE87" s="2"/>
      <c r="AF87" s="2"/>
      <c r="AG87" s="2"/>
      <c r="AH87" s="2"/>
    </row>
    <row r="88" spans="1:3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41">
        <f t="shared" si="22"/>
        <v>0.10099052306996474</v>
      </c>
      <c r="P88" s="185">
        <f t="shared" si="23"/>
        <v>0.14232788139648875</v>
      </c>
      <c r="Q88" s="141">
        <f t="shared" si="24"/>
        <v>4.2514970761965918</v>
      </c>
      <c r="R88" s="141">
        <f t="shared" si="25"/>
        <v>4.1091691948001028</v>
      </c>
      <c r="S88" s="141">
        <f t="shared" si="26"/>
        <v>4.3938249575930808</v>
      </c>
      <c r="T88" s="48">
        <f t="shared" si="27"/>
        <v>17844.199752383676</v>
      </c>
      <c r="U88" s="142">
        <f t="shared" si="32"/>
        <v>1.2618</v>
      </c>
      <c r="V88" s="48">
        <f t="shared" si="28"/>
        <v>12857.874864436895</v>
      </c>
      <c r="W88" s="142">
        <f t="shared" si="29"/>
        <v>1.2618</v>
      </c>
      <c r="X88" s="48">
        <f t="shared" si="30"/>
        <v>24764.237337825034</v>
      </c>
      <c r="Y88" s="142">
        <f t="shared" si="31"/>
        <v>1.2618</v>
      </c>
      <c r="Z88" s="2"/>
      <c r="AA88" s="2"/>
      <c r="AB88" s="2"/>
      <c r="AC88" s="2"/>
      <c r="AD88" s="2"/>
      <c r="AE88" s="2"/>
      <c r="AF88" s="2"/>
      <c r="AG88" s="2"/>
      <c r="AH88" s="2"/>
    </row>
    <row r="89" spans="1:3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41">
        <f t="shared" si="22"/>
        <v>0.1031535025486813</v>
      </c>
      <c r="P89" s="185">
        <f t="shared" si="23"/>
        <v>0.144163092812957</v>
      </c>
      <c r="Q89" s="141">
        <f t="shared" si="24"/>
        <v>4.2335763950008989</v>
      </c>
      <c r="R89" s="141">
        <f t="shared" si="25"/>
        <v>4.0894133021879417</v>
      </c>
      <c r="S89" s="141">
        <f t="shared" si="26"/>
        <v>4.377739487813856</v>
      </c>
      <c r="T89" s="48">
        <f t="shared" si="27"/>
        <v>17122.863516391215</v>
      </c>
      <c r="U89" s="142">
        <f t="shared" si="32"/>
        <v>1.2681</v>
      </c>
      <c r="V89" s="48">
        <f t="shared" si="28"/>
        <v>12286.078962199286</v>
      </c>
      <c r="W89" s="142">
        <f t="shared" si="29"/>
        <v>1.2681</v>
      </c>
      <c r="X89" s="48">
        <f t="shared" si="30"/>
        <v>23863.793802972432</v>
      </c>
      <c r="Y89" s="142">
        <f t="shared" si="31"/>
        <v>1.2681</v>
      </c>
      <c r="Z89" s="2"/>
      <c r="AA89" s="2"/>
      <c r="AB89" s="2"/>
      <c r="AC89" s="2"/>
      <c r="AD89" s="2"/>
      <c r="AE89" s="2"/>
      <c r="AF89" s="2"/>
      <c r="AG89" s="2"/>
      <c r="AH89" s="2"/>
    </row>
    <row r="90" spans="1:3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41">
        <f t="shared" si="22"/>
        <v>0.10530576279307508</v>
      </c>
      <c r="P90" s="185">
        <f t="shared" si="23"/>
        <v>0.14600285363140181</v>
      </c>
      <c r="Q90" s="141">
        <f t="shared" si="24"/>
        <v>4.2157445246251193</v>
      </c>
      <c r="R90" s="141">
        <f t="shared" si="25"/>
        <v>4.0697416709937171</v>
      </c>
      <c r="S90" s="141">
        <f t="shared" si="26"/>
        <v>4.3617473782565215</v>
      </c>
      <c r="T90" s="48">
        <f t="shared" si="27"/>
        <v>16434.046997723566</v>
      </c>
      <c r="U90" s="142">
        <f t="shared" si="32"/>
        <v>1.2744</v>
      </c>
      <c r="V90" s="48">
        <f t="shared" si="28"/>
        <v>11741.989048742866</v>
      </c>
      <c r="W90" s="142">
        <f t="shared" si="29"/>
        <v>1.2744</v>
      </c>
      <c r="X90" s="48">
        <f t="shared" si="30"/>
        <v>23001.034969650384</v>
      </c>
      <c r="Y90" s="142">
        <f t="shared" si="31"/>
        <v>1.2744</v>
      </c>
      <c r="Z90" s="2"/>
      <c r="AA90" s="2"/>
      <c r="AB90" s="2"/>
      <c r="AC90" s="2"/>
      <c r="AD90" s="2"/>
      <c r="AE90" s="2"/>
      <c r="AF90" s="2"/>
      <c r="AG90" s="2"/>
      <c r="AH90" s="2"/>
    </row>
    <row r="91" spans="1:3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41">
        <f t="shared" si="22"/>
        <v>0.10744740952360919</v>
      </c>
      <c r="P91" s="185">
        <f t="shared" si="23"/>
        <v>0.14784654752578608</v>
      </c>
      <c r="Q91" s="141">
        <f t="shared" si="24"/>
        <v>4.1980005891558507</v>
      </c>
      <c r="R91" s="141">
        <f t="shared" si="25"/>
        <v>4.0501540416300648</v>
      </c>
      <c r="S91" s="141">
        <f t="shared" si="26"/>
        <v>4.3458471366816367</v>
      </c>
      <c r="T91" s="48">
        <f t="shared" si="27"/>
        <v>15776.134098590304</v>
      </c>
      <c r="U91" s="142">
        <f t="shared" si="32"/>
        <v>1.2806999999999999</v>
      </c>
      <c r="V91" s="48">
        <f t="shared" si="28"/>
        <v>11224.16498059619</v>
      </c>
      <c r="W91" s="142">
        <f t="shared" si="29"/>
        <v>1.2806999999999999</v>
      </c>
      <c r="X91" s="48">
        <f t="shared" si="30"/>
        <v>22174.157946445666</v>
      </c>
      <c r="Y91" s="142">
        <f t="shared" si="31"/>
        <v>1.2806999999999999</v>
      </c>
      <c r="Z91" s="2"/>
      <c r="AA91" s="2"/>
      <c r="AB91" s="2"/>
      <c r="AC91" s="2"/>
      <c r="AD91" s="2"/>
      <c r="AE91" s="2"/>
      <c r="AF91" s="2"/>
      <c r="AG91" s="2"/>
      <c r="AH91" s="2"/>
    </row>
    <row r="92" spans="1:3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41">
        <f t="shared" si="22"/>
        <v>0.10957854690438673</v>
      </c>
      <c r="P92" s="185">
        <f t="shared" si="23"/>
        <v>0.14969359639726693</v>
      </c>
      <c r="Q92" s="141">
        <f t="shared" si="24"/>
        <v>4.1803437255744171</v>
      </c>
      <c r="R92" s="141">
        <f t="shared" si="25"/>
        <v>4.0306501291771504</v>
      </c>
      <c r="S92" s="141">
        <f t="shared" si="26"/>
        <v>4.3300373219716839</v>
      </c>
      <c r="T92" s="48">
        <f t="shared" si="27"/>
        <v>15147.596418381147</v>
      </c>
      <c r="U92" s="142">
        <f t="shared" si="32"/>
        <v>1.2870000000000001</v>
      </c>
      <c r="V92" s="48">
        <f t="shared" si="28"/>
        <v>10731.245470040354</v>
      </c>
      <c r="W92" s="142">
        <f t="shared" si="29"/>
        <v>1.2870000000000001</v>
      </c>
      <c r="X92" s="48">
        <f t="shared" si="30"/>
        <v>21381.458274785928</v>
      </c>
      <c r="Y92" s="142">
        <f t="shared" si="31"/>
        <v>1.2870000000000001</v>
      </c>
      <c r="Z92" s="2"/>
      <c r="AA92" s="2"/>
      <c r="AB92" s="2"/>
      <c r="AC92" s="2"/>
      <c r="AD92" s="2"/>
      <c r="AE92" s="2"/>
      <c r="AF92" s="2"/>
      <c r="AG92" s="2"/>
      <c r="AH92" s="2"/>
    </row>
    <row r="93" spans="1:3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41">
        <f t="shared" si="22"/>
        <v>0.11169927757355057</v>
      </c>
      <c r="P93" s="185">
        <f t="shared" si="23"/>
        <v>0.15154345800540206</v>
      </c>
      <c r="Q93" s="141">
        <f t="shared" si="24"/>
        <v>4.1627730835050052</v>
      </c>
      <c r="R93" s="141">
        <f t="shared" si="25"/>
        <v>4.0112296254996034</v>
      </c>
      <c r="S93" s="141">
        <f t="shared" si="26"/>
        <v>4.314316541510407</v>
      </c>
      <c r="T93" s="48">
        <f t="shared" si="27"/>
        <v>14546.988097969817</v>
      </c>
      <c r="U93" s="142">
        <f t="shared" si="32"/>
        <v>1.2933000000000001</v>
      </c>
      <c r="V93" s="48">
        <f t="shared" si="28"/>
        <v>10261.943648942766</v>
      </c>
      <c r="W93" s="142">
        <f t="shared" si="29"/>
        <v>1.2933000000000001</v>
      </c>
      <c r="X93" s="48">
        <f t="shared" si="30"/>
        <v>20621.323792230829</v>
      </c>
      <c r="Y93" s="142">
        <f t="shared" si="31"/>
        <v>1.2933000000000001</v>
      </c>
      <c r="Z93" s="2"/>
      <c r="AA93" s="2"/>
      <c r="AB93" s="2"/>
      <c r="AC93" s="2"/>
      <c r="AD93" s="2"/>
      <c r="AE93" s="2"/>
      <c r="AF93" s="2"/>
      <c r="AG93" s="2"/>
      <c r="AH93" s="2"/>
    </row>
    <row r="94" spans="1:3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41">
        <f t="shared" si="22"/>
        <v>0.11380970267294521</v>
      </c>
      <c r="P94" s="185">
        <f t="shared" si="23"/>
        <v>0.15339562374285734</v>
      </c>
      <c r="Q94" s="141">
        <f t="shared" si="24"/>
        <v>4.1452878249689045</v>
      </c>
      <c r="R94" s="141">
        <f t="shared" si="25"/>
        <v>3.9918922012260469</v>
      </c>
      <c r="S94" s="141">
        <f t="shared" si="26"/>
        <v>4.2986834487117616</v>
      </c>
      <c r="T94" s="48">
        <f t="shared" si="27"/>
        <v>13972.940990226589</v>
      </c>
      <c r="U94" s="142">
        <f t="shared" si="32"/>
        <v>1.2996000000000001</v>
      </c>
      <c r="V94" s="48">
        <f t="shared" si="28"/>
        <v>9815.0428786066186</v>
      </c>
      <c r="W94" s="142">
        <f t="shared" si="29"/>
        <v>1.2996000000000001</v>
      </c>
      <c r="X94" s="48">
        <f t="shared" si="30"/>
        <v>19892.228931767222</v>
      </c>
      <c r="Y94" s="142">
        <f t="shared" si="31"/>
        <v>1.2996000000000001</v>
      </c>
      <c r="Z94" s="2"/>
      <c r="AA94" s="2"/>
      <c r="AB94" s="2"/>
      <c r="AC94" s="2"/>
      <c r="AD94" s="2"/>
      <c r="AE94" s="2"/>
      <c r="AF94" s="2"/>
      <c r="AG94" s="2"/>
      <c r="AH94" s="2"/>
    </row>
    <row r="95" spans="1:3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41">
        <f t="shared" si="22"/>
        <v>0.11590992187706084</v>
      </c>
      <c r="P95" s="185">
        <f t="shared" si="23"/>
        <v>0.15524961654670857</v>
      </c>
      <c r="Q95" s="141">
        <f t="shared" si="24"/>
        <v>4.1278871241447064</v>
      </c>
      <c r="R95" s="141">
        <f t="shared" si="25"/>
        <v>3.9726375075979976</v>
      </c>
      <c r="S95" s="141">
        <f t="shared" si="26"/>
        <v>4.2831367406914147</v>
      </c>
      <c r="T95" s="48">
        <f t="shared" si="27"/>
        <v>13424.160134652031</v>
      </c>
      <c r="U95" s="142">
        <f t="shared" si="32"/>
        <v>1.3059000000000003</v>
      </c>
      <c r="V95" s="48">
        <f t="shared" si="28"/>
        <v>9389.392793328303</v>
      </c>
      <c r="W95" s="142">
        <f t="shared" si="29"/>
        <v>1.3059000000000003</v>
      </c>
      <c r="X95" s="48">
        <f t="shared" si="30"/>
        <v>19192.729422165467</v>
      </c>
      <c r="Y95" s="142">
        <f t="shared" si="31"/>
        <v>1.3059000000000003</v>
      </c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41">
        <f t="shared" si="22"/>
        <v>0.11800003342128071</v>
      </c>
      <c r="P96" s="185">
        <f t="shared" si="23"/>
        <v>0.15710498893936095</v>
      </c>
      <c r="Q96" s="141">
        <f t="shared" si="24"/>
        <v>4.1105701671342647</v>
      </c>
      <c r="R96" s="141">
        <f t="shared" si="25"/>
        <v>3.9534651781949037</v>
      </c>
      <c r="S96" s="141">
        <f t="shared" si="26"/>
        <v>4.2676751560736257</v>
      </c>
      <c r="T96" s="48">
        <f t="shared" si="27"/>
        <v>12899.419515636278</v>
      </c>
      <c r="U96" s="142">
        <f t="shared" si="32"/>
        <v>1.3122</v>
      </c>
      <c r="V96" s="48">
        <f t="shared" si="28"/>
        <v>8983.9055657584904</v>
      </c>
      <c r="W96" s="142">
        <f t="shared" si="29"/>
        <v>1.3122</v>
      </c>
      <c r="X96" s="48">
        <f t="shared" si="30"/>
        <v>18521.457357541738</v>
      </c>
      <c r="Y96" s="142">
        <f t="shared" si="31"/>
        <v>1.3122</v>
      </c>
      <c r="Z96" s="2"/>
      <c r="AA96" s="2"/>
      <c r="AB96" s="2"/>
      <c r="AC96" s="2"/>
      <c r="AD96" s="2"/>
      <c r="AE96" s="2"/>
      <c r="AF96" s="2"/>
      <c r="AG96" s="2"/>
      <c r="AH96" s="2"/>
    </row>
    <row r="97" spans="1:3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41">
        <f t="shared" si="22"/>
        <v>0.12008013412945322</v>
      </c>
      <c r="P97" s="185">
        <f t="shared" si="23"/>
        <v>0.15896132119213971</v>
      </c>
      <c r="Q97" s="141">
        <f t="shared" si="24"/>
        <v>4.0933361517342606</v>
      </c>
      <c r="R97" s="141">
        <f t="shared" si="25"/>
        <v>3.9343748305421209</v>
      </c>
      <c r="S97" s="141">
        <f t="shared" si="26"/>
        <v>4.2522974729264007</v>
      </c>
      <c r="T97" s="48">
        <f t="shared" si="27"/>
        <v>12397.55808532005</v>
      </c>
      <c r="U97" s="142">
        <f t="shared" si="32"/>
        <v>1.3185000000000002</v>
      </c>
      <c r="V97" s="48">
        <f t="shared" si="28"/>
        <v>8597.5523825849323</v>
      </c>
      <c r="W97" s="142">
        <f t="shared" si="29"/>
        <v>1.3185000000000002</v>
      </c>
      <c r="X97" s="48">
        <f t="shared" si="30"/>
        <v>17877.116607072436</v>
      </c>
      <c r="Y97" s="142">
        <f t="shared" si="31"/>
        <v>1.3185000000000002</v>
      </c>
      <c r="Z97" s="2"/>
      <c r="AA97" s="2"/>
      <c r="AB97" s="2"/>
      <c r="AC97" s="2"/>
      <c r="AD97" s="2"/>
      <c r="AE97" s="2"/>
      <c r="AF97" s="2"/>
      <c r="AG97" s="2"/>
      <c r="AH97" s="2"/>
    </row>
    <row r="98" spans="1:3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41">
        <f t="shared" si="22"/>
        <v>0.122150319440805</v>
      </c>
      <c r="P98" s="185">
        <f t="shared" ref="P98:P102" si="33">SQRT(2*$I$16*$K$24)*SQRT((1/$I$1)+((O98-$I$10)^2/$I$7))</f>
        <v>0.16081821960470916</v>
      </c>
      <c r="Q98" s="141">
        <f t="shared" si="24"/>
        <v>4.0761842872132181</v>
      </c>
      <c r="R98" s="141">
        <f t="shared" si="25"/>
        <v>3.9153660676085091</v>
      </c>
      <c r="S98" s="141">
        <f t="shared" si="26"/>
        <v>4.2370025068179276</v>
      </c>
      <c r="T98" s="48">
        <f t="shared" si="27"/>
        <v>11917.476033392157</v>
      </c>
      <c r="U98" s="142">
        <f t="shared" si="32"/>
        <v>1.3248000000000002</v>
      </c>
      <c r="V98" s="48">
        <f t="shared" si="28"/>
        <v>8229.3601194885705</v>
      </c>
      <c r="W98" s="142">
        <f t="shared" si="29"/>
        <v>1.3248000000000002</v>
      </c>
      <c r="X98" s="48">
        <f t="shared" si="30"/>
        <v>17258.478538341475</v>
      </c>
      <c r="Y98" s="142">
        <f t="shared" si="31"/>
        <v>1.3248000000000002</v>
      </c>
      <c r="Z98" s="2"/>
      <c r="AA98" s="2"/>
      <c r="AB98" s="2"/>
      <c r="AC98" s="2"/>
      <c r="AD98" s="2"/>
      <c r="AE98" s="2"/>
      <c r="AF98" s="2"/>
      <c r="AG98" s="2"/>
      <c r="AH98" s="2"/>
    </row>
    <row r="99" spans="1:3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41">
        <f t="shared" si="22"/>
        <v>0.12421068343621738</v>
      </c>
      <c r="P99" s="185">
        <f t="shared" si="33"/>
        <v>0.16267531489365181</v>
      </c>
      <c r="Q99" s="141">
        <f t="shared" si="24"/>
        <v>4.0591137940938022</v>
      </c>
      <c r="R99" s="141">
        <f t="shared" si="25"/>
        <v>3.8964384792001505</v>
      </c>
      <c r="S99" s="141">
        <f t="shared" si="26"/>
        <v>4.221789108987454</v>
      </c>
      <c r="T99" s="48">
        <f t="shared" si="27"/>
        <v>11458.131287414109</v>
      </c>
      <c r="U99" s="142">
        <f t="shared" si="32"/>
        <v>1.3311000000000002</v>
      </c>
      <c r="V99" s="48">
        <f t="shared" si="28"/>
        <v>7878.408204763663</v>
      </c>
      <c r="W99" s="142">
        <f t="shared" si="29"/>
        <v>1.3311000000000002</v>
      </c>
      <c r="X99" s="48">
        <f t="shared" si="30"/>
        <v>16664.378030099328</v>
      </c>
      <c r="Y99" s="142">
        <f t="shared" si="31"/>
        <v>1.3311000000000002</v>
      </c>
      <c r="Z99" s="2"/>
      <c r="AA99" s="2"/>
      <c r="AB99" s="2"/>
      <c r="AC99" s="2"/>
      <c r="AD99" s="2"/>
      <c r="AE99" s="2"/>
      <c r="AF99" s="2"/>
      <c r="AG99" s="2"/>
      <c r="AH99" s="2"/>
    </row>
    <row r="100" spans="1:3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41">
        <f t="shared" si="22"/>
        <v>0.12626131886388142</v>
      </c>
      <c r="P100" s="185">
        <f t="shared" si="33"/>
        <v>0.16453226068374402</v>
      </c>
      <c r="Q100" s="141">
        <f t="shared" si="24"/>
        <v>4.0421239039402606</v>
      </c>
      <c r="R100" s="141">
        <f t="shared" si="25"/>
        <v>3.8775916432565167</v>
      </c>
      <c r="S100" s="141">
        <f t="shared" si="26"/>
        <v>4.2066561646240048</v>
      </c>
      <c r="T100" s="48">
        <f t="shared" si="27"/>
        <v>11018.536228424011</v>
      </c>
      <c r="U100" s="142">
        <f t="shared" si="32"/>
        <v>1.3374000000000004</v>
      </c>
      <c r="V100" s="48">
        <f t="shared" si="28"/>
        <v>7543.8256614377087</v>
      </c>
      <c r="W100" s="142">
        <f t="shared" si="29"/>
        <v>1.3374000000000004</v>
      </c>
      <c r="X100" s="48">
        <f t="shared" si="30"/>
        <v>16093.709752294879</v>
      </c>
      <c r="Y100" s="142">
        <f t="shared" si="31"/>
        <v>1.3374000000000004</v>
      </c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41">
        <f t="shared" si="22"/>
        <v>0.12830231716435031</v>
      </c>
      <c r="P101" s="185">
        <f t="shared" si="33"/>
        <v>0.16638873209571439</v>
      </c>
      <c r="Q101" s="141">
        <f t="shared" si="24"/>
        <v>4.0252138591508588</v>
      </c>
      <c r="R101" s="141">
        <f t="shared" si="25"/>
        <v>3.8588251270551446</v>
      </c>
      <c r="S101" s="141">
        <f t="shared" si="26"/>
        <v>4.1916025912465731</v>
      </c>
      <c r="T101" s="48">
        <f t="shared" si="27"/>
        <v>10597.75460764635</v>
      </c>
      <c r="U101" s="142">
        <f t="shared" si="32"/>
        <v>1.3437000000000001</v>
      </c>
      <c r="V101" s="48">
        <f t="shared" si="28"/>
        <v>7224.7883181684911</v>
      </c>
      <c r="W101" s="142">
        <f t="shared" si="29"/>
        <v>1.3437000000000001</v>
      </c>
      <c r="X101" s="48">
        <f t="shared" si="30"/>
        <v>15545.424693129416</v>
      </c>
      <c r="Y101" s="142">
        <f t="shared" si="31"/>
        <v>1.3437000000000001</v>
      </c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41">
        <f t="shared" si="22"/>
        <v>0.13033376849500614</v>
      </c>
      <c r="P102" s="185">
        <f t="shared" si="33"/>
        <v>0.16824442442453255</v>
      </c>
      <c r="Q102" s="141">
        <f t="shared" si="24"/>
        <v>4.008382912755172</v>
      </c>
      <c r="R102" s="141">
        <f t="shared" si="25"/>
        <v>3.8401384883306395</v>
      </c>
      <c r="S102" s="141">
        <f t="shared" si="26"/>
        <v>4.1766273371797045</v>
      </c>
      <c r="T102" s="48">
        <f t="shared" si="27"/>
        <v>10194.898651127462</v>
      </c>
      <c r="U102" s="142">
        <f t="shared" si="32"/>
        <v>1.35</v>
      </c>
      <c r="V102" s="48">
        <f t="shared" si="28"/>
        <v>6920.5161796362381</v>
      </c>
      <c r="W102" s="142">
        <f t="shared" si="29"/>
        <v>1.35</v>
      </c>
      <c r="X102" s="48">
        <f t="shared" si="30"/>
        <v>15018.526914595537</v>
      </c>
      <c r="Y102" s="142">
        <f t="shared" si="31"/>
        <v>1.35</v>
      </c>
      <c r="Z102" s="2"/>
      <c r="AA102" s="2"/>
      <c r="AB102" s="2"/>
      <c r="AC102" s="2"/>
      <c r="AD102" s="2"/>
      <c r="AE102" s="2"/>
      <c r="AF102" s="2"/>
      <c r="AG102" s="2"/>
      <c r="AH102" s="2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2"/>
  <sheetViews>
    <sheetView topLeftCell="A32" zoomScale="75" workbookViewId="0">
      <selection activeCell="T2" sqref="T2:U102"/>
    </sheetView>
  </sheetViews>
  <sheetFormatPr defaultRowHeight="12.75" x14ac:dyDescent="0.2"/>
  <cols>
    <col min="1" max="1" width="12.140625" customWidth="1"/>
    <col min="2" max="2" width="13.7109375" bestFit="1" customWidth="1"/>
    <col min="3" max="7" width="9" bestFit="1" customWidth="1"/>
    <col min="8" max="8" width="15.28515625" customWidth="1"/>
    <col min="9" max="10" width="12.7109375" customWidth="1"/>
    <col min="11" max="11" width="15.42578125" customWidth="1"/>
    <col min="12" max="12" width="12.7109375" customWidth="1"/>
    <col min="13" max="13" width="10.5703125" bestFit="1" customWidth="1"/>
    <col min="14" max="19" width="13.140625" customWidth="1"/>
    <col min="20" max="25" width="9" customWidth="1"/>
    <col min="26" max="26" width="26.85546875" customWidth="1"/>
    <col min="27" max="27" width="14.85546875" customWidth="1"/>
    <col min="28" max="28" width="12.42578125" customWidth="1"/>
    <col min="29" max="29" width="16.7109375" customWidth="1"/>
    <col min="31" max="31" width="16.42578125" customWidth="1"/>
    <col min="32" max="32" width="11.28515625" customWidth="1"/>
    <col min="33" max="33" width="13" customWidth="1"/>
    <col min="34" max="34" width="13.42578125" customWidth="1"/>
  </cols>
  <sheetData>
    <row r="1" spans="1:34" ht="13.5" thickBot="1" x14ac:dyDescent="0.25">
      <c r="A1" s="137" t="s">
        <v>27</v>
      </c>
      <c r="B1" s="137"/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138" t="s">
        <v>33</v>
      </c>
      <c r="I1" s="139">
        <f>COUNT(C:C)</f>
        <v>7</v>
      </c>
      <c r="J1" s="2"/>
      <c r="K1" s="2"/>
      <c r="L1" s="2"/>
      <c r="M1" s="2" t="s">
        <v>28</v>
      </c>
      <c r="N1" s="2" t="s">
        <v>34</v>
      </c>
      <c r="O1" s="2" t="s">
        <v>28</v>
      </c>
      <c r="P1" s="2" t="s">
        <v>35</v>
      </c>
      <c r="Q1" s="2" t="s">
        <v>36</v>
      </c>
      <c r="R1" s="2" t="s">
        <v>37</v>
      </c>
      <c r="S1" s="2" t="s">
        <v>38</v>
      </c>
      <c r="T1" s="208" t="s">
        <v>39</v>
      </c>
      <c r="U1" s="208"/>
      <c r="V1" s="208" t="s">
        <v>40</v>
      </c>
      <c r="W1" s="208"/>
      <c r="X1" s="208" t="s">
        <v>41</v>
      </c>
      <c r="Y1" s="208"/>
      <c r="Z1" s="2" t="s">
        <v>42</v>
      </c>
      <c r="AA1" s="2"/>
      <c r="AB1" s="2"/>
      <c r="AC1" s="2"/>
      <c r="AD1" s="2"/>
      <c r="AE1" s="2"/>
      <c r="AF1" s="2"/>
      <c r="AG1" s="2"/>
      <c r="AH1" s="2"/>
    </row>
    <row r="2" spans="1:34" ht="13.5" thickBot="1" x14ac:dyDescent="0.25">
      <c r="A2" s="48">
        <f>+Results!F25</f>
        <v>573.42718500000001</v>
      </c>
      <c r="B2" s="48">
        <f>+Results!E25</f>
        <v>10766</v>
      </c>
      <c r="C2" s="49">
        <f t="shared" ref="C2:D2" si="0">LOG(A2)</f>
        <v>2.7584782781040653</v>
      </c>
      <c r="D2" s="49">
        <f t="shared" si="0"/>
        <v>4.0320543754796692</v>
      </c>
      <c r="E2" s="49">
        <f t="shared" ref="E2:F2" si="1">+C2^2</f>
        <v>7.6092024107719691</v>
      </c>
      <c r="F2" s="49">
        <f t="shared" si="1"/>
        <v>16.257462486824746</v>
      </c>
      <c r="G2" s="2">
        <f t="shared" ref="G2" si="2">+C2*D2</f>
        <v>11.122334410895121</v>
      </c>
      <c r="H2" s="140" t="s">
        <v>43</v>
      </c>
      <c r="I2" s="55">
        <f>SUM(C:C)</f>
        <v>18.375357996328464</v>
      </c>
      <c r="J2" s="49"/>
      <c r="K2" s="49"/>
      <c r="L2" s="49"/>
      <c r="M2" s="49" t="e">
        <f>+#REF!</f>
        <v>#REF!</v>
      </c>
      <c r="N2" s="141" t="e">
        <f t="shared" ref="N2:N19" si="3">+$I$13+$I$12*M2</f>
        <v>#REF!</v>
      </c>
      <c r="O2" s="141">
        <f t="shared" ref="O2:O65" si="4">LOG($I$19+($I$20-$I$19)*(ROW()-2)/100)</f>
        <v>2.4861039367064688</v>
      </c>
      <c r="P2" s="185">
        <f t="shared" ref="P2:P33" si="5">SQRT(2*$I$16*$K$24)*SQRT((1/$I$1)+((O2-$I$10)^2/$I$7))</f>
        <v>0.12907962686544705</v>
      </c>
      <c r="Q2" s="141">
        <f t="shared" ref="Q2:Q65" si="6">+$I$13+$I$12*O2</f>
        <v>6.2109401178108143</v>
      </c>
      <c r="R2" s="141">
        <f t="shared" ref="R2:R65" si="7">+$I$13+$I$12*O2-P2</f>
        <v>6.0818604909453668</v>
      </c>
      <c r="S2" s="141">
        <f t="shared" ref="S2:S65" si="8">+$I$13+$I$12*O2+P2</f>
        <v>6.3400197446762618</v>
      </c>
      <c r="T2" s="48">
        <f t="shared" ref="T2:T65" si="9">10^Q2</f>
        <v>1625324.6343039046</v>
      </c>
      <c r="U2" s="142">
        <f>10^$O2</f>
        <v>306.26963200000017</v>
      </c>
      <c r="V2" s="48">
        <f t="shared" ref="V2:V65" si="10">10^R2</f>
        <v>1207425.9096038803</v>
      </c>
      <c r="W2" s="142">
        <f t="shared" ref="W2:W65" si="11">10^$O2</f>
        <v>306.26963200000017</v>
      </c>
      <c r="X2" s="48">
        <f t="shared" ref="X2:X65" si="12">10^S2</f>
        <v>2187861.090161446</v>
      </c>
      <c r="Y2" s="142">
        <f t="shared" ref="Y2:Y65" si="13">10^$O2</f>
        <v>306.26963200000017</v>
      </c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2">
      <c r="A3" s="48">
        <f>+Results!F26</f>
        <v>417.16890599999999</v>
      </c>
      <c r="B3" s="48">
        <f>+Results!E26</f>
        <v>148187</v>
      </c>
      <c r="C3" s="49">
        <f t="shared" ref="C3:C11" si="14">LOG(A3)</f>
        <v>2.6203119304930564</v>
      </c>
      <c r="D3" s="49">
        <f t="shared" ref="D3:D11" si="15">LOG(B3)</f>
        <v>5.1708101059651499</v>
      </c>
      <c r="E3" s="49">
        <f t="shared" ref="E3:E11" si="16">+C3^2</f>
        <v>6.8660346130842482</v>
      </c>
      <c r="F3" s="49">
        <f t="shared" ref="F3:F11" si="17">+D3^2</f>
        <v>26.737277151951325</v>
      </c>
      <c r="G3" s="2">
        <f t="shared" ref="G3:G11" si="18">+C3*D3</f>
        <v>13.549135410974548</v>
      </c>
      <c r="H3" s="143" t="s">
        <v>44</v>
      </c>
      <c r="I3" s="55">
        <f>SUM(D:D)</f>
        <v>35.833238083173264</v>
      </c>
      <c r="J3" s="49"/>
      <c r="K3" s="49"/>
      <c r="L3" s="49"/>
      <c r="M3" s="49" t="e">
        <f>+#REF!</f>
        <v>#REF!</v>
      </c>
      <c r="N3" s="141" t="e">
        <f t="shared" si="3"/>
        <v>#REF!</v>
      </c>
      <c r="O3" s="141">
        <f t="shared" si="4"/>
        <v>2.4898758397009759</v>
      </c>
      <c r="P3" s="185">
        <f t="shared" si="5"/>
        <v>0.12655943197140421</v>
      </c>
      <c r="Q3" s="141">
        <f t="shared" si="6"/>
        <v>6.1812989034221317</v>
      </c>
      <c r="R3" s="141">
        <f t="shared" si="7"/>
        <v>6.0547394714507279</v>
      </c>
      <c r="S3" s="141">
        <f t="shared" si="8"/>
        <v>6.3078583353935356</v>
      </c>
      <c r="T3" s="48">
        <f t="shared" si="9"/>
        <v>1518094.8376177859</v>
      </c>
      <c r="U3" s="142">
        <f t="shared" ref="U3:U66" si="19">10^O3</f>
        <v>308.94120752999993</v>
      </c>
      <c r="V3" s="48">
        <f t="shared" si="10"/>
        <v>1134330.1391801245</v>
      </c>
      <c r="W3" s="142">
        <f t="shared" si="11"/>
        <v>308.94120752999993</v>
      </c>
      <c r="X3" s="48">
        <f t="shared" si="12"/>
        <v>2031694.174737799</v>
      </c>
      <c r="Y3" s="142">
        <f t="shared" si="13"/>
        <v>308.94120752999993</v>
      </c>
      <c r="Z3" s="144" t="s">
        <v>45</v>
      </c>
      <c r="AA3" s="144"/>
      <c r="AB3" s="2"/>
      <c r="AC3" s="2"/>
      <c r="AD3" s="2"/>
      <c r="AE3" s="2"/>
      <c r="AF3" s="2"/>
      <c r="AG3" s="2"/>
      <c r="AH3" s="2"/>
    </row>
    <row r="4" spans="1:34" x14ac:dyDescent="0.2">
      <c r="A4" s="48">
        <f>+Results!F27</f>
        <v>348.11374500000005</v>
      </c>
      <c r="B4" s="48">
        <f>+Results!E27</f>
        <v>581856</v>
      </c>
      <c r="C4" s="49">
        <f t="shared" si="14"/>
        <v>2.5417211714020826</v>
      </c>
      <c r="D4" s="49">
        <f t="shared" si="15"/>
        <v>5.7648155170495787</v>
      </c>
      <c r="E4" s="49">
        <f t="shared" si="16"/>
        <v>6.4603465131535751</v>
      </c>
      <c r="F4" s="49">
        <f t="shared" si="17"/>
        <v>33.233097945615604</v>
      </c>
      <c r="G4" s="2">
        <f t="shared" si="18"/>
        <v>14.652553648912159</v>
      </c>
      <c r="H4" s="143" t="s">
        <v>46</v>
      </c>
      <c r="I4" s="55">
        <f>SUM(E:E)</f>
        <v>48.288289301264165</v>
      </c>
      <c r="J4" s="49"/>
      <c r="K4" s="49"/>
      <c r="L4" s="49"/>
      <c r="M4" s="49">
        <f>+C2</f>
        <v>2.7584782781040653</v>
      </c>
      <c r="N4" s="141">
        <f t="shared" si="3"/>
        <v>4.0705069573875328</v>
      </c>
      <c r="O4" s="141">
        <f t="shared" si="4"/>
        <v>2.4936152651062664</v>
      </c>
      <c r="P4" s="185">
        <f t="shared" si="5"/>
        <v>0.12408093531110245</v>
      </c>
      <c r="Q4" s="141">
        <f t="shared" si="6"/>
        <v>6.1519129117118112</v>
      </c>
      <c r="R4" s="141">
        <f t="shared" si="7"/>
        <v>6.0278319764007087</v>
      </c>
      <c r="S4" s="141">
        <f t="shared" si="8"/>
        <v>6.2759938470229137</v>
      </c>
      <c r="T4" s="48">
        <f t="shared" si="9"/>
        <v>1418772.9891762121</v>
      </c>
      <c r="U4" s="142">
        <f t="shared" si="19"/>
        <v>311.61278306000014</v>
      </c>
      <c r="V4" s="48">
        <f t="shared" si="10"/>
        <v>1066183.547128083</v>
      </c>
      <c r="W4" s="142">
        <f t="shared" si="11"/>
        <v>311.61278306000014</v>
      </c>
      <c r="X4" s="48">
        <f t="shared" si="12"/>
        <v>1887964.6006900829</v>
      </c>
      <c r="Y4" s="142">
        <f t="shared" si="13"/>
        <v>311.61278306000014</v>
      </c>
      <c r="Z4" s="2" t="s">
        <v>47</v>
      </c>
      <c r="AA4" s="2">
        <v>0.88244046806828758</v>
      </c>
      <c r="AB4" s="2"/>
      <c r="AC4" s="2"/>
      <c r="AD4" s="2"/>
      <c r="AE4" s="2"/>
      <c r="AF4" s="2"/>
      <c r="AG4" s="2"/>
      <c r="AH4" s="2"/>
    </row>
    <row r="5" spans="1:34" x14ac:dyDescent="0.2">
      <c r="A5" s="48">
        <f>+Results!F28</f>
        <v>376.86881999999997</v>
      </c>
      <c r="B5" s="48">
        <f>+Results!E28</f>
        <v>290916</v>
      </c>
      <c r="C5" s="49">
        <f t="shared" si="14"/>
        <v>2.5761902078606007</v>
      </c>
      <c r="D5" s="49">
        <f t="shared" si="15"/>
        <v>5.4637676075331436</v>
      </c>
      <c r="E5" s="49">
        <f t="shared" si="16"/>
        <v>6.6367559870768451</v>
      </c>
      <c r="F5" s="49">
        <f t="shared" si="17"/>
        <v>29.852756469128451</v>
      </c>
      <c r="G5" s="2">
        <f t="shared" si="18"/>
        <v>14.075704608552826</v>
      </c>
      <c r="H5" s="143" t="s">
        <v>48</v>
      </c>
      <c r="I5" s="55">
        <f>SUM(F:F)</f>
        <v>186.65896451664457</v>
      </c>
      <c r="J5" s="49"/>
      <c r="K5" s="49"/>
      <c r="L5" s="49"/>
      <c r="M5" s="49">
        <f>+C3</f>
        <v>2.6203119304930564</v>
      </c>
      <c r="N5" s="141">
        <f t="shared" si="3"/>
        <v>5.1562767496657074</v>
      </c>
      <c r="O5" s="141">
        <f t="shared" si="4"/>
        <v>2.4973227674411023</v>
      </c>
      <c r="P5" s="185">
        <f t="shared" si="5"/>
        <v>0.12164445661244067</v>
      </c>
      <c r="Q5" s="141">
        <f t="shared" si="6"/>
        <v>6.1227777850361136</v>
      </c>
      <c r="R5" s="141">
        <f t="shared" si="7"/>
        <v>6.0011333284236725</v>
      </c>
      <c r="S5" s="141">
        <f t="shared" si="8"/>
        <v>6.2444222416485546</v>
      </c>
      <c r="T5" s="48">
        <f t="shared" si="9"/>
        <v>1326715.4450460619</v>
      </c>
      <c r="U5" s="142">
        <f t="shared" si="19"/>
        <v>314.28435859000024</v>
      </c>
      <c r="V5" s="48">
        <f t="shared" si="10"/>
        <v>1002612.9930648854</v>
      </c>
      <c r="W5" s="142">
        <f t="shared" si="11"/>
        <v>314.28435859000024</v>
      </c>
      <c r="X5" s="48">
        <f t="shared" si="12"/>
        <v>1755586.5366786225</v>
      </c>
      <c r="Y5" s="142">
        <f t="shared" si="13"/>
        <v>314.28435859000024</v>
      </c>
      <c r="Z5" s="2" t="s">
        <v>49</v>
      </c>
      <c r="AA5" s="2">
        <v>0.77870117968457842</v>
      </c>
      <c r="AB5" s="2"/>
      <c r="AC5" s="2"/>
      <c r="AD5" s="2"/>
      <c r="AE5" s="2"/>
      <c r="AF5" s="2"/>
      <c r="AG5" s="2"/>
      <c r="AH5" s="2"/>
    </row>
    <row r="6" spans="1:34" x14ac:dyDescent="0.2">
      <c r="A6" s="48"/>
      <c r="B6" s="48"/>
      <c r="C6" s="49"/>
      <c r="D6" s="49"/>
      <c r="E6" s="49"/>
      <c r="F6" s="49"/>
      <c r="G6" s="2"/>
      <c r="H6" s="143" t="s">
        <v>50</v>
      </c>
      <c r="I6" s="55">
        <f>SUM(G:G)</f>
        <v>93.655171006111161</v>
      </c>
      <c r="J6" s="49"/>
      <c r="K6" s="49"/>
      <c r="L6" s="49"/>
      <c r="M6" s="49">
        <f>+C4</f>
        <v>2.5417211714020826</v>
      </c>
      <c r="N6" s="141">
        <f t="shared" si="3"/>
        <v>5.7738762856499086</v>
      </c>
      <c r="O6" s="141">
        <f t="shared" si="4"/>
        <v>2.5009988871426869</v>
      </c>
      <c r="P6" s="185">
        <f t="shared" si="5"/>
        <v>0.11925036580030611</v>
      </c>
      <c r="Q6" s="141">
        <f t="shared" si="6"/>
        <v>6.0938892764101418</v>
      </c>
      <c r="R6" s="141">
        <f t="shared" si="7"/>
        <v>5.9746389106098361</v>
      </c>
      <c r="S6" s="141">
        <f t="shared" si="8"/>
        <v>6.2131396422104475</v>
      </c>
      <c r="T6" s="48">
        <f t="shared" si="9"/>
        <v>1241335.7880814644</v>
      </c>
      <c r="U6" s="142">
        <f t="shared" si="19"/>
        <v>316.95593411999999</v>
      </c>
      <c r="V6" s="48">
        <f t="shared" si="10"/>
        <v>943276.27343053196</v>
      </c>
      <c r="W6" s="142">
        <f t="shared" si="11"/>
        <v>316.95593411999999</v>
      </c>
      <c r="X6" s="48">
        <f t="shared" si="12"/>
        <v>1633577.1206963491</v>
      </c>
      <c r="Y6" s="142">
        <f t="shared" si="13"/>
        <v>316.95593411999999</v>
      </c>
      <c r="Z6" s="2" t="s">
        <v>51</v>
      </c>
      <c r="AA6" s="2">
        <v>0.75103882714515069</v>
      </c>
      <c r="AB6" s="2"/>
      <c r="AC6" s="2"/>
      <c r="AD6" s="2"/>
      <c r="AE6" s="2"/>
      <c r="AF6" s="2"/>
      <c r="AG6" s="2"/>
      <c r="AH6" s="2"/>
    </row>
    <row r="7" spans="1:34" x14ac:dyDescent="0.2">
      <c r="A7" s="48"/>
      <c r="B7" s="48"/>
      <c r="C7" s="49"/>
      <c r="D7" s="49"/>
      <c r="E7" s="49"/>
      <c r="F7" s="49"/>
      <c r="G7" s="2"/>
      <c r="H7" s="140" t="s">
        <v>52</v>
      </c>
      <c r="I7" s="145">
        <f>+I4-I2^2/$I$1</f>
        <v>5.2034802230963351E-2</v>
      </c>
      <c r="J7" s="2"/>
      <c r="K7" s="2"/>
      <c r="L7" s="2"/>
      <c r="M7" s="49">
        <f>+C5</f>
        <v>2.5761902078606007</v>
      </c>
      <c r="N7" s="141">
        <f t="shared" si="3"/>
        <v>5.5030039697589146</v>
      </c>
      <c r="O7" s="141">
        <f t="shared" si="4"/>
        <v>2.5046441510394524</v>
      </c>
      <c r="P7" s="185">
        <f t="shared" si="5"/>
        <v>0.11689908428462346</v>
      </c>
      <c r="Q7" s="141">
        <f t="shared" si="6"/>
        <v>6.0652432457925194</v>
      </c>
      <c r="R7" s="141">
        <f t="shared" si="7"/>
        <v>5.9483441615078956</v>
      </c>
      <c r="S7" s="141">
        <f t="shared" si="8"/>
        <v>6.1821423300771432</v>
      </c>
      <c r="T7" s="48">
        <f t="shared" si="9"/>
        <v>1162099.3166083673</v>
      </c>
      <c r="U7" s="142">
        <f t="shared" si="19"/>
        <v>319.62750965000004</v>
      </c>
      <c r="V7" s="48">
        <f t="shared" si="10"/>
        <v>887859.32735651848</v>
      </c>
      <c r="W7" s="142">
        <f t="shared" si="11"/>
        <v>319.62750965000004</v>
      </c>
      <c r="X7" s="48">
        <f t="shared" si="12"/>
        <v>1521045.9360521573</v>
      </c>
      <c r="Y7" s="142">
        <f t="shared" si="13"/>
        <v>319.62750965000004</v>
      </c>
      <c r="Z7" s="2" t="s">
        <v>53</v>
      </c>
      <c r="AA7" s="2">
        <v>4.8757093884921039</v>
      </c>
      <c r="AB7" s="2"/>
      <c r="AC7" s="2"/>
      <c r="AD7" s="2"/>
      <c r="AE7" s="2"/>
      <c r="AF7" s="2"/>
      <c r="AG7" s="2"/>
      <c r="AH7" s="2"/>
    </row>
    <row r="8" spans="1:34" ht="15" thickBot="1" x14ac:dyDescent="0.3">
      <c r="A8" s="48">
        <f>+Results!F31</f>
        <v>512.45767299999989</v>
      </c>
      <c r="B8" s="48">
        <f>+Results!E31</f>
        <v>35032</v>
      </c>
      <c r="C8" s="49">
        <f t="shared" si="14"/>
        <v>2.7096580001830679</v>
      </c>
      <c r="D8" s="49">
        <f t="shared" si="15"/>
        <v>4.5444649321840691</v>
      </c>
      <c r="E8" s="49">
        <f t="shared" si="16"/>
        <v>7.3422464779561025</v>
      </c>
      <c r="F8" s="49">
        <f t="shared" si="17"/>
        <v>20.652161519850758</v>
      </c>
      <c r="G8" s="2">
        <f t="shared" si="18"/>
        <v>12.313945760043966</v>
      </c>
      <c r="H8" s="143" t="s">
        <v>118</v>
      </c>
      <c r="I8" s="146">
        <f>+I5-I3^2/$I$1</f>
        <v>3.2274000130190359</v>
      </c>
      <c r="J8" s="135"/>
      <c r="K8" s="135"/>
      <c r="L8" s="135"/>
      <c r="M8" s="49" t="e">
        <f>+#REF!</f>
        <v>#REF!</v>
      </c>
      <c r="N8" s="141" t="e">
        <f t="shared" si="3"/>
        <v>#REF!</v>
      </c>
      <c r="O8" s="141">
        <f t="shared" si="4"/>
        <v>2.5082590728041687</v>
      </c>
      <c r="P8" s="185">
        <f t="shared" si="5"/>
        <v>0.11459108623153576</v>
      </c>
      <c r="Q8" s="141">
        <f t="shared" si="6"/>
        <v>6.0368356565246302</v>
      </c>
      <c r="R8" s="141">
        <f t="shared" si="7"/>
        <v>5.9222445702930946</v>
      </c>
      <c r="S8" s="141">
        <f t="shared" si="8"/>
        <v>6.1514267427561657</v>
      </c>
      <c r="T8" s="48">
        <f t="shared" si="9"/>
        <v>1088518.1039865443</v>
      </c>
      <c r="U8" s="142">
        <f t="shared" si="19"/>
        <v>322.29908517999996</v>
      </c>
      <c r="V8" s="48">
        <f t="shared" si="10"/>
        <v>836073.71550574875</v>
      </c>
      <c r="W8" s="142">
        <f t="shared" si="11"/>
        <v>322.29908517999996</v>
      </c>
      <c r="X8" s="48">
        <f t="shared" si="12"/>
        <v>1417185.6389358221</v>
      </c>
      <c r="Y8" s="142">
        <f t="shared" si="13"/>
        <v>322.29908517999996</v>
      </c>
      <c r="Z8" s="147" t="s">
        <v>54</v>
      </c>
      <c r="AA8" s="147">
        <v>10</v>
      </c>
      <c r="AB8" s="2"/>
      <c r="AC8" s="2"/>
      <c r="AD8" s="2"/>
      <c r="AE8" s="2"/>
      <c r="AF8" s="2"/>
      <c r="AG8" s="2"/>
      <c r="AH8" s="2"/>
    </row>
    <row r="9" spans="1:34" ht="13.5" thickBot="1" x14ac:dyDescent="0.25">
      <c r="A9" s="48">
        <f>+Results!F32</f>
        <v>306.26963199999994</v>
      </c>
      <c r="B9" s="48">
        <f>+Results!E32</f>
        <v>2000000</v>
      </c>
      <c r="C9" s="49"/>
      <c r="D9" s="49"/>
      <c r="E9" s="49"/>
      <c r="F9" s="49"/>
      <c r="G9" s="2"/>
      <c r="H9" s="148" t="s">
        <v>55</v>
      </c>
      <c r="I9" s="149">
        <f>+I6-I2*I3/$I$1</f>
        <v>-0.40891155760020581</v>
      </c>
      <c r="J9" s="2"/>
      <c r="K9" s="2"/>
      <c r="L9" s="2"/>
      <c r="M9" s="49" t="e">
        <f>+#REF!</f>
        <v>#REF!</v>
      </c>
      <c r="N9" s="141" t="e">
        <f t="shared" si="3"/>
        <v>#REF!</v>
      </c>
      <c r="O9" s="141">
        <f t="shared" si="4"/>
        <v>2.5118441533883509</v>
      </c>
      <c r="P9" s="185">
        <f t="shared" si="5"/>
        <v>0.11232689979178311</v>
      </c>
      <c r="Q9" s="141">
        <f t="shared" si="6"/>
        <v>6.0086625719168865</v>
      </c>
      <c r="R9" s="141">
        <f t="shared" si="7"/>
        <v>5.8963356721251037</v>
      </c>
      <c r="S9" s="141">
        <f t="shared" si="8"/>
        <v>6.1209894717086692</v>
      </c>
      <c r="T9" s="48">
        <f t="shared" si="9"/>
        <v>1020146.5658291252</v>
      </c>
      <c r="U9" s="142">
        <f t="shared" si="19"/>
        <v>324.97066070999989</v>
      </c>
      <c r="V9" s="48">
        <f t="shared" si="10"/>
        <v>787654.34326386789</v>
      </c>
      <c r="W9" s="142">
        <f t="shared" si="11"/>
        <v>324.97066070999989</v>
      </c>
      <c r="X9" s="48">
        <f t="shared" si="12"/>
        <v>1321263.6033472854</v>
      </c>
      <c r="Y9" s="142">
        <f t="shared" si="13"/>
        <v>324.97066070999989</v>
      </c>
      <c r="Z9" s="2"/>
      <c r="AA9" s="2"/>
      <c r="AB9" s="2"/>
      <c r="AC9" s="2"/>
      <c r="AD9" s="2"/>
      <c r="AE9" s="2"/>
      <c r="AF9" s="2"/>
      <c r="AG9" s="2"/>
      <c r="AH9" s="2"/>
    </row>
    <row r="10" spans="1:34" ht="13.5" thickBot="1" x14ac:dyDescent="0.25">
      <c r="A10" s="48">
        <f>+Results!F33</f>
        <v>467.13604800000002</v>
      </c>
      <c r="B10" s="48">
        <f>+Results!E33</f>
        <v>53299</v>
      </c>
      <c r="C10" s="49">
        <f t="shared" si="14"/>
        <v>2.6694433822597752</v>
      </c>
      <c r="D10" s="49">
        <f t="shared" si="15"/>
        <v>4.7267190608360279</v>
      </c>
      <c r="E10" s="49">
        <f t="shared" si="16"/>
        <v>7.1259279710905084</v>
      </c>
      <c r="F10" s="49">
        <f t="shared" si="17"/>
        <v>22.34187308007062</v>
      </c>
      <c r="G10" s="2">
        <f t="shared" si="18"/>
        <v>12.617708916749875</v>
      </c>
      <c r="H10" s="150" t="s">
        <v>56</v>
      </c>
      <c r="I10" s="139">
        <f>+I2/$I$1</f>
        <v>2.6250511423326377</v>
      </c>
      <c r="J10" s="2"/>
      <c r="K10" s="2"/>
      <c r="L10" s="2"/>
      <c r="M10" s="49">
        <f>+C6</f>
        <v>0</v>
      </c>
      <c r="N10" s="141">
        <f t="shared" si="3"/>
        <v>25.74779986414649</v>
      </c>
      <c r="O10" s="141">
        <f t="shared" si="4"/>
        <v>2.5153998814388845</v>
      </c>
      <c r="P10" s="185">
        <f t="shared" si="5"/>
        <v>0.11010710825556744</v>
      </c>
      <c r="Q10" s="141">
        <f t="shared" si="6"/>
        <v>5.980720151974694</v>
      </c>
      <c r="R10" s="141">
        <f t="shared" si="7"/>
        <v>5.8706130437191266</v>
      </c>
      <c r="S10" s="141">
        <f t="shared" si="8"/>
        <v>6.0908272602302613</v>
      </c>
      <c r="T10" s="48">
        <f t="shared" si="9"/>
        <v>956577.47910561517</v>
      </c>
      <c r="U10" s="142">
        <f t="shared" si="19"/>
        <v>327.64223624000005</v>
      </c>
      <c r="V10" s="48">
        <f t="shared" si="10"/>
        <v>742357.40286685969</v>
      </c>
      <c r="W10" s="142">
        <f t="shared" si="11"/>
        <v>327.64223624000005</v>
      </c>
      <c r="X10" s="48">
        <f t="shared" si="12"/>
        <v>1232614.4657523732</v>
      </c>
      <c r="Y10" s="142">
        <f t="shared" si="13"/>
        <v>327.64223624000005</v>
      </c>
      <c r="Z10" s="2" t="s">
        <v>57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2">
      <c r="A11" s="48">
        <f>+Results!F34</f>
        <v>315.90392800000001</v>
      </c>
      <c r="B11" s="48">
        <f>+Results!E34</f>
        <v>1350848</v>
      </c>
      <c r="C11" s="49">
        <f t="shared" si="14"/>
        <v>2.499555026025817</v>
      </c>
      <c r="D11" s="49">
        <f t="shared" si="15"/>
        <v>6.1306064841256198</v>
      </c>
      <c r="E11" s="49">
        <f t="shared" si="16"/>
        <v>6.2477753281309232</v>
      </c>
      <c r="F11" s="49">
        <f t="shared" si="17"/>
        <v>37.584335863203094</v>
      </c>
      <c r="G11" s="2">
        <f t="shared" si="18"/>
        <v>15.323788249982655</v>
      </c>
      <c r="H11" s="143" t="s">
        <v>58</v>
      </c>
      <c r="I11" s="55">
        <f>+I3/$I$1</f>
        <v>5.1190340118818947</v>
      </c>
      <c r="J11" s="49"/>
      <c r="K11" s="49"/>
      <c r="L11" s="49"/>
      <c r="M11" s="49" t="e">
        <f>+#REF!</f>
        <v>#REF!</v>
      </c>
      <c r="N11" s="141" t="e">
        <f t="shared" si="3"/>
        <v>#REF!</v>
      </c>
      <c r="O11" s="141">
        <f t="shared" si="4"/>
        <v>2.5189267336977306</v>
      </c>
      <c r="P11" s="185">
        <f t="shared" si="5"/>
        <v>0.10793235109784632</v>
      </c>
      <c r="Q11" s="141">
        <f t="shared" si="6"/>
        <v>5.9530046502574159</v>
      </c>
      <c r="R11" s="141">
        <f t="shared" si="7"/>
        <v>5.8450722991595692</v>
      </c>
      <c r="S11" s="141">
        <f t="shared" si="8"/>
        <v>6.0609370013552626</v>
      </c>
      <c r="T11" s="48">
        <f t="shared" si="9"/>
        <v>897438.40387278609</v>
      </c>
      <c r="U11" s="142">
        <f t="shared" si="19"/>
        <v>330.3138117700002</v>
      </c>
      <c r="V11" s="48">
        <f t="shared" si="10"/>
        <v>699958.5118737244</v>
      </c>
      <c r="W11" s="142">
        <f t="shared" si="11"/>
        <v>330.3138117700002</v>
      </c>
      <c r="X11" s="48">
        <f t="shared" si="12"/>
        <v>1150633.4662461099</v>
      </c>
      <c r="Y11" s="142">
        <f t="shared" si="13"/>
        <v>330.3138117700002</v>
      </c>
      <c r="Z11" s="151"/>
      <c r="AA11" s="151" t="s">
        <v>59</v>
      </c>
      <c r="AB11" s="151" t="s">
        <v>60</v>
      </c>
      <c r="AC11" s="151" t="s">
        <v>61</v>
      </c>
      <c r="AD11" s="151" t="s">
        <v>62</v>
      </c>
      <c r="AE11" s="151" t="s">
        <v>63</v>
      </c>
      <c r="AF11" s="2"/>
      <c r="AG11" s="2"/>
      <c r="AH11" s="2"/>
    </row>
    <row r="12" spans="1:34" x14ac:dyDescent="0.2">
      <c r="A12" s="48"/>
      <c r="B12" s="48"/>
      <c r="C12" s="49"/>
      <c r="D12" s="49"/>
      <c r="E12" s="49"/>
      <c r="F12" s="49"/>
      <c r="G12" s="2"/>
      <c r="H12" s="143" t="s">
        <v>64</v>
      </c>
      <c r="I12" s="145">
        <f>+I9/I7</f>
        <v>-7.8584243634711592</v>
      </c>
      <c r="J12" s="141">
        <f>+I12</f>
        <v>-7.8584243634711592</v>
      </c>
      <c r="K12" s="141">
        <f>1/J12</f>
        <v>-0.12725197237354183</v>
      </c>
      <c r="L12" s="2"/>
      <c r="M12" s="49">
        <f>+C7</f>
        <v>0</v>
      </c>
      <c r="N12" s="141">
        <f t="shared" si="3"/>
        <v>25.74779986414649</v>
      </c>
      <c r="O12" s="141">
        <f t="shared" si="4"/>
        <v>2.5224251753855329</v>
      </c>
      <c r="P12" s="185">
        <f t="shared" si="5"/>
        <v>0.10580332487206164</v>
      </c>
      <c r="Q12" s="141">
        <f t="shared" si="6"/>
        <v>5.9255124108638064</v>
      </c>
      <c r="R12" s="141">
        <f t="shared" si="7"/>
        <v>5.8197090859917449</v>
      </c>
      <c r="S12" s="141">
        <f t="shared" si="8"/>
        <v>6.031315735735868</v>
      </c>
      <c r="T12" s="48">
        <f t="shared" si="9"/>
        <v>842388.46408853645</v>
      </c>
      <c r="U12" s="142">
        <f t="shared" si="19"/>
        <v>332.98538730000024</v>
      </c>
      <c r="V12" s="48">
        <f t="shared" si="10"/>
        <v>660251.0278827654</v>
      </c>
      <c r="W12" s="142">
        <f t="shared" si="11"/>
        <v>332.98538730000024</v>
      </c>
      <c r="X12" s="48">
        <f t="shared" si="12"/>
        <v>1074770.4955567976</v>
      </c>
      <c r="Y12" s="142">
        <f t="shared" si="13"/>
        <v>332.98538730000024</v>
      </c>
      <c r="Z12" s="2" t="s">
        <v>65</v>
      </c>
      <c r="AA12" s="2">
        <v>1</v>
      </c>
      <c r="AB12" s="2">
        <v>669.20217667916086</v>
      </c>
      <c r="AC12" s="2">
        <v>669.20217667916086</v>
      </c>
      <c r="AD12" s="2">
        <v>28.150215299826005</v>
      </c>
      <c r="AE12" s="2">
        <v>7.2341618680963758E-4</v>
      </c>
      <c r="AF12" s="2"/>
      <c r="AG12" s="2"/>
      <c r="AH12" s="2"/>
    </row>
    <row r="13" spans="1:34" x14ac:dyDescent="0.2">
      <c r="A13" s="48"/>
      <c r="B13" s="48"/>
      <c r="C13" s="49"/>
      <c r="D13" s="49"/>
      <c r="E13" s="49"/>
      <c r="F13" s="49"/>
      <c r="G13" s="2"/>
      <c r="H13" s="143" t="s">
        <v>66</v>
      </c>
      <c r="I13" s="55">
        <f>+I11-I12*I10</f>
        <v>25.74779986414649</v>
      </c>
      <c r="J13" s="170">
        <f>10^I13</f>
        <v>5.5949970792026191E+25</v>
      </c>
      <c r="K13" s="165">
        <f>+J13^J12</f>
        <v>4.6011060337105068E-203</v>
      </c>
      <c r="L13" s="49"/>
      <c r="M13" s="49">
        <f>+C9</f>
        <v>0</v>
      </c>
      <c r="N13" s="141">
        <f t="shared" si="3"/>
        <v>25.74779986414649</v>
      </c>
      <c r="O13" s="141">
        <f t="shared" si="4"/>
        <v>2.525895660569899</v>
      </c>
      <c r="P13" s="185">
        <f t="shared" si="5"/>
        <v>0.10372078390383493</v>
      </c>
      <c r="Q13" s="141">
        <f t="shared" si="6"/>
        <v>5.8982398655379171</v>
      </c>
      <c r="R13" s="141">
        <f t="shared" si="7"/>
        <v>5.7945190816340819</v>
      </c>
      <c r="S13" s="141">
        <f t="shared" si="8"/>
        <v>6.0019606494417523</v>
      </c>
      <c r="T13" s="48">
        <f t="shared" si="9"/>
        <v>791115.44897420262</v>
      </c>
      <c r="U13" s="142">
        <f t="shared" si="19"/>
        <v>335.65696283000028</v>
      </c>
      <c r="V13" s="48">
        <f t="shared" si="10"/>
        <v>623044.52158853295</v>
      </c>
      <c r="W13" s="142">
        <f t="shared" si="11"/>
        <v>335.65696283000028</v>
      </c>
      <c r="X13" s="48">
        <f t="shared" si="12"/>
        <v>1004524.7681657362</v>
      </c>
      <c r="Y13" s="142">
        <f t="shared" si="13"/>
        <v>335.65696283000028</v>
      </c>
      <c r="Z13" s="2" t="s">
        <v>67</v>
      </c>
      <c r="AA13" s="2">
        <v>8</v>
      </c>
      <c r="AB13" s="2">
        <v>190.18033632824034</v>
      </c>
      <c r="AC13" s="2">
        <v>23.772542041030043</v>
      </c>
      <c r="AD13" s="2"/>
      <c r="AE13" s="2"/>
      <c r="AF13" s="2"/>
      <c r="AG13" s="2"/>
      <c r="AH13" s="2"/>
    </row>
    <row r="14" spans="1:34" ht="13.5" thickBot="1" x14ac:dyDescent="0.25">
      <c r="A14" s="48"/>
      <c r="B14" s="48"/>
      <c r="C14" s="49"/>
      <c r="D14" s="49"/>
      <c r="E14" s="49"/>
      <c r="F14" s="49"/>
      <c r="G14" s="2"/>
      <c r="H14" s="152" t="s">
        <v>68</v>
      </c>
      <c r="I14" s="56">
        <f>+I9^2/(I7*I8)</f>
        <v>0.99566230829393132</v>
      </c>
      <c r="J14" s="2" t="str">
        <f>"(X="&amp;TEXT(J13,"0.00E+0")&amp;"Y^"&amp;TEXT(J12,"0.00")&amp;")"</f>
        <v>(X=5.59E+25Y^-7.86)</v>
      </c>
      <c r="K14" s="49"/>
      <c r="L14" s="49"/>
      <c r="M14" s="49">
        <f t="shared" ref="M14:M19" si="20">+C14</f>
        <v>0</v>
      </c>
      <c r="N14" s="141">
        <f t="shared" si="3"/>
        <v>25.74779986414649</v>
      </c>
      <c r="O14" s="141">
        <f t="shared" si="4"/>
        <v>2.5293386325190781</v>
      </c>
      <c r="P14" s="185">
        <f t="shared" si="5"/>
        <v>0.10168554072918812</v>
      </c>
      <c r="Q14" s="141">
        <f t="shared" si="6"/>
        <v>5.8711835308897413</v>
      </c>
      <c r="R14" s="141">
        <f t="shared" si="7"/>
        <v>5.769497990160553</v>
      </c>
      <c r="S14" s="141">
        <f t="shared" si="8"/>
        <v>5.9728690716189297</v>
      </c>
      <c r="T14" s="48">
        <f t="shared" si="9"/>
        <v>743333.20079007896</v>
      </c>
      <c r="U14" s="142">
        <f t="shared" si="19"/>
        <v>338.32853836000015</v>
      </c>
      <c r="V14" s="48">
        <f t="shared" si="10"/>
        <v>588163.39221869665</v>
      </c>
      <c r="W14" s="142">
        <f t="shared" si="11"/>
        <v>338.32853836000015</v>
      </c>
      <c r="X14" s="48">
        <f t="shared" si="12"/>
        <v>939440.05136479565</v>
      </c>
      <c r="Y14" s="142">
        <f t="shared" si="13"/>
        <v>338.32853836000015</v>
      </c>
      <c r="Z14" s="147" t="s">
        <v>69</v>
      </c>
      <c r="AA14" s="147">
        <v>9</v>
      </c>
      <c r="AB14" s="147">
        <v>859.38251300740126</v>
      </c>
      <c r="AC14" s="147"/>
      <c r="AD14" s="147"/>
      <c r="AE14" s="147"/>
      <c r="AF14" s="2"/>
      <c r="AG14" s="2"/>
      <c r="AH14" s="2"/>
    </row>
    <row r="15" spans="1:34" ht="13.5" thickBot="1" x14ac:dyDescent="0.25">
      <c r="A15" s="48"/>
      <c r="B15" s="48"/>
      <c r="C15" s="49"/>
      <c r="D15" s="49"/>
      <c r="E15" s="49"/>
      <c r="F15" s="49"/>
      <c r="G15" s="2"/>
      <c r="H15" s="2" t="s">
        <v>70</v>
      </c>
      <c r="I15" s="49">
        <f>VLOOKUP($J$24,$H$33:$J$69,2)</f>
        <v>2.5706000000000002</v>
      </c>
      <c r="J15" s="49"/>
      <c r="K15" s="49"/>
      <c r="L15" s="49"/>
      <c r="M15" s="49">
        <f t="shared" si="20"/>
        <v>0</v>
      </c>
      <c r="N15" s="141">
        <f t="shared" si="3"/>
        <v>25.74779986414649</v>
      </c>
      <c r="O15" s="141">
        <f t="shared" si="4"/>
        <v>2.532754524041736</v>
      </c>
      <c r="P15" s="185">
        <f t="shared" si="5"/>
        <v>9.9698466214469178E-2</v>
      </c>
      <c r="Q15" s="141">
        <f t="shared" si="6"/>
        <v>5.8443400057251118</v>
      </c>
      <c r="R15" s="141">
        <f t="shared" si="7"/>
        <v>5.7446415395106429</v>
      </c>
      <c r="S15" s="141">
        <f t="shared" si="8"/>
        <v>5.9440384719395807</v>
      </c>
      <c r="T15" s="48">
        <f t="shared" si="9"/>
        <v>698779.2587563619</v>
      </c>
      <c r="U15" s="142">
        <f t="shared" si="19"/>
        <v>341.00011389000002</v>
      </c>
      <c r="V15" s="48">
        <f t="shared" si="10"/>
        <v>555445.61110789364</v>
      </c>
      <c r="W15" s="142">
        <f t="shared" si="11"/>
        <v>341.00011389000002</v>
      </c>
      <c r="X15" s="48">
        <f t="shared" si="12"/>
        <v>879100.38841452298</v>
      </c>
      <c r="Y15" s="142">
        <f t="shared" si="13"/>
        <v>341.00011389000002</v>
      </c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">
      <c r="A16" s="48"/>
      <c r="B16" s="48"/>
      <c r="C16" s="49"/>
      <c r="D16" s="49"/>
      <c r="E16" s="49"/>
      <c r="F16" s="49"/>
      <c r="G16" s="2"/>
      <c r="H16" s="2" t="s">
        <v>71</v>
      </c>
      <c r="I16" s="49">
        <f>VLOOKUP($J$24,$H$33:$J$69,3)</f>
        <v>5.79</v>
      </c>
      <c r="J16" s="49"/>
      <c r="K16" s="49"/>
      <c r="L16" s="49"/>
      <c r="M16" s="49">
        <f t="shared" si="20"/>
        <v>0</v>
      </c>
      <c r="N16" s="141">
        <f t="shared" si="3"/>
        <v>25.74779986414649</v>
      </c>
      <c r="O16" s="141">
        <f t="shared" si="4"/>
        <v>2.5361437578134649</v>
      </c>
      <c r="P16" s="185">
        <f t="shared" si="5"/>
        <v>9.7760489287567892E-2</v>
      </c>
      <c r="Q16" s="141">
        <f t="shared" si="6"/>
        <v>5.81770596847986</v>
      </c>
      <c r="R16" s="141">
        <f t="shared" si="7"/>
        <v>5.7199454791922921</v>
      </c>
      <c r="S16" s="141">
        <f t="shared" si="8"/>
        <v>5.9154664577674279</v>
      </c>
      <c r="T16" s="48">
        <f t="shared" si="9"/>
        <v>657212.73225541133</v>
      </c>
      <c r="U16" s="142">
        <f t="shared" si="19"/>
        <v>343.67168942000012</v>
      </c>
      <c r="V16" s="48">
        <f t="shared" si="10"/>
        <v>524741.58068676887</v>
      </c>
      <c r="W16" s="142">
        <f t="shared" si="11"/>
        <v>343.67168942000012</v>
      </c>
      <c r="X16" s="48">
        <f t="shared" si="12"/>
        <v>823126.26126049622</v>
      </c>
      <c r="Y16" s="142">
        <f t="shared" si="13"/>
        <v>343.67168942000012</v>
      </c>
      <c r="Z16" s="151"/>
      <c r="AA16" s="151" t="s">
        <v>72</v>
      </c>
      <c r="AB16" s="151" t="s">
        <v>53</v>
      </c>
      <c r="AC16" s="151" t="s">
        <v>73</v>
      </c>
      <c r="AD16" s="151" t="s">
        <v>74</v>
      </c>
      <c r="AE16" s="151" t="s">
        <v>75</v>
      </c>
      <c r="AF16" s="151" t="s">
        <v>76</v>
      </c>
      <c r="AG16" s="151" t="s">
        <v>77</v>
      </c>
      <c r="AH16" s="151" t="s">
        <v>78</v>
      </c>
    </row>
    <row r="17" spans="1:34" x14ac:dyDescent="0.2">
      <c r="A17" s="48"/>
      <c r="B17" s="48"/>
      <c r="C17" s="49"/>
      <c r="D17" s="49"/>
      <c r="E17" s="49"/>
      <c r="F17" s="49"/>
      <c r="G17" s="2"/>
      <c r="H17" s="2" t="s">
        <v>79</v>
      </c>
      <c r="I17" s="2">
        <f>+I15*SQRT($K$24/$I$7)</f>
        <v>0.596291043489101</v>
      </c>
      <c r="J17" s="2">
        <f>+I12+I17</f>
        <v>-7.2621333199820581</v>
      </c>
      <c r="K17" s="2">
        <f>+I12-I17</f>
        <v>-8.4547154069602595</v>
      </c>
      <c r="L17" s="2"/>
      <c r="M17" s="49">
        <f t="shared" si="20"/>
        <v>0</v>
      </c>
      <c r="N17" s="141">
        <f t="shared" si="3"/>
        <v>25.74779986414649</v>
      </c>
      <c r="O17" s="141">
        <f t="shared" si="4"/>
        <v>2.5395067466906571</v>
      </c>
      <c r="P17" s="185">
        <f t="shared" si="5"/>
        <v>9.5872596202362645E-2</v>
      </c>
      <c r="Q17" s="141">
        <f t="shared" si="6"/>
        <v>5.7912781747532485</v>
      </c>
      <c r="R17" s="141">
        <f t="shared" si="7"/>
        <v>5.6954055785508855</v>
      </c>
      <c r="S17" s="141">
        <f t="shared" si="8"/>
        <v>5.8871507709556115</v>
      </c>
      <c r="T17" s="48">
        <f t="shared" si="9"/>
        <v>618412.37944881956</v>
      </c>
      <c r="U17" s="142">
        <f t="shared" si="19"/>
        <v>346.34326495000005</v>
      </c>
      <c r="V17" s="48">
        <f t="shared" si="10"/>
        <v>495913.09751142497</v>
      </c>
      <c r="W17" s="142">
        <f t="shared" si="11"/>
        <v>346.34326495000005</v>
      </c>
      <c r="X17" s="48">
        <f t="shared" si="12"/>
        <v>771171.14465148968</v>
      </c>
      <c r="Y17" s="142">
        <f t="shared" si="13"/>
        <v>346.34326495000005</v>
      </c>
      <c r="Z17" s="2" t="s">
        <v>80</v>
      </c>
      <c r="AA17" s="2">
        <v>86.958826444998394</v>
      </c>
      <c r="AB17" s="2">
        <v>2.9348406973796441</v>
      </c>
      <c r="AC17" s="2">
        <v>29.629828468250114</v>
      </c>
      <c r="AD17" s="2">
        <v>1.824742265606886E-9</v>
      </c>
      <c r="AE17" s="2">
        <v>80.1910672841029</v>
      </c>
      <c r="AF17" s="2">
        <v>93.726585605893888</v>
      </c>
      <c r="AG17" s="2">
        <v>80.1910672841029</v>
      </c>
      <c r="AH17" s="2">
        <v>93.726585605893888</v>
      </c>
    </row>
    <row r="18" spans="1:34" ht="13.5" thickBot="1" x14ac:dyDescent="0.25">
      <c r="A18" s="48"/>
      <c r="B18" s="48"/>
      <c r="C18" s="49"/>
      <c r="D18" s="49"/>
      <c r="E18" s="49"/>
      <c r="F18" s="49"/>
      <c r="G18" s="2"/>
      <c r="H18" s="2" t="s">
        <v>81</v>
      </c>
      <c r="I18" s="2">
        <f>+I15*SQRT(K24/I1)</f>
        <v>5.1411019983632331E-2</v>
      </c>
      <c r="J18" s="49">
        <f>+I13-I18</f>
        <v>25.696388844162858</v>
      </c>
      <c r="K18" s="49">
        <f>+I13+I18</f>
        <v>25.799210884130122</v>
      </c>
      <c r="L18" s="2"/>
      <c r="M18" s="49">
        <f t="shared" si="20"/>
        <v>0</v>
      </c>
      <c r="N18" s="141">
        <f t="shared" si="3"/>
        <v>25.74779986414649</v>
      </c>
      <c r="O18" s="141">
        <f t="shared" si="4"/>
        <v>2.5428438940123139</v>
      </c>
      <c r="P18" s="185">
        <f t="shared" si="5"/>
        <v>9.4035829251007702E-2</v>
      </c>
      <c r="Q18" s="141">
        <f t="shared" si="6"/>
        <v>5.7650534549362469</v>
      </c>
      <c r="R18" s="141">
        <f t="shared" si="7"/>
        <v>5.6710176256852396</v>
      </c>
      <c r="S18" s="141">
        <f t="shared" si="8"/>
        <v>5.8590892841872542</v>
      </c>
      <c r="T18" s="48">
        <f t="shared" si="9"/>
        <v>582174.87008684059</v>
      </c>
      <c r="U18" s="142">
        <f t="shared" si="19"/>
        <v>349.01484048000015</v>
      </c>
      <c r="V18" s="48">
        <f t="shared" si="10"/>
        <v>468832.40915374737</v>
      </c>
      <c r="W18" s="142">
        <f t="shared" si="11"/>
        <v>349.01484048000015</v>
      </c>
      <c r="X18" s="48">
        <f t="shared" si="12"/>
        <v>722918.40910145559</v>
      </c>
      <c r="Y18" s="142">
        <f t="shared" si="13"/>
        <v>349.01484048000015</v>
      </c>
      <c r="Z18" s="147" t="s">
        <v>82</v>
      </c>
      <c r="AA18" s="147">
        <v>-3.9353116272950031E-4</v>
      </c>
      <c r="AB18" s="147">
        <v>7.4171706023342889E-5</v>
      </c>
      <c r="AC18" s="147">
        <v>-5.3056776475607892</v>
      </c>
      <c r="AD18" s="147">
        <v>7.2341618680962284E-4</v>
      </c>
      <c r="AE18" s="147">
        <v>-5.645715341428152E-4</v>
      </c>
      <c r="AF18" s="147">
        <v>-2.2249079131618545E-4</v>
      </c>
      <c r="AG18" s="147">
        <v>-5.645715341428152E-4</v>
      </c>
      <c r="AH18" s="147">
        <v>-2.2249079131618545E-4</v>
      </c>
    </row>
    <row r="19" spans="1:34" x14ac:dyDescent="0.2">
      <c r="A19" s="49"/>
      <c r="B19" s="48"/>
      <c r="C19" s="49"/>
      <c r="D19" s="49"/>
      <c r="E19" s="49"/>
      <c r="F19" s="49"/>
      <c r="G19" s="2"/>
      <c r="H19" s="2" t="s">
        <v>83</v>
      </c>
      <c r="I19" s="2">
        <f>MIN(A:A)</f>
        <v>306.26963199999994</v>
      </c>
      <c r="J19" s="135"/>
      <c r="K19" s="135"/>
      <c r="L19" s="135"/>
      <c r="M19" s="49">
        <f t="shared" si="20"/>
        <v>0</v>
      </c>
      <c r="N19" s="141">
        <f t="shared" si="3"/>
        <v>25.74779986414649</v>
      </c>
      <c r="O19" s="141">
        <f t="shared" si="4"/>
        <v>2.5461555938903522</v>
      </c>
      <c r="P19" s="185">
        <f t="shared" si="5"/>
        <v>9.2251284831985941E-2</v>
      </c>
      <c r="Q19" s="141">
        <f t="shared" si="6"/>
        <v>5.7390287119301675</v>
      </c>
      <c r="R19" s="141">
        <f t="shared" si="7"/>
        <v>5.6467774270981819</v>
      </c>
      <c r="S19" s="141">
        <f t="shared" si="8"/>
        <v>5.8312799967621531</v>
      </c>
      <c r="T19" s="48">
        <f t="shared" si="9"/>
        <v>548313.21362067608</v>
      </c>
      <c r="U19" s="142">
        <f t="shared" si="19"/>
        <v>351.68641601000013</v>
      </c>
      <c r="V19" s="48">
        <f t="shared" si="10"/>
        <v>443381.35583310737</v>
      </c>
      <c r="W19" s="142">
        <f t="shared" si="11"/>
        <v>351.68641601000013</v>
      </c>
      <c r="X19" s="48">
        <f t="shared" si="12"/>
        <v>678078.53504827782</v>
      </c>
      <c r="Y19" s="142">
        <f t="shared" si="13"/>
        <v>351.68641601000013</v>
      </c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3.5" thickBot="1" x14ac:dyDescent="0.25">
      <c r="A20" s="49"/>
      <c r="B20" s="48"/>
      <c r="C20" s="49"/>
      <c r="D20" s="49"/>
      <c r="E20" s="49"/>
      <c r="F20" s="49"/>
      <c r="G20" s="2"/>
      <c r="H20" s="2" t="s">
        <v>84</v>
      </c>
      <c r="I20" s="2">
        <f>MAX(A:A)</f>
        <v>573.42718500000001</v>
      </c>
      <c r="J20" s="2"/>
      <c r="K20" s="2"/>
      <c r="L20" s="2"/>
      <c r="M20" s="2"/>
      <c r="N20" s="2"/>
      <c r="O20" s="141">
        <f t="shared" si="4"/>
        <v>2.5494422314889222</v>
      </c>
      <c r="P20" s="185">
        <f t="shared" si="5"/>
        <v>9.0520110776361615E-2</v>
      </c>
      <c r="Q20" s="141">
        <f t="shared" si="6"/>
        <v>5.7132009189516637</v>
      </c>
      <c r="R20" s="141">
        <f t="shared" si="7"/>
        <v>5.6226808081753017</v>
      </c>
      <c r="S20" s="141">
        <f t="shared" si="8"/>
        <v>5.8037210297280257</v>
      </c>
      <c r="T20" s="48">
        <f t="shared" si="9"/>
        <v>516655.33579009306</v>
      </c>
      <c r="U20" s="142">
        <f t="shared" si="19"/>
        <v>354.35799154000017</v>
      </c>
      <c r="V20" s="48">
        <f t="shared" si="10"/>
        <v>419450.58861196536</v>
      </c>
      <c r="W20" s="142">
        <f t="shared" si="11"/>
        <v>354.35799154000017</v>
      </c>
      <c r="X20" s="48">
        <f t="shared" si="12"/>
        <v>636386.60487687006</v>
      </c>
      <c r="Y20" s="142">
        <f t="shared" si="13"/>
        <v>354.35799154000017</v>
      </c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3.5" thickBot="1" x14ac:dyDescent="0.25">
      <c r="A21" s="49"/>
      <c r="B21" s="48"/>
      <c r="C21" s="49"/>
      <c r="D21" s="49"/>
      <c r="E21" s="49"/>
      <c r="F21" s="49"/>
      <c r="G21" s="2"/>
      <c r="H21" s="153" t="s">
        <v>85</v>
      </c>
      <c r="I21" s="154"/>
      <c r="J21" s="2"/>
      <c r="K21" s="2"/>
      <c r="L21" s="2"/>
      <c r="M21" s="2"/>
      <c r="N21" s="2"/>
      <c r="O21" s="141">
        <f t="shared" si="4"/>
        <v>2.552704183293236</v>
      </c>
      <c r="P21" s="185">
        <f t="shared" si="5"/>
        <v>8.8843502830929011E-2</v>
      </c>
      <c r="Q21" s="141">
        <f t="shared" si="6"/>
        <v>5.6875671174201763</v>
      </c>
      <c r="R21" s="141">
        <f t="shared" si="7"/>
        <v>5.5987236145892476</v>
      </c>
      <c r="S21" s="141">
        <f t="shared" si="8"/>
        <v>5.776410620251105</v>
      </c>
      <c r="T21" s="48">
        <f t="shared" si="9"/>
        <v>487042.78868184745</v>
      </c>
      <c r="U21" s="142">
        <f t="shared" si="19"/>
        <v>357.02956707000021</v>
      </c>
      <c r="V21" s="48">
        <f t="shared" si="10"/>
        <v>396938.85681472148</v>
      </c>
      <c r="W21" s="142">
        <f t="shared" si="11"/>
        <v>357.02956707000021</v>
      </c>
      <c r="X21" s="48">
        <f t="shared" si="12"/>
        <v>597600.04326740105</v>
      </c>
      <c r="Y21" s="142">
        <f t="shared" si="13"/>
        <v>357.02956707000021</v>
      </c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x14ac:dyDescent="0.2">
      <c r="A22" s="49"/>
      <c r="B22" s="48"/>
      <c r="C22" s="49"/>
      <c r="D22" s="49"/>
      <c r="E22" s="49"/>
      <c r="F22" s="49"/>
      <c r="G22" s="2"/>
      <c r="H22" s="138"/>
      <c r="I22" s="155" t="s">
        <v>86</v>
      </c>
      <c r="J22" s="156" t="s">
        <v>87</v>
      </c>
      <c r="K22" s="156" t="s">
        <v>119</v>
      </c>
      <c r="L22" s="157" t="s">
        <v>62</v>
      </c>
      <c r="M22" s="2"/>
      <c r="N22" s="2"/>
      <c r="O22" s="141">
        <f t="shared" si="4"/>
        <v>2.5559418173683772</v>
      </c>
      <c r="P22" s="185">
        <f t="shared" si="5"/>
        <v>8.7222700195707631E-2</v>
      </c>
      <c r="Q22" s="141">
        <f t="shared" si="6"/>
        <v>5.662124414924083</v>
      </c>
      <c r="R22" s="141">
        <f t="shared" si="7"/>
        <v>5.5749017147283757</v>
      </c>
      <c r="S22" s="141">
        <f t="shared" si="8"/>
        <v>5.7493471151197904</v>
      </c>
      <c r="T22" s="48">
        <f t="shared" si="9"/>
        <v>459329.58086826187</v>
      </c>
      <c r="U22" s="142">
        <f t="shared" si="19"/>
        <v>359.70114260000014</v>
      </c>
      <c r="V22" s="48">
        <f t="shared" si="10"/>
        <v>375752.35807359865</v>
      </c>
      <c r="W22" s="142">
        <f t="shared" si="11"/>
        <v>359.70114260000014</v>
      </c>
      <c r="X22" s="48">
        <f t="shared" si="12"/>
        <v>561496.57966827112</v>
      </c>
      <c r="Y22" s="142">
        <f t="shared" si="13"/>
        <v>359.70114260000014</v>
      </c>
      <c r="Z22" s="2" t="s">
        <v>88</v>
      </c>
      <c r="AA22" s="2"/>
      <c r="AB22" s="2"/>
      <c r="AC22" s="2"/>
      <c r="AD22" s="2"/>
      <c r="AE22" s="2"/>
      <c r="AF22" s="2"/>
      <c r="AG22" s="2"/>
      <c r="AH22" s="2"/>
    </row>
    <row r="23" spans="1:34" ht="13.5" thickBot="1" x14ac:dyDescent="0.25">
      <c r="A23" s="49"/>
      <c r="B23" s="48"/>
      <c r="C23" s="49"/>
      <c r="D23" s="165"/>
      <c r="E23" s="49"/>
      <c r="F23" s="49"/>
      <c r="G23" s="2"/>
      <c r="H23" s="140" t="s">
        <v>89</v>
      </c>
      <c r="I23" s="158">
        <f>+I9^2/I7</f>
        <v>3.2134005467503974</v>
      </c>
      <c r="J23" s="2">
        <v>1</v>
      </c>
      <c r="K23" s="49">
        <f>+I23/1</f>
        <v>3.2134005467503974</v>
      </c>
      <c r="L23" s="146">
        <f>+K23/K24</f>
        <v>1147.686806442415</v>
      </c>
      <c r="M23" s="2"/>
      <c r="N23" s="2"/>
      <c r="O23" s="141">
        <f t="shared" si="4"/>
        <v>2.5591554936085328</v>
      </c>
      <c r="P23" s="185">
        <f t="shared" si="5"/>
        <v>8.5658980015284436E-2</v>
      </c>
      <c r="Q23" s="141">
        <f t="shared" si="6"/>
        <v>5.6368699832621338</v>
      </c>
      <c r="R23" s="141">
        <f t="shared" si="7"/>
        <v>5.5512110032468494</v>
      </c>
      <c r="S23" s="141">
        <f t="shared" si="8"/>
        <v>5.7225289632774183</v>
      </c>
      <c r="T23" s="48">
        <f t="shared" si="9"/>
        <v>433381.11566545488</v>
      </c>
      <c r="U23" s="142">
        <f t="shared" si="19"/>
        <v>362.37271813000024</v>
      </c>
      <c r="V23" s="48">
        <f t="shared" si="10"/>
        <v>355804.14506811654</v>
      </c>
      <c r="W23" s="142">
        <f t="shared" si="11"/>
        <v>362.37271813000024</v>
      </c>
      <c r="X23" s="48">
        <f t="shared" si="12"/>
        <v>527872.40963558154</v>
      </c>
      <c r="Y23" s="142">
        <f t="shared" si="13"/>
        <v>362.37271813000024</v>
      </c>
      <c r="Z23" s="2"/>
      <c r="AA23" s="2"/>
      <c r="AB23" s="2"/>
      <c r="AC23" s="2"/>
      <c r="AD23" s="2"/>
      <c r="AE23" s="2"/>
      <c r="AF23" s="2"/>
      <c r="AG23" s="2"/>
      <c r="AH23" s="2"/>
    </row>
    <row r="24" spans="1:34" x14ac:dyDescent="0.2">
      <c r="A24" s="49"/>
      <c r="B24" s="48"/>
      <c r="C24" s="49"/>
      <c r="D24" s="49"/>
      <c r="E24" s="49"/>
      <c r="F24" s="49"/>
      <c r="G24" s="2"/>
      <c r="H24" s="140" t="s">
        <v>67</v>
      </c>
      <c r="I24" s="159">
        <f>+I8-I23</f>
        <v>1.3999466268638461E-2</v>
      </c>
      <c r="J24" s="160">
        <f>+I1-2</f>
        <v>5</v>
      </c>
      <c r="K24" s="161">
        <f>+I24/($I$1-2)</f>
        <v>2.799893253727692E-3</v>
      </c>
      <c r="L24" s="162"/>
      <c r="M24" s="2"/>
      <c r="N24" s="2"/>
      <c r="O24" s="141">
        <f t="shared" si="4"/>
        <v>2.5623455639770709</v>
      </c>
      <c r="P24" s="185">
        <f t="shared" si="5"/>
        <v>8.4153650729720128E-2</v>
      </c>
      <c r="Q24" s="141">
        <f t="shared" si="6"/>
        <v>5.6118010565568284</v>
      </c>
      <c r="R24" s="141">
        <f t="shared" si="7"/>
        <v>5.5276474058271079</v>
      </c>
      <c r="S24" s="141">
        <f t="shared" si="8"/>
        <v>5.6959547072865488</v>
      </c>
      <c r="T24" s="48">
        <f t="shared" si="9"/>
        <v>409073.22681871394</v>
      </c>
      <c r="U24" s="142">
        <f t="shared" si="19"/>
        <v>365.04429366000016</v>
      </c>
      <c r="V24" s="48">
        <f t="shared" si="10"/>
        <v>337013.58361487364</v>
      </c>
      <c r="W24" s="142">
        <f t="shared" si="11"/>
        <v>365.04429366000016</v>
      </c>
      <c r="X24" s="48">
        <f t="shared" si="12"/>
        <v>496540.534375332</v>
      </c>
      <c r="Y24" s="142">
        <f t="shared" si="13"/>
        <v>365.04429366000016</v>
      </c>
      <c r="Z24" s="151" t="s">
        <v>90</v>
      </c>
      <c r="AA24" s="151" t="s">
        <v>91</v>
      </c>
      <c r="AB24" s="151" t="s">
        <v>92</v>
      </c>
      <c r="AC24" s="151" t="s">
        <v>93</v>
      </c>
      <c r="AD24" s="2"/>
      <c r="AE24" s="2"/>
      <c r="AF24" s="2"/>
      <c r="AG24" s="2"/>
      <c r="AH24" s="2"/>
    </row>
    <row r="25" spans="1:34" ht="13.5" thickBot="1" x14ac:dyDescent="0.25">
      <c r="A25" s="49"/>
      <c r="B25" s="48"/>
      <c r="C25" s="49"/>
      <c r="D25" s="49"/>
      <c r="E25" s="49"/>
      <c r="F25" s="49"/>
      <c r="G25" s="2"/>
      <c r="H25" s="152" t="s">
        <v>69</v>
      </c>
      <c r="I25" s="163">
        <f>SUM(I23:I24)</f>
        <v>3.2274000130190359</v>
      </c>
      <c r="J25" s="164">
        <f>SUM(J23:J24)</f>
        <v>6</v>
      </c>
      <c r="K25" s="147"/>
      <c r="L25" s="149"/>
      <c r="M25" s="2"/>
      <c r="N25" s="2"/>
      <c r="O25" s="141">
        <f t="shared" si="4"/>
        <v>2.5655123727378677</v>
      </c>
      <c r="P25" s="185">
        <f t="shared" si="5"/>
        <v>8.2708044202058045E-2</v>
      </c>
      <c r="Q25" s="141">
        <f t="shared" si="6"/>
        <v>5.5869149294365279</v>
      </c>
      <c r="R25" s="141">
        <f t="shared" si="7"/>
        <v>5.5042068852344697</v>
      </c>
      <c r="S25" s="141">
        <f t="shared" si="8"/>
        <v>5.6696229736385861</v>
      </c>
      <c r="T25" s="48">
        <f t="shared" si="9"/>
        <v>386291.30204816564</v>
      </c>
      <c r="U25" s="142">
        <f t="shared" si="19"/>
        <v>367.71586919000021</v>
      </c>
      <c r="V25" s="48">
        <f t="shared" si="10"/>
        <v>319305.85729075351</v>
      </c>
      <c r="W25" s="142">
        <f t="shared" si="11"/>
        <v>367.71586919000021</v>
      </c>
      <c r="X25" s="48">
        <f t="shared" si="12"/>
        <v>467329.26011497894</v>
      </c>
      <c r="Y25" s="142">
        <f t="shared" si="13"/>
        <v>367.71586919000021</v>
      </c>
      <c r="Z25" s="2">
        <v>1</v>
      </c>
      <c r="AA25" s="2">
        <v>64.96200857307025</v>
      </c>
      <c r="AB25" s="2">
        <v>0.47441169590722154</v>
      </c>
      <c r="AC25" s="2">
        <v>0.1032033599178334</v>
      </c>
      <c r="AD25" s="2"/>
      <c r="AE25" s="2"/>
      <c r="AF25" s="2"/>
      <c r="AG25" s="2"/>
      <c r="AH25" s="2"/>
    </row>
    <row r="26" spans="1:34" x14ac:dyDescent="0.2">
      <c r="A26" s="49"/>
      <c r="B26" s="48"/>
      <c r="C26" s="49"/>
      <c r="D26" s="49"/>
      <c r="E26" s="49"/>
      <c r="F26" s="49"/>
      <c r="G26" s="2"/>
      <c r="H26" s="2"/>
      <c r="I26" s="2"/>
      <c r="J26" s="2"/>
      <c r="K26" s="2"/>
      <c r="L26" s="2"/>
      <c r="M26" s="2"/>
      <c r="N26" s="2"/>
      <c r="O26" s="141">
        <f t="shared" si="4"/>
        <v>2.5686562566782594</v>
      </c>
      <c r="P26" s="185">
        <f t="shared" si="5"/>
        <v>8.1323506556787675E-2</v>
      </c>
      <c r="Q26" s="141">
        <f t="shared" si="6"/>
        <v>5.5622089552834275</v>
      </c>
      <c r="R26" s="141">
        <f t="shared" si="7"/>
        <v>5.4808854487266396</v>
      </c>
      <c r="S26" s="141">
        <f t="shared" si="8"/>
        <v>5.6435324618402154</v>
      </c>
      <c r="T26" s="48">
        <f t="shared" si="9"/>
        <v>364929.48588814185</v>
      </c>
      <c r="U26" s="142">
        <f t="shared" si="19"/>
        <v>370.38744472000025</v>
      </c>
      <c r="V26" s="48">
        <f t="shared" si="10"/>
        <v>302611.51424272865</v>
      </c>
      <c r="W26" s="142">
        <f t="shared" si="11"/>
        <v>370.38744472000025</v>
      </c>
      <c r="X26" s="48">
        <f t="shared" si="12"/>
        <v>440080.84095492581</v>
      </c>
      <c r="Y26" s="142">
        <f t="shared" si="13"/>
        <v>370.38744472000025</v>
      </c>
      <c r="Z26" s="2">
        <v>2</v>
      </c>
      <c r="AA26" s="2">
        <v>84.735375375576723</v>
      </c>
      <c r="AB26" s="2">
        <v>8.1224337994435558</v>
      </c>
      <c r="AC26" s="2">
        <v>1.7669515023438278</v>
      </c>
      <c r="AD26" s="2"/>
      <c r="AE26" s="2"/>
      <c r="AF26" s="2"/>
      <c r="AG26" s="2"/>
      <c r="AH26" s="2"/>
    </row>
    <row r="27" spans="1:34" x14ac:dyDescent="0.2">
      <c r="A27" s="49"/>
      <c r="B27" s="48"/>
      <c r="C27" s="49"/>
      <c r="D27" s="49"/>
      <c r="E27" s="49"/>
      <c r="F27" s="49"/>
      <c r="G27" s="2"/>
      <c r="H27" s="2"/>
      <c r="I27" s="2"/>
      <c r="J27" s="2"/>
      <c r="K27" s="2"/>
      <c r="L27" s="2"/>
      <c r="M27" s="2"/>
      <c r="N27" s="2"/>
      <c r="O27" s="141">
        <f t="shared" si="4"/>
        <v>2.5717775453239815</v>
      </c>
      <c r="P27" s="185">
        <f t="shared" si="5"/>
        <v>8.0001387687708272E-2</v>
      </c>
      <c r="Q27" s="141">
        <f t="shared" si="6"/>
        <v>5.537680544544461</v>
      </c>
      <c r="R27" s="141">
        <f t="shared" si="7"/>
        <v>5.4576791568567531</v>
      </c>
      <c r="S27" s="141">
        <f t="shared" si="8"/>
        <v>5.6176819322321689</v>
      </c>
      <c r="T27" s="48">
        <f t="shared" si="9"/>
        <v>344889.95414270618</v>
      </c>
      <c r="U27" s="142">
        <f t="shared" si="19"/>
        <v>373.0590202500004</v>
      </c>
      <c r="V27" s="48">
        <f t="shared" si="10"/>
        <v>286866.05225748761</v>
      </c>
      <c r="W27" s="142">
        <f t="shared" si="11"/>
        <v>373.0590202500004</v>
      </c>
      <c r="X27" s="48">
        <f t="shared" si="12"/>
        <v>414650.25063959352</v>
      </c>
      <c r="Y27" s="142">
        <f t="shared" si="13"/>
        <v>373.0590202500004</v>
      </c>
      <c r="Z27" s="2">
        <v>3</v>
      </c>
      <c r="AA27" s="2">
        <v>72.398960486332342</v>
      </c>
      <c r="AB27" s="2">
        <v>-3.7728515527469852</v>
      </c>
      <c r="AC27" s="2">
        <v>-0.82074485109416684</v>
      </c>
      <c r="AD27" s="2"/>
      <c r="AE27" s="2"/>
      <c r="AF27" s="2"/>
      <c r="AG27" s="2"/>
      <c r="AH27" s="2"/>
    </row>
    <row r="28" spans="1:34" x14ac:dyDescent="0.2">
      <c r="A28" s="49"/>
      <c r="B28" s="48"/>
      <c r="C28" s="49"/>
      <c r="D28" s="49"/>
      <c r="E28" s="49"/>
      <c r="F28" s="49"/>
      <c r="G28" s="2"/>
      <c r="H28" s="2"/>
      <c r="I28" s="49"/>
      <c r="J28" s="2"/>
      <c r="K28" s="2"/>
      <c r="L28" s="2"/>
      <c r="M28" s="2"/>
      <c r="N28" s="2"/>
      <c r="O28" s="141">
        <f t="shared" si="4"/>
        <v>2.5748765611464415</v>
      </c>
      <c r="P28" s="185">
        <f t="shared" si="5"/>
        <v>7.8743029425094493E-2</v>
      </c>
      <c r="Q28" s="141">
        <f t="shared" si="6"/>
        <v>5.5133271631024598</v>
      </c>
      <c r="R28" s="141">
        <f t="shared" si="7"/>
        <v>5.4345841336773653</v>
      </c>
      <c r="S28" s="141">
        <f t="shared" si="8"/>
        <v>5.5920701925275544</v>
      </c>
      <c r="T28" s="48">
        <f t="shared" si="9"/>
        <v>326082.25307136279</v>
      </c>
      <c r="U28" s="142">
        <f t="shared" si="19"/>
        <v>375.73059578000033</v>
      </c>
      <c r="V28" s="48">
        <f t="shared" si="10"/>
        <v>272009.53854066279</v>
      </c>
      <c r="W28" s="142">
        <f t="shared" si="11"/>
        <v>375.73059578000033</v>
      </c>
      <c r="X28" s="48">
        <f t="shared" si="12"/>
        <v>390904.07027105434</v>
      </c>
      <c r="Y28" s="142">
        <f t="shared" si="13"/>
        <v>375.73059578000033</v>
      </c>
      <c r="Z28" s="2">
        <v>4</v>
      </c>
      <c r="AA28" s="2">
        <v>83.967989608254186</v>
      </c>
      <c r="AB28" s="2">
        <v>3.5389412932821216</v>
      </c>
      <c r="AC28" s="2">
        <v>0.76986009234077568</v>
      </c>
      <c r="AD28" s="2"/>
      <c r="AE28" s="2"/>
      <c r="AF28" s="2"/>
      <c r="AG28" s="2"/>
      <c r="AH28" s="2"/>
    </row>
    <row r="29" spans="1:34" x14ac:dyDescent="0.2">
      <c r="A29" s="49"/>
      <c r="B29" s="48"/>
      <c r="C29" s="49"/>
      <c r="D29" s="49"/>
      <c r="E29" s="49"/>
      <c r="F29" s="49"/>
      <c r="G29" s="2"/>
      <c r="H29" s="2" t="s">
        <v>94</v>
      </c>
      <c r="I29" s="165">
        <f>10^$I$13</f>
        <v>5.5949970792026191E+25</v>
      </c>
      <c r="J29" s="2" t="s">
        <v>95</v>
      </c>
      <c r="K29" s="2" t="s">
        <v>96</v>
      </c>
      <c r="L29" s="135">
        <f>+I12</f>
        <v>-7.8584243634711592</v>
      </c>
      <c r="M29" s="2"/>
      <c r="N29" s="2"/>
      <c r="O29" s="141">
        <f t="shared" si="4"/>
        <v>2.5779536197626465</v>
      </c>
      <c r="P29" s="185">
        <f t="shared" si="5"/>
        <v>7.7549752391141064E-2</v>
      </c>
      <c r="Q29" s="141">
        <f t="shared" si="6"/>
        <v>5.4891463307050437</v>
      </c>
      <c r="R29" s="141">
        <f t="shared" si="7"/>
        <v>5.4115965783139028</v>
      </c>
      <c r="S29" s="141">
        <f t="shared" si="8"/>
        <v>5.5666960830961845</v>
      </c>
      <c r="T29" s="48">
        <f t="shared" si="9"/>
        <v>308422.69712395227</v>
      </c>
      <c r="U29" s="142">
        <f t="shared" si="19"/>
        <v>378.40217131000048</v>
      </c>
      <c r="V29" s="48">
        <f t="shared" si="10"/>
        <v>257986.26099363895</v>
      </c>
      <c r="W29" s="142">
        <f t="shared" si="11"/>
        <v>378.40217131000048</v>
      </c>
      <c r="X29" s="48">
        <f t="shared" si="12"/>
        <v>368719.4803895338</v>
      </c>
      <c r="Y29" s="142">
        <f t="shared" si="13"/>
        <v>378.40217131000048</v>
      </c>
      <c r="Z29" s="2">
        <v>5</v>
      </c>
      <c r="AA29" s="2">
        <v>80.249513651623147</v>
      </c>
      <c r="AB29" s="2">
        <v>-3.074627132090697</v>
      </c>
      <c r="AC29" s="2">
        <v>-0.66885334671080132</v>
      </c>
      <c r="AD29" s="2"/>
      <c r="AE29" s="2"/>
      <c r="AF29" s="2"/>
      <c r="AG29" s="2"/>
      <c r="AH29" s="2"/>
    </row>
    <row r="30" spans="1:34" ht="15.75" x14ac:dyDescent="0.2">
      <c r="A30" s="136"/>
      <c r="B30" s="136"/>
      <c r="C30" s="14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141">
        <f t="shared" si="4"/>
        <v>2.5810090301280986</v>
      </c>
      <c r="P30" s="185">
        <f t="shared" si="5"/>
        <v>7.6422841619128809E-2</v>
      </c>
      <c r="Q30" s="141">
        <f t="shared" si="6"/>
        <v>5.4651356194487732</v>
      </c>
      <c r="R30" s="141">
        <f t="shared" si="7"/>
        <v>5.3887127778296442</v>
      </c>
      <c r="S30" s="141">
        <f t="shared" si="8"/>
        <v>5.5415584610679023</v>
      </c>
      <c r="T30" s="48">
        <f t="shared" si="9"/>
        <v>291833.81967211835</v>
      </c>
      <c r="U30" s="142">
        <f t="shared" si="19"/>
        <v>381.07374684000007</v>
      </c>
      <c r="V30" s="48">
        <f t="shared" si="10"/>
        <v>244744.40808057328</v>
      </c>
      <c r="W30" s="142">
        <f t="shared" si="11"/>
        <v>381.07374684000007</v>
      </c>
      <c r="X30" s="48">
        <f t="shared" si="12"/>
        <v>347983.34708583204</v>
      </c>
      <c r="Y30" s="142">
        <f t="shared" si="13"/>
        <v>381.07374684000007</v>
      </c>
      <c r="Z30" s="2">
        <v>6</v>
      </c>
      <c r="AA30" s="2">
        <v>78.183475047293271</v>
      </c>
      <c r="AB30" s="2">
        <v>-4.5407034997025164</v>
      </c>
      <c r="AC30" s="2">
        <v>-0.98778310400595504</v>
      </c>
      <c r="AD30" s="2"/>
      <c r="AE30" s="2"/>
      <c r="AF30" s="2"/>
      <c r="AG30" s="2"/>
      <c r="AH30" s="2"/>
    </row>
    <row r="31" spans="1:34" ht="16.5" thickBot="1" x14ac:dyDescent="0.25">
      <c r="A31" s="136"/>
      <c r="B31" s="136"/>
      <c r="C31" s="14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141">
        <f t="shared" si="4"/>
        <v>2.5840430947229533</v>
      </c>
      <c r="P31" s="185">
        <f t="shared" si="5"/>
        <v>7.5363531064810974E-2</v>
      </c>
      <c r="Q31" s="141">
        <f t="shared" si="6"/>
        <v>5.4412926523162213</v>
      </c>
      <c r="R31" s="141">
        <f t="shared" si="7"/>
        <v>5.3659291212514102</v>
      </c>
      <c r="S31" s="141">
        <f t="shared" si="8"/>
        <v>5.5166561833810324</v>
      </c>
      <c r="T31" s="48">
        <f t="shared" si="9"/>
        <v>276243.871745507</v>
      </c>
      <c r="U31" s="142">
        <f t="shared" si="19"/>
        <v>383.74532237000011</v>
      </c>
      <c r="V31" s="48">
        <f t="shared" si="10"/>
        <v>232235.77465403703</v>
      </c>
      <c r="W31" s="142">
        <f t="shared" si="11"/>
        <v>383.74532237000011</v>
      </c>
      <c r="X31" s="48">
        <f t="shared" si="12"/>
        <v>328591.39290933288</v>
      </c>
      <c r="Y31" s="142">
        <f t="shared" si="13"/>
        <v>383.74532237000011</v>
      </c>
      <c r="Z31" s="2">
        <v>7</v>
      </c>
      <c r="AA31" s="2">
        <v>58.292048895967945</v>
      </c>
      <c r="AB31" s="2">
        <v>5.5384635753090379</v>
      </c>
      <c r="AC31" s="2">
        <v>1.2048354934870995</v>
      </c>
      <c r="AD31" s="2"/>
      <c r="AE31" s="2"/>
      <c r="AF31" s="2"/>
      <c r="AG31" s="2"/>
      <c r="AH31" s="2"/>
    </row>
    <row r="32" spans="1:34" ht="16.5" thickBot="1" x14ac:dyDescent="0.25">
      <c r="A32" s="136"/>
      <c r="B32" s="136"/>
      <c r="C32" s="142"/>
      <c r="D32" s="2"/>
      <c r="E32" s="2"/>
      <c r="F32" s="2"/>
      <c r="G32" s="2"/>
      <c r="H32" s="153" t="s">
        <v>33</v>
      </c>
      <c r="I32" s="166" t="s">
        <v>97</v>
      </c>
      <c r="J32" s="166" t="s">
        <v>98</v>
      </c>
      <c r="K32" s="166"/>
      <c r="L32" s="167">
        <v>0.95</v>
      </c>
      <c r="M32" s="2"/>
      <c r="N32" s="2"/>
      <c r="O32" s="141">
        <f t="shared" si="4"/>
        <v>2.587056109731718</v>
      </c>
      <c r="P32" s="185">
        <f t="shared" si="5"/>
        <v>7.4372987196643384E-2</v>
      </c>
      <c r="Q32" s="141">
        <f t="shared" si="6"/>
        <v>5.4176151017638396</v>
      </c>
      <c r="R32" s="141">
        <f t="shared" si="7"/>
        <v>5.3432421145671967</v>
      </c>
      <c r="S32" s="141">
        <f t="shared" si="8"/>
        <v>5.4919880889604826</v>
      </c>
      <c r="T32" s="48">
        <f t="shared" si="9"/>
        <v>261586.36428159635</v>
      </c>
      <c r="U32" s="142">
        <f t="shared" si="19"/>
        <v>386.41689790000021</v>
      </c>
      <c r="V32" s="48">
        <f t="shared" si="10"/>
        <v>220415.49135829153</v>
      </c>
      <c r="W32" s="142">
        <f t="shared" si="11"/>
        <v>386.41689790000021</v>
      </c>
      <c r="X32" s="48">
        <f t="shared" si="12"/>
        <v>310447.44430795626</v>
      </c>
      <c r="Y32" s="142">
        <f t="shared" si="13"/>
        <v>386.41689790000021</v>
      </c>
      <c r="Z32" s="2">
        <v>8</v>
      </c>
      <c r="AA32" s="2">
        <v>76.17685964853554</v>
      </c>
      <c r="AB32" s="2">
        <v>-1.6616650429208448</v>
      </c>
      <c r="AC32" s="2">
        <v>-0.36147805158871843</v>
      </c>
      <c r="AD32" s="2"/>
      <c r="AE32" s="2"/>
      <c r="AF32" s="2"/>
      <c r="AG32" s="2"/>
      <c r="AH32" s="2"/>
    </row>
    <row r="33" spans="1:34" ht="15.75" x14ac:dyDescent="0.2">
      <c r="A33" s="136"/>
      <c r="B33" s="136"/>
      <c r="C33" s="142"/>
      <c r="D33" s="2"/>
      <c r="E33" s="2"/>
      <c r="F33" s="2"/>
      <c r="G33" s="2"/>
      <c r="H33" s="140">
        <v>1</v>
      </c>
      <c r="I33" s="2">
        <v>12.706</v>
      </c>
      <c r="J33" s="2">
        <v>199.5</v>
      </c>
      <c r="K33" s="2"/>
      <c r="L33" s="145"/>
      <c r="M33" s="2"/>
      <c r="N33" s="2"/>
      <c r="O33" s="141">
        <f t="shared" si="4"/>
        <v>2.5900483652167603</v>
      </c>
      <c r="P33" s="185">
        <f t="shared" si="5"/>
        <v>7.3452291912373069E-2</v>
      </c>
      <c r="Q33" s="141">
        <f t="shared" si="6"/>
        <v>5.3941006883584528</v>
      </c>
      <c r="R33" s="141">
        <f t="shared" si="7"/>
        <v>5.3206483964460798</v>
      </c>
      <c r="S33" s="141">
        <f t="shared" si="8"/>
        <v>5.4675529802708258</v>
      </c>
      <c r="T33" s="48">
        <f t="shared" si="9"/>
        <v>247799.64984544515</v>
      </c>
      <c r="U33" s="142">
        <f t="shared" si="19"/>
        <v>389.08847343000014</v>
      </c>
      <c r="V33" s="48">
        <f t="shared" si="10"/>
        <v>209241.77545807688</v>
      </c>
      <c r="W33" s="142">
        <f t="shared" si="11"/>
        <v>389.08847343000014</v>
      </c>
      <c r="X33" s="48">
        <f t="shared" si="12"/>
        <v>293462.74819689727</v>
      </c>
      <c r="Y33" s="142">
        <f t="shared" si="13"/>
        <v>389.08847343000014</v>
      </c>
      <c r="Z33" s="2">
        <v>9</v>
      </c>
      <c r="AA33" s="2">
        <v>66.37832722773372</v>
      </c>
      <c r="AB33" s="2">
        <v>1.0806764711593644</v>
      </c>
      <c r="AC33" s="2">
        <v>0.23508999413371393</v>
      </c>
      <c r="AD33" s="2"/>
      <c r="AE33" s="2"/>
      <c r="AF33" s="2"/>
      <c r="AG33" s="2"/>
      <c r="AH33" s="2"/>
    </row>
    <row r="34" spans="1:34" ht="16.5" thickBot="1" x14ac:dyDescent="0.25">
      <c r="A34" s="136"/>
      <c r="B34" s="136"/>
      <c r="C34" s="142"/>
      <c r="D34" s="2"/>
      <c r="E34" s="2"/>
      <c r="F34" s="2"/>
      <c r="G34" s="2"/>
      <c r="H34" s="140">
        <v>2</v>
      </c>
      <c r="I34" s="2">
        <v>4.3029999999999999</v>
      </c>
      <c r="J34" s="2">
        <v>19</v>
      </c>
      <c r="K34" s="2"/>
      <c r="L34" s="145"/>
      <c r="M34" s="2"/>
      <c r="N34" s="2"/>
      <c r="O34" s="141">
        <f t="shared" si="4"/>
        <v>2.5930201452858825</v>
      </c>
      <c r="P34" s="185">
        <f t="shared" ref="P34:P65" si="21">SQRT(2*$I$16*$K$24)*SQRT((1/$I$1)+((O34-$I$10)^2/$I$7))</f>
        <v>7.2602425090089018E-2</v>
      </c>
      <c r="Q34" s="141">
        <f t="shared" si="6"/>
        <v>5.370747179460384</v>
      </c>
      <c r="R34" s="141">
        <f t="shared" si="7"/>
        <v>5.2981447543702949</v>
      </c>
      <c r="S34" s="141">
        <f t="shared" si="8"/>
        <v>5.4433496045504732</v>
      </c>
      <c r="T34" s="48">
        <f t="shared" si="9"/>
        <v>234826.54017586715</v>
      </c>
      <c r="U34" s="142">
        <f t="shared" si="19"/>
        <v>391.76004896000018</v>
      </c>
      <c r="V34" s="48">
        <f t="shared" si="10"/>
        <v>198675.70115099323</v>
      </c>
      <c r="W34" s="142">
        <f t="shared" si="11"/>
        <v>391.76004896000018</v>
      </c>
      <c r="X34" s="48">
        <f t="shared" si="12"/>
        <v>277555.35101425997</v>
      </c>
      <c r="Y34" s="142">
        <f t="shared" si="13"/>
        <v>391.76004896000018</v>
      </c>
      <c r="Z34" s="147">
        <v>10</v>
      </c>
      <c r="AA34" s="147">
        <v>71.750027598991394</v>
      </c>
      <c r="AB34" s="147">
        <v>-5.705079607640414</v>
      </c>
      <c r="AC34" s="147">
        <v>-1.2410810888236428</v>
      </c>
      <c r="AD34" s="2"/>
      <c r="AE34" s="2"/>
      <c r="AF34" s="2"/>
      <c r="AG34" s="2"/>
      <c r="AH34" s="2"/>
    </row>
    <row r="35" spans="1:34" ht="15.75" x14ac:dyDescent="0.2">
      <c r="A35" s="136"/>
      <c r="B35" s="136"/>
      <c r="C35" s="142"/>
      <c r="D35" s="2"/>
      <c r="E35" s="2"/>
      <c r="F35" s="2"/>
      <c r="G35" s="2"/>
      <c r="H35" s="140">
        <v>3</v>
      </c>
      <c r="I35" s="2">
        <v>3.1819999999999999</v>
      </c>
      <c r="J35" s="2">
        <v>9.5500000000000007</v>
      </c>
      <c r="K35" s="2"/>
      <c r="L35" s="145"/>
      <c r="M35" s="2"/>
      <c r="N35" s="2"/>
      <c r="O35" s="141">
        <f t="shared" si="4"/>
        <v>2.5959717282541979</v>
      </c>
      <c r="P35" s="185">
        <f t="shared" si="21"/>
        <v>7.1824247138346412E-2</v>
      </c>
      <c r="Q35" s="141">
        <f t="shared" si="6"/>
        <v>5.3475523879513709</v>
      </c>
      <c r="R35" s="141">
        <f t="shared" si="7"/>
        <v>5.2757281408130243</v>
      </c>
      <c r="S35" s="141">
        <f t="shared" si="8"/>
        <v>5.4193766350897175</v>
      </c>
      <c r="T35" s="48">
        <f t="shared" si="9"/>
        <v>222613.95627280095</v>
      </c>
      <c r="U35" s="142">
        <f t="shared" si="19"/>
        <v>394.43162449000005</v>
      </c>
      <c r="V35" s="48">
        <f t="shared" si="10"/>
        <v>188680.98761541522</v>
      </c>
      <c r="W35" s="142">
        <f t="shared" si="11"/>
        <v>394.43162449000005</v>
      </c>
      <c r="X35" s="48">
        <f t="shared" si="12"/>
        <v>262649.53429457109</v>
      </c>
      <c r="Y35" s="142">
        <f t="shared" si="13"/>
        <v>394.43162449000005</v>
      </c>
      <c r="Z35" s="2">
        <v>11</v>
      </c>
      <c r="AA35" s="2">
        <v>1.8219740757524479</v>
      </c>
      <c r="AB35" s="2">
        <v>-2.3572384393459211E-2</v>
      </c>
      <c r="AC35" s="2">
        <v>-2.1105589333618084</v>
      </c>
      <c r="AD35" s="2"/>
      <c r="AE35" s="2"/>
      <c r="AF35" s="2"/>
      <c r="AG35" s="2"/>
      <c r="AH35" s="2"/>
    </row>
    <row r="36" spans="1:34" ht="16.5" thickBot="1" x14ac:dyDescent="0.25">
      <c r="A36" s="136"/>
      <c r="B36" s="136"/>
      <c r="C36" s="142"/>
      <c r="D36" s="2"/>
      <c r="E36" s="2"/>
      <c r="F36" s="2"/>
      <c r="G36" s="2"/>
      <c r="H36" s="140">
        <v>4</v>
      </c>
      <c r="I36" s="2">
        <v>2.7764000000000002</v>
      </c>
      <c r="J36" s="2">
        <v>6.94</v>
      </c>
      <c r="K36" s="2"/>
      <c r="L36" s="145"/>
      <c r="M36" s="2"/>
      <c r="N36" s="2"/>
      <c r="O36" s="141">
        <f t="shared" si="4"/>
        <v>2.5989033868005444</v>
      </c>
      <c r="P36" s="185">
        <f t="shared" si="21"/>
        <v>7.1118481958128102E-2</v>
      </c>
      <c r="Q36" s="141">
        <f t="shared" si="6"/>
        <v>5.3245141710053829</v>
      </c>
      <c r="R36" s="141">
        <f t="shared" si="7"/>
        <v>5.2533956890472551</v>
      </c>
      <c r="S36" s="141">
        <f t="shared" si="8"/>
        <v>5.3956326529635108</v>
      </c>
      <c r="T36" s="48">
        <f t="shared" si="9"/>
        <v>211112.60806141625</v>
      </c>
      <c r="U36" s="142">
        <f t="shared" si="19"/>
        <v>397.10320001999992</v>
      </c>
      <c r="V36" s="48">
        <f t="shared" si="10"/>
        <v>179223.8032251728</v>
      </c>
      <c r="W36" s="142">
        <f t="shared" si="11"/>
        <v>397.10320001999992</v>
      </c>
      <c r="X36" s="48">
        <f t="shared" si="12"/>
        <v>248675.30138559907</v>
      </c>
      <c r="Y36" s="142">
        <f t="shared" si="13"/>
        <v>397.10320001999992</v>
      </c>
      <c r="Z36" s="147">
        <v>12</v>
      </c>
      <c r="AA36" s="147">
        <v>1.7418458667896419</v>
      </c>
      <c r="AB36" s="147">
        <v>5.198026089093144E-3</v>
      </c>
      <c r="AC36" s="147">
        <v>0.46540647798138757</v>
      </c>
      <c r="AD36" s="2"/>
      <c r="AE36" s="2"/>
      <c r="AF36" s="2"/>
      <c r="AG36" s="2"/>
      <c r="AH36" s="2"/>
    </row>
    <row r="37" spans="1:34" ht="15.75" x14ac:dyDescent="0.2">
      <c r="A37" s="136"/>
      <c r="B37" s="136"/>
      <c r="C37" s="142"/>
      <c r="D37" s="2"/>
      <c r="E37" s="2"/>
      <c r="F37" s="2"/>
      <c r="G37" s="2"/>
      <c r="H37" s="140">
        <v>5</v>
      </c>
      <c r="I37" s="2">
        <v>2.5706000000000002</v>
      </c>
      <c r="J37" s="2">
        <v>5.79</v>
      </c>
      <c r="K37" s="2"/>
      <c r="L37" s="145"/>
      <c r="M37" s="2"/>
      <c r="N37" s="2"/>
      <c r="O37" s="141">
        <f t="shared" si="4"/>
        <v>2.6018153881186574</v>
      </c>
      <c r="P37" s="185">
        <f t="shared" si="21"/>
        <v>7.0485700764738007E-2</v>
      </c>
      <c r="Q37" s="141">
        <f t="shared" si="6"/>
        <v>5.3016304289006619</v>
      </c>
      <c r="R37" s="141">
        <f t="shared" si="7"/>
        <v>5.2311447281359236</v>
      </c>
      <c r="S37" s="141">
        <f t="shared" si="8"/>
        <v>5.3721161296654003</v>
      </c>
      <c r="T37" s="48">
        <f t="shared" si="9"/>
        <v>200276.70095621177</v>
      </c>
      <c r="U37" s="142">
        <f t="shared" si="19"/>
        <v>399.77477555000019</v>
      </c>
      <c r="V37" s="48">
        <f t="shared" si="10"/>
        <v>170272.58452844567</v>
      </c>
      <c r="W37" s="142">
        <f t="shared" si="11"/>
        <v>399.77477555000019</v>
      </c>
      <c r="X37" s="48">
        <f t="shared" si="12"/>
        <v>235567.91045949658</v>
      </c>
      <c r="Y37" s="142">
        <f t="shared" si="13"/>
        <v>399.77477555000019</v>
      </c>
      <c r="Z37" s="2"/>
      <c r="AA37" s="2"/>
      <c r="AB37" s="2"/>
      <c r="AC37" s="2"/>
      <c r="AD37" s="2"/>
      <c r="AE37" s="2"/>
      <c r="AF37" s="2"/>
      <c r="AG37" s="2"/>
      <c r="AH37" s="2"/>
    </row>
    <row r="38" spans="1:34" x14ac:dyDescent="0.2">
      <c r="A38" s="142"/>
      <c r="B38" s="2"/>
      <c r="C38" s="142"/>
      <c r="D38" s="2"/>
      <c r="E38" s="2"/>
      <c r="F38" s="2"/>
      <c r="G38" s="2"/>
      <c r="H38" s="140">
        <v>6</v>
      </c>
      <c r="I38" s="2">
        <v>2.4468999999999999</v>
      </c>
      <c r="J38" s="2">
        <v>5.14</v>
      </c>
      <c r="K38" s="2"/>
      <c r="L38" s="145"/>
      <c r="M38" s="2"/>
      <c r="N38" s="2"/>
      <c r="O38" s="141">
        <f t="shared" si="4"/>
        <v>2.6047079940633018</v>
      </c>
      <c r="P38" s="185">
        <f t="shared" si="21"/>
        <v>6.992630723596692E-2</v>
      </c>
      <c r="Q38" s="141">
        <f t="shared" si="6"/>
        <v>5.2788991038713462</v>
      </c>
      <c r="R38" s="141">
        <f t="shared" si="7"/>
        <v>5.2089727966353792</v>
      </c>
      <c r="S38" s="141">
        <f t="shared" si="8"/>
        <v>5.3488254111073132</v>
      </c>
      <c r="T38" s="48">
        <f t="shared" si="9"/>
        <v>190063.66690637855</v>
      </c>
      <c r="U38" s="142">
        <f t="shared" si="19"/>
        <v>402.44635108000034</v>
      </c>
      <c r="V38" s="48">
        <f t="shared" si="10"/>
        <v>161797.86874198064</v>
      </c>
      <c r="W38" s="142">
        <f t="shared" si="11"/>
        <v>402.44635108000034</v>
      </c>
      <c r="X38" s="48">
        <f t="shared" si="12"/>
        <v>223267.44943412166</v>
      </c>
      <c r="Y38" s="142">
        <f t="shared" si="13"/>
        <v>402.44635108000034</v>
      </c>
      <c r="Z38" s="2"/>
      <c r="AA38" s="2"/>
      <c r="AB38" s="2"/>
      <c r="AC38" s="2"/>
      <c r="AD38" s="2"/>
      <c r="AE38" s="2"/>
      <c r="AF38" s="2"/>
      <c r="AG38" s="2"/>
      <c r="AH38" s="2"/>
    </row>
    <row r="39" spans="1:34" x14ac:dyDescent="0.2">
      <c r="A39" s="142"/>
      <c r="B39" s="2"/>
      <c r="C39" s="142"/>
      <c r="D39" s="2"/>
      <c r="E39" s="2"/>
      <c r="F39" s="2"/>
      <c r="G39" s="2"/>
      <c r="H39" s="140">
        <v>7</v>
      </c>
      <c r="I39" s="2">
        <v>2.3645999999999998</v>
      </c>
      <c r="J39" s="2">
        <v>4.74</v>
      </c>
      <c r="K39" s="2"/>
      <c r="L39" s="145"/>
      <c r="M39" s="2"/>
      <c r="N39" s="2"/>
      <c r="O39" s="141">
        <f t="shared" si="4"/>
        <v>2.6075814612915758</v>
      </c>
      <c r="P39" s="185">
        <f t="shared" si="21"/>
        <v>6.9440524450436941E-2</v>
      </c>
      <c r="Q39" s="141">
        <f t="shared" si="6"/>
        <v>5.256318178997045</v>
      </c>
      <c r="R39" s="141">
        <f t="shared" si="7"/>
        <v>5.186877654546608</v>
      </c>
      <c r="S39" s="141">
        <f t="shared" si="8"/>
        <v>5.325758703447482</v>
      </c>
      <c r="T39" s="48">
        <f t="shared" si="9"/>
        <v>180433.91773533652</v>
      </c>
      <c r="U39" s="142">
        <f t="shared" si="19"/>
        <v>405.11792661000015</v>
      </c>
      <c r="V39" s="48">
        <f t="shared" si="10"/>
        <v>153772.13865313755</v>
      </c>
      <c r="W39" s="142">
        <f t="shared" si="11"/>
        <v>405.11792661000015</v>
      </c>
      <c r="X39" s="48">
        <f t="shared" si="12"/>
        <v>211718.44883265474</v>
      </c>
      <c r="Y39" s="142">
        <f t="shared" si="13"/>
        <v>405.11792661000015</v>
      </c>
      <c r="Z39" s="2"/>
      <c r="AA39" s="2"/>
      <c r="AB39" s="2"/>
      <c r="AC39" s="2"/>
      <c r="AD39" s="2"/>
      <c r="AE39" s="2"/>
      <c r="AF39" s="2"/>
      <c r="AG39" s="2"/>
      <c r="AH39" s="2"/>
    </row>
    <row r="40" spans="1:34" x14ac:dyDescent="0.2">
      <c r="A40" s="2"/>
      <c r="B40" s="2"/>
      <c r="C40" s="2"/>
      <c r="D40" s="2"/>
      <c r="E40" s="2"/>
      <c r="F40" s="2"/>
      <c r="G40" s="2"/>
      <c r="H40" s="140">
        <v>8</v>
      </c>
      <c r="I40" s="2">
        <v>2.306</v>
      </c>
      <c r="J40" s="2">
        <v>4.46</v>
      </c>
      <c r="K40" s="2"/>
      <c r="L40" s="145"/>
      <c r="M40" s="2"/>
      <c r="N40" s="2"/>
      <c r="O40" s="141">
        <f t="shared" si="4"/>
        <v>2.6104360413995678</v>
      </c>
      <c r="P40" s="185">
        <f t="shared" si="21"/>
        <v>6.9028384054503358E-2</v>
      </c>
      <c r="Q40" s="141">
        <f t="shared" si="6"/>
        <v>5.2338856771289208</v>
      </c>
      <c r="R40" s="141">
        <f t="shared" si="7"/>
        <v>5.1648572930744177</v>
      </c>
      <c r="S40" s="141">
        <f t="shared" si="8"/>
        <v>5.302914061183424</v>
      </c>
      <c r="T40" s="48">
        <f t="shared" si="9"/>
        <v>171350.61879554694</v>
      </c>
      <c r="U40" s="142">
        <f t="shared" si="19"/>
        <v>407.7895021400002</v>
      </c>
      <c r="V40" s="48">
        <f t="shared" si="10"/>
        <v>146169.67895130685</v>
      </c>
      <c r="W40" s="142">
        <f t="shared" si="11"/>
        <v>407.7895021400002</v>
      </c>
      <c r="X40" s="48">
        <f t="shared" si="12"/>
        <v>200869.52897664747</v>
      </c>
      <c r="Y40" s="142">
        <f t="shared" si="13"/>
        <v>407.7895021400002</v>
      </c>
      <c r="Z40" s="2"/>
      <c r="AA40" s="2"/>
      <c r="AB40" s="2"/>
      <c r="AC40" s="2"/>
      <c r="AD40" s="2"/>
      <c r="AE40" s="2"/>
      <c r="AF40" s="2"/>
      <c r="AG40" s="2"/>
      <c r="AH40" s="2"/>
    </row>
    <row r="41" spans="1:34" x14ac:dyDescent="0.2">
      <c r="A41" s="2"/>
      <c r="B41" s="2"/>
      <c r="C41" s="2"/>
      <c r="D41" s="2"/>
      <c r="E41" s="2"/>
      <c r="F41" s="2"/>
      <c r="G41" s="2"/>
      <c r="H41" s="140">
        <v>9</v>
      </c>
      <c r="I41" s="2">
        <v>2.2622</v>
      </c>
      <c r="J41" s="2">
        <v>4.26</v>
      </c>
      <c r="K41" s="2"/>
      <c r="L41" s="145"/>
      <c r="M41" s="2"/>
      <c r="N41" s="2"/>
      <c r="O41" s="141">
        <f t="shared" si="4"/>
        <v>2.6132719810545506</v>
      </c>
      <c r="P41" s="185">
        <f t="shared" si="21"/>
        <v>6.8689718046610018E-2</v>
      </c>
      <c r="Q41" s="141">
        <f t="shared" si="6"/>
        <v>5.2115996598508687</v>
      </c>
      <c r="R41" s="141">
        <f t="shared" si="7"/>
        <v>5.142909941804259</v>
      </c>
      <c r="S41" s="141">
        <f t="shared" si="8"/>
        <v>5.2802893778974784</v>
      </c>
      <c r="T41" s="48">
        <f t="shared" si="9"/>
        <v>162779.48114680729</v>
      </c>
      <c r="U41" s="142">
        <f t="shared" si="19"/>
        <v>410.4610776699999</v>
      </c>
      <c r="V41" s="48">
        <f t="shared" si="10"/>
        <v>138966.44312625931</v>
      </c>
      <c r="W41" s="142">
        <f t="shared" si="11"/>
        <v>410.4610776699999</v>
      </c>
      <c r="X41" s="48">
        <f t="shared" si="12"/>
        <v>190673.0782362296</v>
      </c>
      <c r="Y41" s="142">
        <f t="shared" si="13"/>
        <v>410.4610776699999</v>
      </c>
      <c r="Z41" s="2"/>
      <c r="AA41" s="49"/>
      <c r="AB41" s="2"/>
      <c r="AC41" s="2"/>
      <c r="AD41" s="2"/>
      <c r="AE41" s="2"/>
      <c r="AF41" s="2"/>
      <c r="AG41" s="2"/>
      <c r="AH41" s="2"/>
    </row>
    <row r="42" spans="1:34" x14ac:dyDescent="0.2">
      <c r="A42" s="2"/>
      <c r="B42" s="2"/>
      <c r="C42" s="2"/>
      <c r="D42" s="2"/>
      <c r="E42" s="2"/>
      <c r="F42" s="2"/>
      <c r="G42" s="2"/>
      <c r="H42" s="140">
        <v>10</v>
      </c>
      <c r="I42" s="2">
        <v>2.2281</v>
      </c>
      <c r="J42" s="2">
        <v>4.0999999999999996</v>
      </c>
      <c r="K42" s="2"/>
      <c r="L42" s="145"/>
      <c r="M42" s="2"/>
      <c r="N42" s="2"/>
      <c r="O42" s="141">
        <f t="shared" si="4"/>
        <v>2.6160895221228904</v>
      </c>
      <c r="P42" s="185">
        <f t="shared" si="21"/>
        <v>6.8424153495604198E-2</v>
      </c>
      <c r="Q42" s="141">
        <f t="shared" si="6"/>
        <v>5.189458226474347</v>
      </c>
      <c r="R42" s="141">
        <f t="shared" si="7"/>
        <v>5.1210340729787429</v>
      </c>
      <c r="S42" s="141">
        <f t="shared" si="8"/>
        <v>5.257882379969951</v>
      </c>
      <c r="T42" s="48">
        <f t="shared" si="9"/>
        <v>154688.57063456503</v>
      </c>
      <c r="U42" s="142">
        <f t="shared" si="19"/>
        <v>413.13265320000011</v>
      </c>
      <c r="V42" s="48">
        <f t="shared" si="10"/>
        <v>132139.93017348438</v>
      </c>
      <c r="W42" s="142">
        <f t="shared" si="11"/>
        <v>413.13265320000011</v>
      </c>
      <c r="X42" s="48">
        <f t="shared" si="12"/>
        <v>181084.95935747385</v>
      </c>
      <c r="Y42" s="142">
        <f t="shared" si="13"/>
        <v>413.13265320000011</v>
      </c>
      <c r="Z42" s="49"/>
      <c r="AA42" s="49"/>
      <c r="AB42" s="2"/>
      <c r="AC42" s="2"/>
      <c r="AD42" s="2"/>
      <c r="AE42" s="2"/>
      <c r="AF42" s="2"/>
      <c r="AG42" s="2"/>
      <c r="AH42" s="2"/>
    </row>
    <row r="43" spans="1:34" x14ac:dyDescent="0.2">
      <c r="A43" s="2"/>
      <c r="B43" s="2"/>
      <c r="C43" s="2"/>
      <c r="D43" s="2"/>
      <c r="E43" s="2"/>
      <c r="F43" s="2"/>
      <c r="G43" s="2"/>
      <c r="H43" s="140">
        <v>11</v>
      </c>
      <c r="I43" s="2">
        <v>2.2010000000000001</v>
      </c>
      <c r="J43" s="2">
        <v>3.98</v>
      </c>
      <c r="K43" s="2"/>
      <c r="L43" s="145"/>
      <c r="M43" s="2"/>
      <c r="N43" s="2"/>
      <c r="O43" s="141">
        <f t="shared" si="4"/>
        <v>2.6188889017938286</v>
      </c>
      <c r="P43" s="185">
        <f t="shared" si="21"/>
        <v>6.8231110417237603E-2</v>
      </c>
      <c r="Q43" s="141">
        <f t="shared" si="6"/>
        <v>5.1674595130656407</v>
      </c>
      <c r="R43" s="141">
        <f t="shared" si="7"/>
        <v>5.0992284026484027</v>
      </c>
      <c r="S43" s="141">
        <f t="shared" si="8"/>
        <v>5.2356906234828786</v>
      </c>
      <c r="T43" s="48">
        <f t="shared" si="9"/>
        <v>147048.13239643432</v>
      </c>
      <c r="U43" s="142">
        <f t="shared" si="19"/>
        <v>415.80422872999998</v>
      </c>
      <c r="V43" s="48">
        <f t="shared" si="10"/>
        <v>125669.0704351232</v>
      </c>
      <c r="W43" s="142">
        <f t="shared" si="11"/>
        <v>415.80422872999998</v>
      </c>
      <c r="X43" s="48">
        <f t="shared" si="12"/>
        <v>172064.24115663569</v>
      </c>
      <c r="Y43" s="142">
        <f t="shared" si="13"/>
        <v>415.80422872999998</v>
      </c>
      <c r="Z43" s="49"/>
      <c r="AA43" s="49"/>
      <c r="AB43" s="2"/>
      <c r="AC43" s="2"/>
      <c r="AD43" s="2"/>
      <c r="AE43" s="2"/>
      <c r="AF43" s="2"/>
      <c r="AG43" s="2"/>
      <c r="AH43" s="2"/>
    </row>
    <row r="44" spans="1:34" x14ac:dyDescent="0.2">
      <c r="A44" s="2"/>
      <c r="B44" s="2"/>
      <c r="C44" s="2"/>
      <c r="D44" s="2"/>
      <c r="E44" s="2"/>
      <c r="F44" s="2"/>
      <c r="G44" s="2"/>
      <c r="H44" s="140">
        <v>12</v>
      </c>
      <c r="I44" s="2">
        <v>2.1787999999999998</v>
      </c>
      <c r="J44" s="2">
        <v>2.89</v>
      </c>
      <c r="K44" s="2"/>
      <c r="L44" s="145"/>
      <c r="M44" s="2"/>
      <c r="N44" s="2"/>
      <c r="O44" s="141">
        <f t="shared" si="4"/>
        <v>2.6216703526993062</v>
      </c>
      <c r="P44" s="185">
        <f t="shared" si="21"/>
        <v>6.8109802925786903E-2</v>
      </c>
      <c r="Q44" s="141">
        <f t="shared" si="6"/>
        <v>5.1456016915042362</v>
      </c>
      <c r="R44" s="141">
        <f t="shared" si="7"/>
        <v>5.0774918885784492</v>
      </c>
      <c r="S44" s="141">
        <f t="shared" si="8"/>
        <v>5.2137114944300231</v>
      </c>
      <c r="T44" s="48">
        <f t="shared" si="9"/>
        <v>139830.42946161589</v>
      </c>
      <c r="U44" s="142">
        <f t="shared" si="19"/>
        <v>418.47580426000013</v>
      </c>
      <c r="V44" s="48">
        <f t="shared" si="10"/>
        <v>119534.11997927343</v>
      </c>
      <c r="W44" s="142">
        <f t="shared" si="11"/>
        <v>418.47580426000013</v>
      </c>
      <c r="X44" s="48">
        <f t="shared" si="12"/>
        <v>163572.95311840871</v>
      </c>
      <c r="Y44" s="142">
        <f t="shared" si="13"/>
        <v>418.47580426000013</v>
      </c>
      <c r="Z44" s="49"/>
      <c r="AA44" s="49"/>
      <c r="AB44" s="2"/>
      <c r="AC44" s="2"/>
      <c r="AD44" s="2"/>
      <c r="AE44" s="2"/>
      <c r="AF44" s="2"/>
      <c r="AG44" s="2"/>
      <c r="AH44" s="2"/>
    </row>
    <row r="45" spans="1:34" x14ac:dyDescent="0.2">
      <c r="A45" s="2"/>
      <c r="B45" s="2"/>
      <c r="C45" s="2"/>
      <c r="D45" s="2"/>
      <c r="E45" s="2"/>
      <c r="F45" s="2"/>
      <c r="G45" s="2"/>
      <c r="H45" s="140">
        <v>13</v>
      </c>
      <c r="I45" s="2">
        <v>2.1604000000000001</v>
      </c>
      <c r="J45" s="2">
        <v>3.81</v>
      </c>
      <c r="K45" s="2"/>
      <c r="L45" s="145"/>
      <c r="M45" s="2"/>
      <c r="N45" s="2"/>
      <c r="O45" s="141">
        <f t="shared" si="4"/>
        <v>2.624434103029968</v>
      </c>
      <c r="P45" s="185">
        <f t="shared" si="21"/>
        <v>6.8059243661793237E-2</v>
      </c>
      <c r="Q45" s="141">
        <f t="shared" si="6"/>
        <v>5.1238829685712091</v>
      </c>
      <c r="R45" s="141">
        <f t="shared" si="7"/>
        <v>5.0558237249094162</v>
      </c>
      <c r="S45" s="141">
        <f t="shared" si="8"/>
        <v>5.1919422122330019</v>
      </c>
      <c r="T45" s="48">
        <f t="shared" si="9"/>
        <v>133009.59423110913</v>
      </c>
      <c r="U45" s="142">
        <f t="shared" si="19"/>
        <v>421.14737979</v>
      </c>
      <c r="V45" s="48">
        <f t="shared" si="10"/>
        <v>113716.56298060695</v>
      </c>
      <c r="W45" s="142">
        <f t="shared" si="11"/>
        <v>421.14737979</v>
      </c>
      <c r="X45" s="48">
        <f t="shared" si="12"/>
        <v>155575.86066456645</v>
      </c>
      <c r="Y45" s="142">
        <f t="shared" si="13"/>
        <v>421.14737979</v>
      </c>
      <c r="Z45" s="49"/>
      <c r="AA45" s="49"/>
      <c r="AB45" s="2"/>
      <c r="AC45" s="2"/>
      <c r="AD45" s="2"/>
      <c r="AE45" s="2"/>
      <c r="AF45" s="2"/>
      <c r="AG45" s="2"/>
      <c r="AH45" s="2"/>
    </row>
    <row r="46" spans="1:34" x14ac:dyDescent="0.2">
      <c r="A46" s="2"/>
      <c r="B46" s="2"/>
      <c r="C46" s="2"/>
      <c r="D46" s="2"/>
      <c r="E46" s="2"/>
      <c r="F46" s="2"/>
      <c r="G46" s="2"/>
      <c r="H46" s="140">
        <v>14</v>
      </c>
      <c r="I46" s="2">
        <v>2.1448</v>
      </c>
      <c r="J46" s="2">
        <v>3.74</v>
      </c>
      <c r="K46" s="2"/>
      <c r="L46" s="145"/>
      <c r="M46" s="2"/>
      <c r="N46" s="2"/>
      <c r="O46" s="141">
        <f t="shared" si="4"/>
        <v>2.627180376647507</v>
      </c>
      <c r="P46" s="185">
        <f t="shared" si="21"/>
        <v>6.8078251379616442E-2</v>
      </c>
      <c r="Q46" s="141">
        <f t="shared" si="6"/>
        <v>5.1023015850663853</v>
      </c>
      <c r="R46" s="141">
        <f t="shared" si="7"/>
        <v>5.0342233336867688</v>
      </c>
      <c r="S46" s="141">
        <f t="shared" si="8"/>
        <v>5.1703798364460019</v>
      </c>
      <c r="T46" s="48">
        <f t="shared" si="9"/>
        <v>126561.49173762735</v>
      </c>
      <c r="U46" s="142">
        <f t="shared" si="19"/>
        <v>423.81895532000044</v>
      </c>
      <c r="V46" s="48">
        <f t="shared" si="10"/>
        <v>108199.02161192067</v>
      </c>
      <c r="W46" s="142">
        <f t="shared" si="11"/>
        <v>423.81895532000044</v>
      </c>
      <c r="X46" s="48">
        <f t="shared" si="12"/>
        <v>148040.25907281222</v>
      </c>
      <c r="Y46" s="142">
        <f t="shared" si="13"/>
        <v>423.81895532000044</v>
      </c>
      <c r="Z46" s="2"/>
      <c r="AA46" s="2"/>
      <c r="AB46" s="2"/>
      <c r="AC46" s="2"/>
      <c r="AD46" s="2"/>
      <c r="AE46" s="2"/>
      <c r="AF46" s="2"/>
      <c r="AG46" s="2"/>
      <c r="AH46" s="2"/>
    </row>
    <row r="47" spans="1:34" x14ac:dyDescent="0.2">
      <c r="A47" s="2"/>
      <c r="B47" s="2"/>
      <c r="C47" s="2"/>
      <c r="D47" s="2"/>
      <c r="E47" s="2"/>
      <c r="F47" s="2"/>
      <c r="G47" s="2"/>
      <c r="H47" s="140">
        <v>15</v>
      </c>
      <c r="I47" s="2">
        <v>2.1315</v>
      </c>
      <c r="J47" s="2">
        <v>3.68</v>
      </c>
      <c r="K47" s="2"/>
      <c r="L47" s="145"/>
      <c r="M47" s="2"/>
      <c r="N47" s="2"/>
      <c r="O47" s="141">
        <f t="shared" si="4"/>
        <v>2.6299093931934698</v>
      </c>
      <c r="P47" s="185">
        <f t="shared" si="21"/>
        <v>6.8165461467323774E-2</v>
      </c>
      <c r="Q47" s="141">
        <f t="shared" si="6"/>
        <v>5.0808558149532743</v>
      </c>
      <c r="R47" s="141">
        <f t="shared" si="7"/>
        <v>5.0126903534859508</v>
      </c>
      <c r="S47" s="141">
        <f t="shared" si="8"/>
        <v>5.1490212764205978</v>
      </c>
      <c r="T47" s="48">
        <f t="shared" si="9"/>
        <v>120463.59368448188</v>
      </c>
      <c r="U47" s="142">
        <f t="shared" si="19"/>
        <v>426.49053085000014</v>
      </c>
      <c r="V47" s="48">
        <f t="shared" si="10"/>
        <v>102965.17299085476</v>
      </c>
      <c r="W47" s="142">
        <f t="shared" si="11"/>
        <v>426.49053085000014</v>
      </c>
      <c r="X47" s="48">
        <f t="shared" si="12"/>
        <v>140935.78422549544</v>
      </c>
      <c r="Y47" s="142">
        <f t="shared" si="13"/>
        <v>426.49053085000014</v>
      </c>
      <c r="Z47" s="49"/>
      <c r="AA47" s="2"/>
      <c r="AB47" s="2"/>
      <c r="AC47" s="2"/>
      <c r="AD47" s="2"/>
      <c r="AE47" s="2"/>
      <c r="AF47" s="2"/>
      <c r="AG47" s="2"/>
      <c r="AH47" s="2"/>
    </row>
    <row r="48" spans="1:34" x14ac:dyDescent="0.2">
      <c r="A48" s="2"/>
      <c r="B48" s="2"/>
      <c r="C48" s="2"/>
      <c r="D48" s="2"/>
      <c r="E48" s="2"/>
      <c r="F48" s="2"/>
      <c r="G48" s="2"/>
      <c r="H48" s="140">
        <v>16</v>
      </c>
      <c r="I48" s="2">
        <v>2.1198999999999999</v>
      </c>
      <c r="J48" s="2">
        <v>3.63</v>
      </c>
      <c r="K48" s="2"/>
      <c r="L48" s="145"/>
      <c r="M48" s="2"/>
      <c r="N48" s="2"/>
      <c r="O48" s="141">
        <f t="shared" si="4"/>
        <v>2.6326213681946746</v>
      </c>
      <c r="P48" s="185">
        <f t="shared" si="21"/>
        <v>6.8319339073327545E-2</v>
      </c>
      <c r="Q48" s="141">
        <f t="shared" si="6"/>
        <v>5.0595439645306826</v>
      </c>
      <c r="R48" s="141">
        <f t="shared" si="7"/>
        <v>4.9912246254573551</v>
      </c>
      <c r="S48" s="141">
        <f t="shared" si="8"/>
        <v>5.12786330360401</v>
      </c>
      <c r="T48" s="48">
        <f t="shared" si="9"/>
        <v>114694.86235325012</v>
      </c>
      <c r="U48" s="142">
        <f t="shared" si="19"/>
        <v>429.16210638000013</v>
      </c>
      <c r="V48" s="48">
        <f t="shared" si="10"/>
        <v>97999.672750144673</v>
      </c>
      <c r="W48" s="142">
        <f t="shared" si="11"/>
        <v>429.16210638000013</v>
      </c>
      <c r="X48" s="48">
        <f t="shared" si="12"/>
        <v>134234.23855475651</v>
      </c>
      <c r="Y48" s="142">
        <f t="shared" si="13"/>
        <v>429.16210638000013</v>
      </c>
      <c r="Z48" s="49"/>
      <c r="AA48" s="2"/>
      <c r="AB48" s="2"/>
      <c r="AC48" s="2"/>
      <c r="AD48" s="2"/>
      <c r="AE48" s="2"/>
      <c r="AF48" s="2"/>
      <c r="AG48" s="2"/>
      <c r="AH48" s="2"/>
    </row>
    <row r="49" spans="1:34" x14ac:dyDescent="0.2">
      <c r="A49" s="2"/>
      <c r="B49" s="2"/>
      <c r="C49" s="2"/>
      <c r="D49" s="2"/>
      <c r="E49" s="2"/>
      <c r="F49" s="2"/>
      <c r="G49" s="2"/>
      <c r="H49" s="140">
        <v>17</v>
      </c>
      <c r="I49" s="2">
        <v>2.1097999999999999</v>
      </c>
      <c r="J49" s="2">
        <v>3.59</v>
      </c>
      <c r="K49" s="2"/>
      <c r="L49" s="145"/>
      <c r="M49" s="2"/>
      <c r="N49" s="2"/>
      <c r="O49" s="141">
        <f t="shared" si="4"/>
        <v>2.6353165131653502</v>
      </c>
      <c r="P49" s="185">
        <f t="shared" si="21"/>
        <v>6.8538194434899974E-2</v>
      </c>
      <c r="Q49" s="141">
        <f t="shared" si="6"/>
        <v>5.0383643716300384</v>
      </c>
      <c r="R49" s="141">
        <f t="shared" si="7"/>
        <v>4.969826177195138</v>
      </c>
      <c r="S49" s="141">
        <f t="shared" si="8"/>
        <v>5.1069025660649388</v>
      </c>
      <c r="T49" s="48">
        <f t="shared" si="9"/>
        <v>109235.6435519728</v>
      </c>
      <c r="U49" s="142">
        <f t="shared" si="19"/>
        <v>431.83368191000028</v>
      </c>
      <c r="V49" s="48">
        <f t="shared" si="10"/>
        <v>93288.084815710172</v>
      </c>
      <c r="W49" s="142">
        <f t="shared" si="11"/>
        <v>431.83368191000028</v>
      </c>
      <c r="X49" s="48">
        <f t="shared" si="12"/>
        <v>127909.43072511417</v>
      </c>
      <c r="Y49" s="142">
        <f t="shared" si="13"/>
        <v>431.83368191000028</v>
      </c>
      <c r="Z49" s="49"/>
      <c r="AA49" s="2"/>
      <c r="AB49" s="2"/>
      <c r="AC49" s="2"/>
      <c r="AD49" s="2"/>
      <c r="AE49" s="2"/>
      <c r="AF49" s="2"/>
      <c r="AG49" s="2"/>
      <c r="AH49" s="2"/>
    </row>
    <row r="50" spans="1:34" x14ac:dyDescent="0.2">
      <c r="A50" s="2"/>
      <c r="B50" s="2"/>
      <c r="C50" s="2"/>
      <c r="D50" s="2"/>
      <c r="E50" s="2"/>
      <c r="F50" s="2"/>
      <c r="G50" s="2"/>
      <c r="H50" s="140">
        <v>18</v>
      </c>
      <c r="I50" s="2">
        <v>2.1009000000000002</v>
      </c>
      <c r="J50" s="2">
        <v>3.55</v>
      </c>
      <c r="K50" s="2"/>
      <c r="L50" s="145"/>
      <c r="M50" s="2"/>
      <c r="N50" s="2"/>
      <c r="O50" s="141">
        <f t="shared" si="4"/>
        <v>2.6379950357061288</v>
      </c>
      <c r="P50" s="185">
        <f t="shared" si="21"/>
        <v>6.8820199947246322E-2</v>
      </c>
      <c r="Q50" s="141">
        <f t="shared" si="6"/>
        <v>5.0173154048374755</v>
      </c>
      <c r="R50" s="141">
        <f t="shared" si="7"/>
        <v>4.9484952048902295</v>
      </c>
      <c r="S50" s="141">
        <f t="shared" si="8"/>
        <v>5.0861356047847215</v>
      </c>
      <c r="T50" s="48">
        <f t="shared" si="9"/>
        <v>104067.56784968855</v>
      </c>
      <c r="U50" s="142">
        <f t="shared" si="19"/>
        <v>434.50525744000015</v>
      </c>
      <c r="V50" s="48">
        <f t="shared" si="10"/>
        <v>88816.816986865393</v>
      </c>
      <c r="W50" s="142">
        <f t="shared" si="11"/>
        <v>434.50525744000015</v>
      </c>
      <c r="X50" s="48">
        <f t="shared" si="12"/>
        <v>121937.02775625393</v>
      </c>
      <c r="Y50" s="142">
        <f t="shared" si="13"/>
        <v>434.50525744000015</v>
      </c>
      <c r="Z50" s="49"/>
      <c r="AA50" s="2"/>
      <c r="AB50" s="2"/>
      <c r="AC50" s="2"/>
      <c r="AD50" s="2"/>
      <c r="AE50" s="2"/>
      <c r="AF50" s="2"/>
      <c r="AG50" s="2"/>
      <c r="AH50" s="2"/>
    </row>
    <row r="51" spans="1:34" x14ac:dyDescent="0.2">
      <c r="A51" s="2"/>
      <c r="B51" s="2"/>
      <c r="C51" s="2"/>
      <c r="D51" s="2"/>
      <c r="E51" s="2"/>
      <c r="F51" s="2"/>
      <c r="G51" s="2"/>
      <c r="H51" s="140">
        <v>19</v>
      </c>
      <c r="I51" s="2">
        <v>2.093</v>
      </c>
      <c r="J51" s="2">
        <v>3.52</v>
      </c>
      <c r="K51" s="2"/>
      <c r="L51" s="145"/>
      <c r="M51" s="2"/>
      <c r="N51" s="2"/>
      <c r="O51" s="141">
        <f t="shared" si="4"/>
        <v>2.6406571396000058</v>
      </c>
      <c r="P51" s="185">
        <f t="shared" si="21"/>
        <v>6.9163408480225758E-2</v>
      </c>
      <c r="Q51" s="141">
        <f t="shared" si="6"/>
        <v>4.9963954627397413</v>
      </c>
      <c r="R51" s="141">
        <f t="shared" si="7"/>
        <v>4.9272320542595152</v>
      </c>
      <c r="S51" s="141">
        <f t="shared" si="8"/>
        <v>5.0655588712199675</v>
      </c>
      <c r="T51" s="48">
        <f t="shared" si="9"/>
        <v>99173.459410168769</v>
      </c>
      <c r="U51" s="142">
        <f t="shared" si="19"/>
        <v>437.17683297000031</v>
      </c>
      <c r="V51" s="48">
        <f t="shared" si="10"/>
        <v>84573.061919392407</v>
      </c>
      <c r="W51" s="142">
        <f t="shared" si="11"/>
        <v>437.17683297000031</v>
      </c>
      <c r="X51" s="48">
        <f t="shared" si="12"/>
        <v>116294.41843733416</v>
      </c>
      <c r="Y51" s="142">
        <f t="shared" si="13"/>
        <v>437.17683297000031</v>
      </c>
      <c r="Z51" s="49"/>
      <c r="AA51" s="2"/>
      <c r="AB51" s="2"/>
      <c r="AC51" s="2"/>
      <c r="AD51" s="2"/>
      <c r="AE51" s="2"/>
      <c r="AF51" s="2"/>
      <c r="AG51" s="2"/>
      <c r="AH51" s="2"/>
    </row>
    <row r="52" spans="1:34" x14ac:dyDescent="0.2">
      <c r="A52" s="2"/>
      <c r="B52" s="2"/>
      <c r="C52" s="2"/>
      <c r="D52" s="2"/>
      <c r="E52" s="2"/>
      <c r="F52" s="2"/>
      <c r="G52" s="2"/>
      <c r="H52" s="140">
        <v>20</v>
      </c>
      <c r="I52" s="2">
        <v>2.0859999999999999</v>
      </c>
      <c r="J52" s="2">
        <v>3.49</v>
      </c>
      <c r="K52" s="2"/>
      <c r="L52" s="145"/>
      <c r="M52" s="2"/>
      <c r="N52" s="2"/>
      <c r="O52" s="141">
        <f t="shared" si="4"/>
        <v>2.6433030249053724</v>
      </c>
      <c r="P52" s="185">
        <f t="shared" si="21"/>
        <v>6.9565772443045112E-2</v>
      </c>
      <c r="Q52" s="141">
        <f t="shared" si="6"/>
        <v>4.975602973193098</v>
      </c>
      <c r="R52" s="141">
        <f t="shared" si="7"/>
        <v>4.9060372007500526</v>
      </c>
      <c r="S52" s="141">
        <f t="shared" si="8"/>
        <v>5.0451687456361434</v>
      </c>
      <c r="T52" s="48">
        <f t="shared" si="9"/>
        <v>94537.251798453115</v>
      </c>
      <c r="U52" s="142">
        <f t="shared" si="19"/>
        <v>439.84840850000046</v>
      </c>
      <c r="V52" s="48">
        <f t="shared" si="10"/>
        <v>80544.743117374615</v>
      </c>
      <c r="W52" s="142">
        <f t="shared" si="11"/>
        <v>439.84840850000046</v>
      </c>
      <c r="X52" s="48">
        <f t="shared" si="12"/>
        <v>110960.58701907052</v>
      </c>
      <c r="Y52" s="142">
        <f t="shared" si="13"/>
        <v>439.84840850000046</v>
      </c>
      <c r="Z52" s="49"/>
      <c r="AA52" s="2"/>
      <c r="AB52" s="2"/>
      <c r="AC52" s="2"/>
      <c r="AD52" s="2"/>
      <c r="AE52" s="2"/>
      <c r="AF52" s="2"/>
      <c r="AG52" s="2"/>
      <c r="AH52" s="2"/>
    </row>
    <row r="53" spans="1:34" x14ac:dyDescent="0.2">
      <c r="A53" s="2"/>
      <c r="B53" s="2"/>
      <c r="C53" s="2"/>
      <c r="D53" s="2"/>
      <c r="E53" s="2"/>
      <c r="F53" s="2"/>
      <c r="G53" s="2"/>
      <c r="H53" s="140">
        <v>21</v>
      </c>
      <c r="I53" s="2">
        <v>2.0796000000000001</v>
      </c>
      <c r="J53" s="2">
        <v>3.47</v>
      </c>
      <c r="K53" s="2"/>
      <c r="L53" s="145"/>
      <c r="M53" s="2"/>
      <c r="N53" s="2"/>
      <c r="O53" s="141">
        <f t="shared" si="4"/>
        <v>2.6459328880462354</v>
      </c>
      <c r="P53" s="185">
        <f t="shared" si="21"/>
        <v>7.0025163113442174E-2</v>
      </c>
      <c r="Q53" s="141">
        <f t="shared" si="6"/>
        <v>4.9549363926143464</v>
      </c>
      <c r="R53" s="141">
        <f t="shared" si="7"/>
        <v>4.8849112295009043</v>
      </c>
      <c r="S53" s="141">
        <f t="shared" si="8"/>
        <v>5.0249615557277885</v>
      </c>
      <c r="T53" s="48">
        <f t="shared" si="9"/>
        <v>90143.910188801165</v>
      </c>
      <c r="U53" s="142">
        <f t="shared" si="19"/>
        <v>442.51998403000027</v>
      </c>
      <c r="V53" s="48">
        <f t="shared" si="10"/>
        <v>76720.465545329425</v>
      </c>
      <c r="W53" s="142">
        <f t="shared" si="11"/>
        <v>442.51998403000027</v>
      </c>
      <c r="X53" s="48">
        <f t="shared" si="12"/>
        <v>105915.99629078833</v>
      </c>
      <c r="Y53" s="142">
        <f t="shared" si="13"/>
        <v>442.51998403000027</v>
      </c>
      <c r="Z53" s="49"/>
      <c r="AA53" s="2"/>
      <c r="AB53" s="2"/>
      <c r="AC53" s="2"/>
      <c r="AD53" s="2"/>
      <c r="AE53" s="2"/>
      <c r="AF53" s="2"/>
      <c r="AG53" s="2"/>
      <c r="AH53" s="2"/>
    </row>
    <row r="54" spans="1:34" x14ac:dyDescent="0.2">
      <c r="A54" s="2"/>
      <c r="B54" s="2"/>
      <c r="C54" s="2"/>
      <c r="D54" s="2"/>
      <c r="E54" s="2"/>
      <c r="F54" s="2"/>
      <c r="G54" s="2"/>
      <c r="H54" s="140">
        <v>22</v>
      </c>
      <c r="I54" s="2">
        <v>2.0739000000000001</v>
      </c>
      <c r="J54" s="2">
        <v>3.44</v>
      </c>
      <c r="K54" s="2"/>
      <c r="L54" s="145"/>
      <c r="M54" s="2"/>
      <c r="N54" s="2"/>
      <c r="O54" s="141">
        <f t="shared" si="4"/>
        <v>2.6485469218997211</v>
      </c>
      <c r="P54" s="185">
        <f t="shared" si="21"/>
        <v>7.0539389783667972E-2</v>
      </c>
      <c r="Q54" s="141">
        <f t="shared" si="6"/>
        <v>4.9343942052931773</v>
      </c>
      <c r="R54" s="141">
        <f t="shared" si="7"/>
        <v>4.8638548155095096</v>
      </c>
      <c r="S54" s="141">
        <f t="shared" si="8"/>
        <v>5.004933595076845</v>
      </c>
      <c r="T54" s="48">
        <f t="shared" si="9"/>
        <v>85979.359452589619</v>
      </c>
      <c r="U54" s="142">
        <f t="shared" si="19"/>
        <v>445.19155956000026</v>
      </c>
      <c r="V54" s="48">
        <f t="shared" si="10"/>
        <v>73089.470479856289</v>
      </c>
      <c r="W54" s="142">
        <f t="shared" si="11"/>
        <v>445.19155956000026</v>
      </c>
      <c r="X54" s="48">
        <f t="shared" si="12"/>
        <v>101142.47925650261</v>
      </c>
      <c r="Y54" s="142">
        <f t="shared" si="13"/>
        <v>445.19155956000026</v>
      </c>
      <c r="Z54" s="49"/>
      <c r="AA54" s="168"/>
      <c r="AB54" s="2"/>
      <c r="AC54" s="2"/>
      <c r="AD54" s="2"/>
      <c r="AE54" s="2"/>
      <c r="AF54" s="2"/>
      <c r="AG54" s="2"/>
      <c r="AH54" s="2"/>
    </row>
    <row r="55" spans="1:34" x14ac:dyDescent="0.2">
      <c r="A55" s="2"/>
      <c r="B55" s="2"/>
      <c r="C55" s="2"/>
      <c r="D55" s="2"/>
      <c r="E55" s="2"/>
      <c r="F55" s="2"/>
      <c r="G55" s="2"/>
      <c r="H55" s="140">
        <v>23</v>
      </c>
      <c r="I55" s="2">
        <v>2.069</v>
      </c>
      <c r="J55" s="2">
        <v>3.42</v>
      </c>
      <c r="K55" s="2"/>
      <c r="L55" s="145"/>
      <c r="M55" s="2"/>
      <c r="N55" s="2"/>
      <c r="O55" s="141">
        <f t="shared" si="4"/>
        <v>2.6511453158809575</v>
      </c>
      <c r="P55" s="185">
        <f t="shared" si="21"/>
        <v>7.1106218326641449E-2</v>
      </c>
      <c r="Q55" s="141">
        <f t="shared" si="6"/>
        <v>4.9139749227251315</v>
      </c>
      <c r="R55" s="141">
        <f t="shared" si="7"/>
        <v>4.8428687043984899</v>
      </c>
      <c r="S55" s="141">
        <f t="shared" si="8"/>
        <v>4.985081141051773</v>
      </c>
      <c r="T55" s="48">
        <f t="shared" si="9"/>
        <v>82030.417649971845</v>
      </c>
      <c r="U55" s="142">
        <f t="shared" si="19"/>
        <v>447.86313509000013</v>
      </c>
      <c r="V55" s="48">
        <f t="shared" si="10"/>
        <v>69641.594230583898</v>
      </c>
      <c r="W55" s="142">
        <f t="shared" si="11"/>
        <v>447.86313509000013</v>
      </c>
      <c r="X55" s="48">
        <f t="shared" si="12"/>
        <v>96623.13871720231</v>
      </c>
      <c r="Y55" s="142">
        <f t="shared" si="13"/>
        <v>447.86313509000013</v>
      </c>
      <c r="Z55" s="2"/>
      <c r="AA55" s="2"/>
      <c r="AB55" s="2"/>
      <c r="AC55" s="2"/>
      <c r="AD55" s="2"/>
      <c r="AE55" s="2"/>
      <c r="AF55" s="2"/>
      <c r="AG55" s="2"/>
      <c r="AH55" s="2"/>
    </row>
    <row r="56" spans="1:34" x14ac:dyDescent="0.2">
      <c r="A56" s="2"/>
      <c r="B56" s="2"/>
      <c r="C56" s="2"/>
      <c r="D56" s="2"/>
      <c r="E56" s="2"/>
      <c r="F56" s="2"/>
      <c r="G56" s="2"/>
      <c r="H56" s="140">
        <v>24</v>
      </c>
      <c r="I56" s="2">
        <v>2.0640000000000001</v>
      </c>
      <c r="J56" s="2">
        <v>3.4</v>
      </c>
      <c r="K56" s="2"/>
      <c r="L56" s="145"/>
      <c r="M56" s="2"/>
      <c r="N56" s="2"/>
      <c r="O56" s="141">
        <f t="shared" si="4"/>
        <v>2.6537282560254387</v>
      </c>
      <c r="P56" s="185">
        <f t="shared" si="21"/>
        <v>7.1723388847178188E-2</v>
      </c>
      <c r="Q56" s="141">
        <f t="shared" si="6"/>
        <v>4.8936770829643521</v>
      </c>
      <c r="R56" s="141">
        <f t="shared" si="7"/>
        <v>4.8219536941171741</v>
      </c>
      <c r="S56" s="141">
        <f t="shared" si="8"/>
        <v>4.9654004718115301</v>
      </c>
      <c r="T56" s="48">
        <f t="shared" si="9"/>
        <v>78284.734490193543</v>
      </c>
      <c r="U56" s="142">
        <f t="shared" si="19"/>
        <v>450.53471062000017</v>
      </c>
      <c r="V56" s="48">
        <f t="shared" si="10"/>
        <v>66367.230374094608</v>
      </c>
      <c r="W56" s="142">
        <f t="shared" si="11"/>
        <v>450.53471062000017</v>
      </c>
      <c r="X56" s="48">
        <f t="shared" si="12"/>
        <v>92342.254146441846</v>
      </c>
      <c r="Y56" s="142">
        <f t="shared" si="13"/>
        <v>450.53471062000017</v>
      </c>
      <c r="Z56" s="2"/>
      <c r="AA56" s="2"/>
      <c r="AB56" s="2"/>
      <c r="AC56" s="2"/>
      <c r="AD56" s="2"/>
      <c r="AE56" s="2"/>
      <c r="AF56" s="2"/>
      <c r="AG56" s="2"/>
      <c r="AH56" s="2"/>
    </row>
    <row r="57" spans="1:34" x14ac:dyDescent="0.2">
      <c r="A57" s="2"/>
      <c r="B57" s="2"/>
      <c r="C57" s="2"/>
      <c r="D57" s="2"/>
      <c r="E57" s="2"/>
      <c r="F57" s="2"/>
      <c r="G57" s="2"/>
      <c r="H57" s="140">
        <v>25</v>
      </c>
      <c r="I57" s="2">
        <v>2.06</v>
      </c>
      <c r="J57" s="2">
        <v>3.39</v>
      </c>
      <c r="K57" s="2"/>
      <c r="L57" s="145"/>
      <c r="M57" s="2"/>
      <c r="N57" s="2"/>
      <c r="O57" s="141">
        <f t="shared" si="4"/>
        <v>2.65629592506895</v>
      </c>
      <c r="P57" s="185">
        <f t="shared" si="21"/>
        <v>7.2388632150382673E-2</v>
      </c>
      <c r="Q57" s="141">
        <f t="shared" si="6"/>
        <v>4.8734992499954934</v>
      </c>
      <c r="R57" s="141">
        <f t="shared" si="7"/>
        <v>4.8011106178451106</v>
      </c>
      <c r="S57" s="141">
        <f t="shared" si="8"/>
        <v>4.9458878821458763</v>
      </c>
      <c r="T57" s="48">
        <f t="shared" si="9"/>
        <v>74730.734362834657</v>
      </c>
      <c r="U57" s="142">
        <f t="shared" si="19"/>
        <v>453.20628615000015</v>
      </c>
      <c r="V57" s="48">
        <f t="shared" si="10"/>
        <v>63257.295161819762</v>
      </c>
      <c r="W57" s="142">
        <f t="shared" si="11"/>
        <v>453.20628615000015</v>
      </c>
      <c r="X57" s="48">
        <f t="shared" si="12"/>
        <v>88285.195314188764</v>
      </c>
      <c r="Y57" s="142">
        <f t="shared" si="13"/>
        <v>453.20628615000015</v>
      </c>
      <c r="Z57" s="2"/>
      <c r="AA57" s="2"/>
      <c r="AB57" s="2"/>
      <c r="AC57" s="2"/>
      <c r="AD57" s="2"/>
      <c r="AE57" s="2"/>
      <c r="AF57" s="2"/>
      <c r="AG57" s="2"/>
      <c r="AH57" s="2"/>
    </row>
    <row r="58" spans="1:34" x14ac:dyDescent="0.2">
      <c r="A58" s="2"/>
      <c r="B58" s="2"/>
      <c r="C58" s="2"/>
      <c r="D58" s="2"/>
      <c r="E58" s="2"/>
      <c r="F58" s="2"/>
      <c r="G58" s="2"/>
      <c r="H58" s="140">
        <v>26</v>
      </c>
      <c r="I58" s="2">
        <v>2.056</v>
      </c>
      <c r="J58" s="2">
        <v>3.37</v>
      </c>
      <c r="K58" s="2"/>
      <c r="L58" s="145"/>
      <c r="M58" s="2"/>
      <c r="N58" s="2"/>
      <c r="O58" s="141">
        <f t="shared" si="4"/>
        <v>2.658848502525144</v>
      </c>
      <c r="P58" s="185">
        <f t="shared" si="21"/>
        <v>7.309968482776126E-2</v>
      </c>
      <c r="Q58" s="141">
        <f t="shared" si="6"/>
        <v>4.8534400131240893</v>
      </c>
      <c r="R58" s="141">
        <f t="shared" si="7"/>
        <v>4.7803403282963277</v>
      </c>
      <c r="S58" s="141">
        <f t="shared" si="8"/>
        <v>4.926539697951851</v>
      </c>
      <c r="T58" s="48">
        <f t="shared" si="9"/>
        <v>71357.563576167231</v>
      </c>
      <c r="U58" s="142">
        <f t="shared" si="19"/>
        <v>455.87786168000042</v>
      </c>
      <c r="V58" s="48">
        <f t="shared" si="10"/>
        <v>60303.195783166244</v>
      </c>
      <c r="W58" s="142">
        <f t="shared" si="11"/>
        <v>455.87786168000042</v>
      </c>
      <c r="X58" s="48">
        <f t="shared" si="12"/>
        <v>84438.342170717311</v>
      </c>
      <c r="Y58" s="142">
        <f t="shared" si="13"/>
        <v>455.87786168000042</v>
      </c>
      <c r="Z58" s="2"/>
      <c r="AA58" s="169"/>
      <c r="AB58" s="2"/>
      <c r="AC58" s="2"/>
      <c r="AD58" s="2"/>
      <c r="AE58" s="2"/>
      <c r="AF58" s="2"/>
      <c r="AG58" s="2"/>
      <c r="AH58" s="2"/>
    </row>
    <row r="59" spans="1:34" x14ac:dyDescent="0.2">
      <c r="A59" s="2"/>
      <c r="B59" s="2"/>
      <c r="C59" s="2"/>
      <c r="D59" s="2"/>
      <c r="E59" s="2"/>
      <c r="F59" s="2"/>
      <c r="G59" s="2"/>
      <c r="H59" s="140">
        <v>27</v>
      </c>
      <c r="I59" s="2">
        <v>2.052</v>
      </c>
      <c r="J59" s="2">
        <v>3.35</v>
      </c>
      <c r="K59" s="2"/>
      <c r="L59" s="145"/>
      <c r="M59" s="2"/>
      <c r="N59" s="2"/>
      <c r="O59" s="141">
        <f t="shared" si="4"/>
        <v>2.6613861647608532</v>
      </c>
      <c r="P59" s="185">
        <f t="shared" si="21"/>
        <v>7.385430282764037E-2</v>
      </c>
      <c r="Q59" s="141">
        <f t="shared" si="6"/>
        <v>4.8334979863847316</v>
      </c>
      <c r="R59" s="141">
        <f t="shared" si="7"/>
        <v>4.7596436835570914</v>
      </c>
      <c r="S59" s="141">
        <f t="shared" si="8"/>
        <v>4.9073522892123718</v>
      </c>
      <c r="T59" s="48">
        <f t="shared" si="9"/>
        <v>68155.041469691016</v>
      </c>
      <c r="U59" s="142">
        <f t="shared" si="19"/>
        <v>458.54943721000018</v>
      </c>
      <c r="V59" s="48">
        <f t="shared" si="10"/>
        <v>57496.801187822937</v>
      </c>
      <c r="W59" s="142">
        <f t="shared" si="11"/>
        <v>458.54943721000018</v>
      </c>
      <c r="X59" s="48">
        <f t="shared" si="12"/>
        <v>80789.010549669794</v>
      </c>
      <c r="Y59" s="142">
        <f t="shared" si="13"/>
        <v>458.54943721000018</v>
      </c>
      <c r="Z59" s="2"/>
      <c r="AA59" s="169"/>
      <c r="AB59" s="2"/>
      <c r="AC59" s="2"/>
      <c r="AD59" s="2"/>
      <c r="AE59" s="2"/>
      <c r="AF59" s="2"/>
      <c r="AG59" s="2"/>
      <c r="AH59" s="2"/>
    </row>
    <row r="60" spans="1:34" x14ac:dyDescent="0.2">
      <c r="A60" s="2"/>
      <c r="B60" s="2"/>
      <c r="C60" s="2"/>
      <c r="D60" s="2"/>
      <c r="E60" s="2"/>
      <c r="F60" s="2"/>
      <c r="G60" s="2"/>
      <c r="H60" s="140">
        <v>28</v>
      </c>
      <c r="I60" s="2">
        <v>2.048</v>
      </c>
      <c r="J60" s="2">
        <v>3.34</v>
      </c>
      <c r="K60" s="2"/>
      <c r="L60" s="145"/>
      <c r="M60" s="2"/>
      <c r="N60" s="2"/>
      <c r="O60" s="141">
        <f t="shared" si="4"/>
        <v>2.6639090850692129</v>
      </c>
      <c r="P60" s="185">
        <f t="shared" si="21"/>
        <v>7.4650273437194131E-2</v>
      </c>
      <c r="Q60" s="141">
        <f t="shared" si="6"/>
        <v>4.813671807966422</v>
      </c>
      <c r="R60" s="141">
        <f t="shared" si="7"/>
        <v>4.7390215345292281</v>
      </c>
      <c r="S60" s="141">
        <f t="shared" si="8"/>
        <v>4.8883220814036159</v>
      </c>
      <c r="T60" s="48">
        <f t="shared" si="9"/>
        <v>65113.615095993722</v>
      </c>
      <c r="U60" s="142">
        <f t="shared" si="19"/>
        <v>461.2210127400005</v>
      </c>
      <c r="V60" s="48">
        <f t="shared" si="10"/>
        <v>54830.415195533351</v>
      </c>
      <c r="W60" s="142">
        <f t="shared" si="11"/>
        <v>461.2210127400005</v>
      </c>
      <c r="X60" s="48">
        <f t="shared" si="12"/>
        <v>77325.383288627854</v>
      </c>
      <c r="Y60" s="142">
        <f t="shared" si="13"/>
        <v>461.2210127400005</v>
      </c>
      <c r="Z60" s="2"/>
      <c r="AA60" s="2"/>
      <c r="AB60" s="2"/>
      <c r="AC60" s="2"/>
      <c r="AD60" s="2"/>
      <c r="AE60" s="2"/>
      <c r="AF60" s="2"/>
      <c r="AG60" s="2"/>
      <c r="AH60" s="2"/>
    </row>
    <row r="61" spans="1:34" x14ac:dyDescent="0.2">
      <c r="A61" s="2"/>
      <c r="B61" s="2"/>
      <c r="C61" s="2"/>
      <c r="D61" s="2"/>
      <c r="E61" s="2"/>
      <c r="F61" s="2"/>
      <c r="G61" s="2"/>
      <c r="H61" s="140">
        <v>29</v>
      </c>
      <c r="I61" s="2">
        <v>2.0449999999999999</v>
      </c>
      <c r="J61" s="2">
        <v>3.33</v>
      </c>
      <c r="K61" s="2"/>
      <c r="L61" s="145"/>
      <c r="M61" s="2"/>
      <c r="N61" s="2"/>
      <c r="O61" s="141">
        <f t="shared" si="4"/>
        <v>2.6664174337406723</v>
      </c>
      <c r="P61" s="185">
        <f t="shared" si="21"/>
        <v>7.5485425656813071E-2</v>
      </c>
      <c r="Q61" s="141">
        <f t="shared" si="6"/>
        <v>4.7939601396545442</v>
      </c>
      <c r="R61" s="141">
        <f t="shared" si="7"/>
        <v>4.7184747139977308</v>
      </c>
      <c r="S61" s="141">
        <f t="shared" si="8"/>
        <v>4.8694455653113575</v>
      </c>
      <c r="T61" s="48">
        <f t="shared" si="9"/>
        <v>62224.317192668648</v>
      </c>
      <c r="U61" s="142">
        <f t="shared" si="19"/>
        <v>463.89258826999986</v>
      </c>
      <c r="V61" s="48">
        <f t="shared" si="10"/>
        <v>52296.751646812292</v>
      </c>
      <c r="W61" s="142">
        <f t="shared" si="11"/>
        <v>463.89258826999986</v>
      </c>
      <c r="X61" s="48">
        <f t="shared" si="12"/>
        <v>74036.446398097571</v>
      </c>
      <c r="Y61" s="142">
        <f t="shared" si="13"/>
        <v>463.89258826999986</v>
      </c>
      <c r="Z61" s="2"/>
      <c r="AA61" s="2"/>
      <c r="AB61" s="2"/>
      <c r="AC61" s="2"/>
      <c r="AD61" s="2"/>
      <c r="AE61" s="2"/>
      <c r="AF61" s="2"/>
      <c r="AG61" s="2"/>
      <c r="AH61" s="2"/>
    </row>
    <row r="62" spans="1:34" x14ac:dyDescent="0.2">
      <c r="A62" s="2"/>
      <c r="B62" s="2"/>
      <c r="C62" s="2"/>
      <c r="D62" s="2"/>
      <c r="E62" s="2"/>
      <c r="F62" s="2"/>
      <c r="G62" s="2"/>
      <c r="H62" s="140">
        <v>30</v>
      </c>
      <c r="I62" s="2">
        <v>2.0419999999999998</v>
      </c>
      <c r="J62" s="2">
        <v>3.32</v>
      </c>
      <c r="K62" s="2"/>
      <c r="L62" s="145"/>
      <c r="M62" s="2"/>
      <c r="N62" s="2"/>
      <c r="O62" s="141">
        <f t="shared" si="4"/>
        <v>2.6689113781319684</v>
      </c>
      <c r="P62" s="185">
        <f t="shared" si="21"/>
        <v>7.6357638992532853E-2</v>
      </c>
      <c r="Q62" s="141">
        <f t="shared" si="6"/>
        <v>4.77436166628884</v>
      </c>
      <c r="R62" s="141">
        <f t="shared" si="7"/>
        <v>4.6980040272963075</v>
      </c>
      <c r="S62" s="141">
        <f t="shared" si="8"/>
        <v>4.8507193052813724</v>
      </c>
      <c r="T62" s="48">
        <f t="shared" si="9"/>
        <v>59478.727188298835</v>
      </c>
      <c r="U62" s="142">
        <f t="shared" si="19"/>
        <v>466.56416380000013</v>
      </c>
      <c r="V62" s="48">
        <f t="shared" si="10"/>
        <v>49888.911373332143</v>
      </c>
      <c r="W62" s="142">
        <f t="shared" si="11"/>
        <v>466.56416380000013</v>
      </c>
      <c r="X62" s="48">
        <f t="shared" si="12"/>
        <v>70911.929937022986</v>
      </c>
      <c r="Y62" s="142">
        <f t="shared" si="13"/>
        <v>466.56416380000013</v>
      </c>
      <c r="Z62" s="2"/>
      <c r="AA62" s="135"/>
      <c r="AB62" s="2"/>
      <c r="AC62" s="2"/>
      <c r="AD62" s="2"/>
      <c r="AE62" s="2"/>
      <c r="AF62" s="2"/>
      <c r="AG62" s="2"/>
      <c r="AH62" s="2"/>
    </row>
    <row r="63" spans="1:34" x14ac:dyDescent="0.2">
      <c r="A63" s="2"/>
      <c r="B63" s="2"/>
      <c r="C63" s="2"/>
      <c r="D63" s="2"/>
      <c r="E63" s="2"/>
      <c r="F63" s="2"/>
      <c r="G63" s="2"/>
      <c r="H63" s="140">
        <v>31</v>
      </c>
      <c r="I63" s="2">
        <v>2.0209999999999999</v>
      </c>
      <c r="J63" s="2">
        <v>3.23</v>
      </c>
      <c r="K63" s="2"/>
      <c r="L63" s="145"/>
      <c r="M63" s="2"/>
      <c r="N63" s="2"/>
      <c r="O63" s="141">
        <f t="shared" si="4"/>
        <v>2.6713910827331286</v>
      </c>
      <c r="P63" s="185">
        <f t="shared" si="21"/>
        <v>7.7264850728373261E-2</v>
      </c>
      <c r="Q63" s="141">
        <f t="shared" si="6"/>
        <v>4.7548750952368728</v>
      </c>
      <c r="R63" s="141">
        <f t="shared" si="7"/>
        <v>4.6776102445084993</v>
      </c>
      <c r="S63" s="141">
        <f t="shared" si="8"/>
        <v>4.8321399459652463</v>
      </c>
      <c r="T63" s="48">
        <f t="shared" si="9"/>
        <v>56868.935007769483</v>
      </c>
      <c r="U63" s="142">
        <f t="shared" si="19"/>
        <v>469.23573933000063</v>
      </c>
      <c r="V63" s="48">
        <f t="shared" si="10"/>
        <v>47600.360791374202</v>
      </c>
      <c r="W63" s="142">
        <f t="shared" si="11"/>
        <v>469.23573933000063</v>
      </c>
      <c r="X63" s="48">
        <f t="shared" si="12"/>
        <v>67942.253276029063</v>
      </c>
      <c r="Y63" s="142">
        <f t="shared" si="13"/>
        <v>469.23573933000063</v>
      </c>
      <c r="Z63" s="2"/>
      <c r="AA63" s="2"/>
      <c r="AB63" s="2"/>
      <c r="AC63" s="2"/>
      <c r="AD63" s="2"/>
      <c r="AE63" s="2"/>
      <c r="AF63" s="2"/>
      <c r="AG63" s="2"/>
      <c r="AH63" s="2"/>
    </row>
    <row r="64" spans="1:34" x14ac:dyDescent="0.2">
      <c r="A64" s="2"/>
      <c r="B64" s="2"/>
      <c r="C64" s="2"/>
      <c r="D64" s="2"/>
      <c r="E64" s="2"/>
      <c r="F64" s="2"/>
      <c r="G64" s="2"/>
      <c r="H64" s="140">
        <v>40</v>
      </c>
      <c r="I64" s="2">
        <v>2.0209999999999999</v>
      </c>
      <c r="J64" s="2">
        <v>3.23</v>
      </c>
      <c r="K64" s="2"/>
      <c r="L64" s="145"/>
      <c r="M64" s="2"/>
      <c r="N64" s="2"/>
      <c r="O64" s="141">
        <f t="shared" si="4"/>
        <v>2.6738567092325711</v>
      </c>
      <c r="P64" s="185">
        <f t="shared" si="21"/>
        <v>7.8205061767891951E-2</v>
      </c>
      <c r="Q64" s="141">
        <f t="shared" si="6"/>
        <v>4.7354991558824331</v>
      </c>
      <c r="R64" s="141">
        <f t="shared" si="7"/>
        <v>4.6572940941145413</v>
      </c>
      <c r="S64" s="141">
        <f t="shared" si="8"/>
        <v>4.8137042176503249</v>
      </c>
      <c r="T64" s="48">
        <f t="shared" si="9"/>
        <v>54387.507461521876</v>
      </c>
      <c r="U64" s="142">
        <f t="shared" si="19"/>
        <v>471.90731486000033</v>
      </c>
      <c r="V64" s="48">
        <f t="shared" si="10"/>
        <v>45424.911945220985</v>
      </c>
      <c r="W64" s="142">
        <f t="shared" si="11"/>
        <v>471.90731486000033</v>
      </c>
      <c r="X64" s="48">
        <f t="shared" si="12"/>
        <v>65118.474449531655</v>
      </c>
      <c r="Y64" s="142">
        <f t="shared" si="13"/>
        <v>471.90731486000033</v>
      </c>
      <c r="Z64" s="2"/>
      <c r="AA64" s="2"/>
      <c r="AB64" s="2"/>
      <c r="AC64" s="2"/>
      <c r="AD64" s="2"/>
      <c r="AE64" s="2"/>
      <c r="AF64" s="2"/>
      <c r="AG64" s="2"/>
      <c r="AH64" s="2"/>
    </row>
    <row r="65" spans="1:34" x14ac:dyDescent="0.2">
      <c r="A65" s="2"/>
      <c r="B65" s="2"/>
      <c r="C65" s="2"/>
      <c r="D65" s="2"/>
      <c r="E65" s="2"/>
      <c r="F65" s="2"/>
      <c r="G65" s="2"/>
      <c r="H65" s="140">
        <v>41</v>
      </c>
      <c r="I65" s="2">
        <v>2</v>
      </c>
      <c r="J65" s="2">
        <v>3.15</v>
      </c>
      <c r="K65" s="2"/>
      <c r="L65" s="145"/>
      <c r="M65" s="2"/>
      <c r="N65" s="2"/>
      <c r="O65" s="141">
        <f t="shared" si="4"/>
        <v>2.6763084165803721</v>
      </c>
      <c r="P65" s="185">
        <f t="shared" si="21"/>
        <v>7.917634115364594E-2</v>
      </c>
      <c r="Q65" s="141">
        <f t="shared" si="6"/>
        <v>4.7162325991283716</v>
      </c>
      <c r="R65" s="141">
        <f t="shared" si="7"/>
        <v>4.6370562579747254</v>
      </c>
      <c r="S65" s="141">
        <f t="shared" si="8"/>
        <v>4.7954089402820177</v>
      </c>
      <c r="T65" s="48">
        <f t="shared" si="9"/>
        <v>52027.457021035741</v>
      </c>
      <c r="U65" s="142">
        <f t="shared" si="19"/>
        <v>474.57889039000014</v>
      </c>
      <c r="V65" s="48">
        <f t="shared" si="10"/>
        <v>43356.703849259276</v>
      </c>
      <c r="W65" s="142">
        <f t="shared" si="11"/>
        <v>474.57889039000014</v>
      </c>
      <c r="X65" s="48">
        <f t="shared" si="12"/>
        <v>62432.243315515945</v>
      </c>
      <c r="Y65" s="142">
        <f t="shared" si="13"/>
        <v>474.57889039000014</v>
      </c>
      <c r="Z65" s="2"/>
      <c r="AA65" s="2"/>
      <c r="AB65" s="2"/>
      <c r="AC65" s="2"/>
      <c r="AD65" s="2"/>
      <c r="AE65" s="2"/>
      <c r="AF65" s="2"/>
      <c r="AG65" s="2"/>
      <c r="AH65" s="2"/>
    </row>
    <row r="66" spans="1:34" x14ac:dyDescent="0.2">
      <c r="A66" s="2"/>
      <c r="B66" s="2"/>
      <c r="C66" s="2"/>
      <c r="D66" s="2"/>
      <c r="E66" s="2"/>
      <c r="F66" s="2"/>
      <c r="G66" s="2"/>
      <c r="H66" s="140">
        <v>60</v>
      </c>
      <c r="I66" s="2">
        <v>2</v>
      </c>
      <c r="J66" s="2">
        <v>3.15</v>
      </c>
      <c r="K66" s="2"/>
      <c r="L66" s="145"/>
      <c r="M66" s="2"/>
      <c r="N66" s="2"/>
      <c r="O66" s="141">
        <f t="shared" ref="O66:O102" si="22">LOG($I$19+($I$20-$I$19)*(ROW()-2)/100)</f>
        <v>2.6787463610497508</v>
      </c>
      <c r="P66" s="185">
        <f t="shared" ref="P66:P97" si="23">SQRT(2*$I$16*$K$24)*SQRT((1/$I$1)+((O66-$I$10)^2/$I$7))</f>
        <v>8.0176829385464457E-2</v>
      </c>
      <c r="Q66" s="141">
        <f t="shared" ref="Q66:Q102" si="24">+$I$13+$I$12*O66</f>
        <v>4.697074196913416</v>
      </c>
      <c r="R66" s="141">
        <f t="shared" ref="R66:R102" si="25">+$I$13+$I$12*O66-P66</f>
        <v>4.6168973675279519</v>
      </c>
      <c r="S66" s="141">
        <f t="shared" ref="S66:S102" si="26">+$I$13+$I$12*O66+P66</f>
        <v>4.7772510262988801</v>
      </c>
      <c r="T66" s="48">
        <f t="shared" ref="T66:T102" si="27">10^Q66</f>
        <v>49782.212798963956</v>
      </c>
      <c r="U66" s="142">
        <f t="shared" si="19"/>
        <v>477.25046592000007</v>
      </c>
      <c r="V66" s="48">
        <f t="shared" ref="V66:V102" si="28">10^R66</f>
        <v>41390.184997593533</v>
      </c>
      <c r="W66" s="142">
        <f t="shared" ref="W66:W102" si="29">10^$O66</f>
        <v>477.25046592000007</v>
      </c>
      <c r="X66" s="48">
        <f t="shared" ref="X66:X102" si="30">10^S66</f>
        <v>59875.758257795162</v>
      </c>
      <c r="Y66" s="142">
        <f t="shared" ref="Y66:Y102" si="31">10^$O66</f>
        <v>477.25046592000007</v>
      </c>
      <c r="Z66" s="2"/>
      <c r="AA66" s="2"/>
      <c r="AB66" s="2"/>
      <c r="AC66" s="2"/>
      <c r="AD66" s="2"/>
      <c r="AE66" s="2"/>
      <c r="AF66" s="2"/>
      <c r="AG66" s="2"/>
      <c r="AH66" s="2"/>
    </row>
    <row r="67" spans="1:34" x14ac:dyDescent="0.2">
      <c r="A67" s="2"/>
      <c r="B67" s="2"/>
      <c r="C67" s="2"/>
      <c r="D67" s="2"/>
      <c r="E67" s="2"/>
      <c r="F67" s="2"/>
      <c r="G67" s="2"/>
      <c r="H67" s="140">
        <v>61</v>
      </c>
      <c r="I67" s="2">
        <v>1.98</v>
      </c>
      <c r="J67" s="2">
        <v>3.07</v>
      </c>
      <c r="K67" s="2"/>
      <c r="L67" s="145"/>
      <c r="M67" s="2"/>
      <c r="N67" s="2"/>
      <c r="O67" s="141">
        <f t="shared" si="22"/>
        <v>2.681170696296844</v>
      </c>
      <c r="P67" s="185">
        <f t="shared" si="23"/>
        <v>8.1204740664549691E-2</v>
      </c>
      <c r="Q67" s="141">
        <f t="shared" si="24"/>
        <v>4.6780227417424385</v>
      </c>
      <c r="R67" s="141">
        <f t="shared" si="25"/>
        <v>4.5968180010778887</v>
      </c>
      <c r="S67" s="141">
        <f t="shared" si="26"/>
        <v>4.7592274824069882</v>
      </c>
      <c r="T67" s="48">
        <f t="shared" si="27"/>
        <v>47645.593567060059</v>
      </c>
      <c r="U67" s="142">
        <f t="shared" ref="U67:U102" si="32">10^O67</f>
        <v>479.92204145000039</v>
      </c>
      <c r="V67" s="48">
        <f t="shared" si="28"/>
        <v>39520.096927931241</v>
      </c>
      <c r="W67" s="142">
        <f t="shared" si="29"/>
        <v>479.92204145000039</v>
      </c>
      <c r="X67" s="48">
        <f t="shared" si="30"/>
        <v>57441.726180409765</v>
      </c>
      <c r="Y67" s="142">
        <f t="shared" si="31"/>
        <v>479.92204145000039</v>
      </c>
      <c r="Z67" s="2"/>
      <c r="AA67" s="2"/>
      <c r="AB67" s="2"/>
      <c r="AC67" s="2"/>
      <c r="AD67" s="2"/>
      <c r="AE67" s="2"/>
      <c r="AF67" s="2"/>
      <c r="AG67" s="2"/>
      <c r="AH67" s="2"/>
    </row>
    <row r="68" spans="1:34" x14ac:dyDescent="0.2">
      <c r="A68" s="2"/>
      <c r="B68" s="2"/>
      <c r="C68" s="2"/>
      <c r="D68" s="2"/>
      <c r="E68" s="2"/>
      <c r="F68" s="2"/>
      <c r="G68" s="2"/>
      <c r="H68" s="140">
        <v>120</v>
      </c>
      <c r="I68" s="2">
        <v>1.98</v>
      </c>
      <c r="J68" s="2">
        <v>3.07</v>
      </c>
      <c r="K68" s="2"/>
      <c r="L68" s="145"/>
      <c r="M68" s="2"/>
      <c r="N68" s="2"/>
      <c r="O68" s="141">
        <f t="shared" si="22"/>
        <v>2.6835815734188166</v>
      </c>
      <c r="P68" s="185">
        <f t="shared" si="23"/>
        <v>8.2258364191509198E-2</v>
      </c>
      <c r="Q68" s="141">
        <f t="shared" si="24"/>
        <v>4.6590770462297932</v>
      </c>
      <c r="R68" s="141">
        <f t="shared" si="25"/>
        <v>4.5768186820382839</v>
      </c>
      <c r="S68" s="141">
        <f t="shared" si="26"/>
        <v>4.7413354104213026</v>
      </c>
      <c r="T68" s="48">
        <f t="shared" si="27"/>
        <v>45611.78265852615</v>
      </c>
      <c r="U68" s="142">
        <f t="shared" si="32"/>
        <v>482.59361698000021</v>
      </c>
      <c r="V68" s="48">
        <f t="shared" si="28"/>
        <v>37741.458742423347</v>
      </c>
      <c r="W68" s="142">
        <f t="shared" si="29"/>
        <v>482.59361698000021</v>
      </c>
      <c r="X68" s="48">
        <f t="shared" si="30"/>
        <v>55123.325557899203</v>
      </c>
      <c r="Y68" s="142">
        <f t="shared" si="31"/>
        <v>482.59361698000021</v>
      </c>
      <c r="Z68" s="2"/>
      <c r="AA68" s="2"/>
      <c r="AB68" s="2"/>
      <c r="AC68" s="2"/>
      <c r="AD68" s="2"/>
      <c r="AE68" s="2"/>
      <c r="AF68" s="2"/>
      <c r="AG68" s="2"/>
      <c r="AH68" s="2"/>
    </row>
    <row r="69" spans="1:34" x14ac:dyDescent="0.2">
      <c r="A69" s="2"/>
      <c r="B69" s="2"/>
      <c r="C69" s="2"/>
      <c r="D69" s="2"/>
      <c r="E69" s="2"/>
      <c r="F69" s="2"/>
      <c r="G69" s="2"/>
      <c r="H69" s="140">
        <v>121</v>
      </c>
      <c r="I69" s="2">
        <v>1.96</v>
      </c>
      <c r="J69" s="2">
        <v>3</v>
      </c>
      <c r="K69" s="2"/>
      <c r="L69" s="145"/>
      <c r="M69" s="2"/>
      <c r="N69" s="2"/>
      <c r="O69" s="141">
        <f t="shared" si="22"/>
        <v>2.6859791410103724</v>
      </c>
      <c r="P69" s="185">
        <f t="shared" si="23"/>
        <v>8.3336064643599314E-2</v>
      </c>
      <c r="Q69" s="141">
        <f t="shared" si="24"/>
        <v>4.6402359426552451</v>
      </c>
      <c r="R69" s="141">
        <f t="shared" si="25"/>
        <v>4.5568998780116461</v>
      </c>
      <c r="S69" s="141">
        <f t="shared" si="26"/>
        <v>4.7235720072988441</v>
      </c>
      <c r="T69" s="48">
        <f t="shared" si="27"/>
        <v>43675.304613698638</v>
      </c>
      <c r="U69" s="142">
        <f t="shared" si="32"/>
        <v>485.26519251000008</v>
      </c>
      <c r="V69" s="48">
        <f t="shared" si="28"/>
        <v>36049.552501975319</v>
      </c>
      <c r="W69" s="142">
        <f t="shared" si="29"/>
        <v>485.26519251000008</v>
      </c>
      <c r="X69" s="48">
        <f t="shared" si="30"/>
        <v>52914.172318639641</v>
      </c>
      <c r="Y69" s="142">
        <f t="shared" si="31"/>
        <v>485.26519251000008</v>
      </c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3.5" thickBot="1" x14ac:dyDescent="0.25">
      <c r="A70" s="2"/>
      <c r="B70" s="2"/>
      <c r="C70" s="2"/>
      <c r="D70" s="2"/>
      <c r="E70" s="2"/>
      <c r="F70" s="2"/>
      <c r="G70" s="2"/>
      <c r="H70" s="152"/>
      <c r="I70" s="147"/>
      <c r="J70" s="147"/>
      <c r="K70" s="147"/>
      <c r="L70" s="149"/>
      <c r="M70" s="2"/>
      <c r="N70" s="2"/>
      <c r="O70" s="141">
        <f t="shared" si="22"/>
        <v>2.6883635452187105</v>
      </c>
      <c r="P70" s="185">
        <f t="shared" si="23"/>
        <v>8.4436281950685144E-2</v>
      </c>
      <c r="Q70" s="141">
        <f t="shared" si="24"/>
        <v>4.6214982825320767</v>
      </c>
      <c r="R70" s="141">
        <f t="shared" si="25"/>
        <v>4.5370620005813915</v>
      </c>
      <c r="S70" s="141">
        <f t="shared" si="26"/>
        <v>4.7059345644827619</v>
      </c>
      <c r="T70" s="48">
        <f t="shared" si="27"/>
        <v>41831.003439265449</v>
      </c>
      <c r="U70" s="142">
        <f t="shared" si="32"/>
        <v>487.93676804000029</v>
      </c>
      <c r="V70" s="48">
        <f t="shared" si="28"/>
        <v>34439.909422464101</v>
      </c>
      <c r="W70" s="142">
        <f t="shared" si="29"/>
        <v>487.93676804000029</v>
      </c>
      <c r="X70" s="48">
        <f t="shared" si="30"/>
        <v>50808.288351492352</v>
      </c>
      <c r="Y70" s="142">
        <f t="shared" si="31"/>
        <v>487.93676804000029</v>
      </c>
      <c r="Z70" s="2"/>
      <c r="AA70" s="2"/>
      <c r="AB70" s="2"/>
      <c r="AC70" s="2"/>
      <c r="AD70" s="2"/>
      <c r="AE70" s="2"/>
      <c r="AF70" s="2"/>
      <c r="AG70" s="2"/>
      <c r="AH70" s="2"/>
    </row>
    <row r="71" spans="1:3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41">
        <f t="shared" si="22"/>
        <v>2.6907349297969834</v>
      </c>
      <c r="P71" s="185">
        <f t="shared" si="23"/>
        <v>8.5557530481603764E-2</v>
      </c>
      <c r="Q71" s="141">
        <f t="shared" si="24"/>
        <v>4.6028629361870159</v>
      </c>
      <c r="R71" s="141">
        <f t="shared" si="25"/>
        <v>4.5173054057054118</v>
      </c>
      <c r="S71" s="141">
        <f t="shared" si="26"/>
        <v>4.68842046666862</v>
      </c>
      <c r="T71" s="48">
        <f t="shared" si="27"/>
        <v>40074.022361512063</v>
      </c>
      <c r="U71" s="142">
        <f t="shared" si="32"/>
        <v>490.60834357000044</v>
      </c>
      <c r="V71" s="48">
        <f t="shared" si="28"/>
        <v>32908.296811420762</v>
      </c>
      <c r="W71" s="142">
        <f t="shared" si="29"/>
        <v>490.60834357000044</v>
      </c>
      <c r="X71" s="48">
        <f t="shared" si="30"/>
        <v>48800.072438681709</v>
      </c>
      <c r="Y71" s="142">
        <f t="shared" si="31"/>
        <v>490.60834357000044</v>
      </c>
      <c r="Z71" s="2"/>
      <c r="AA71" s="2"/>
      <c r="AB71" s="2"/>
      <c r="AC71" s="2"/>
      <c r="AD71" s="2"/>
      <c r="AE71" s="2"/>
      <c r="AF71" s="2"/>
      <c r="AG71" s="2"/>
      <c r="AH71" s="2"/>
    </row>
    <row r="72" spans="1:3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41">
        <f t="shared" si="22"/>
        <v>2.693093436156301</v>
      </c>
      <c r="P72" s="185">
        <f t="shared" si="23"/>
        <v>8.6698397743478567E-2</v>
      </c>
      <c r="Q72" s="141">
        <f t="shared" si="24"/>
        <v>4.5843287923515526</v>
      </c>
      <c r="R72" s="141">
        <f t="shared" si="25"/>
        <v>4.4976303946080742</v>
      </c>
      <c r="S72" s="141">
        <f t="shared" si="26"/>
        <v>4.6710271900950309</v>
      </c>
      <c r="T72" s="48">
        <f t="shared" si="27"/>
        <v>38399.784963530605</v>
      </c>
      <c r="U72" s="142">
        <f t="shared" si="32"/>
        <v>493.27991910000065</v>
      </c>
      <c r="V72" s="48">
        <f t="shared" si="28"/>
        <v>31450.705692228745</v>
      </c>
      <c r="W72" s="142">
        <f t="shared" si="29"/>
        <v>493.27991910000065</v>
      </c>
      <c r="X72" s="48">
        <f t="shared" si="30"/>
        <v>46884.273430142566</v>
      </c>
      <c r="Y72" s="142">
        <f t="shared" si="31"/>
        <v>493.27991910000065</v>
      </c>
      <c r="Z72" s="2"/>
      <c r="AA72" s="2"/>
      <c r="AB72" s="2"/>
      <c r="AC72" s="2"/>
      <c r="AD72" s="2"/>
      <c r="AE72" s="2"/>
      <c r="AF72" s="2"/>
      <c r="AG72" s="2"/>
      <c r="AH72" s="2"/>
    </row>
    <row r="73" spans="1:3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41">
        <f t="shared" si="22"/>
        <v>2.6954392034163335</v>
      </c>
      <c r="P73" s="185">
        <f t="shared" si="23"/>
        <v>8.7857542686702719E-2</v>
      </c>
      <c r="Q73" s="141">
        <f t="shared" si="24"/>
        <v>4.5658947577642799</v>
      </c>
      <c r="R73" s="141">
        <f t="shared" si="25"/>
        <v>4.4780372150775776</v>
      </c>
      <c r="S73" s="141">
        <f t="shared" si="26"/>
        <v>4.6537523004509822</v>
      </c>
      <c r="T73" s="48">
        <f t="shared" si="27"/>
        <v>36803.977604972984</v>
      </c>
      <c r="U73" s="142">
        <f t="shared" si="32"/>
        <v>495.95149463000018</v>
      </c>
      <c r="V73" s="48">
        <f t="shared" si="28"/>
        <v>30063.339069975813</v>
      </c>
      <c r="W73" s="142">
        <f t="shared" si="29"/>
        <v>495.95149463000018</v>
      </c>
      <c r="X73" s="48">
        <f t="shared" si="30"/>
        <v>45055.965486552486</v>
      </c>
      <c r="Y73" s="142">
        <f t="shared" si="31"/>
        <v>495.95149463000018</v>
      </c>
      <c r="Z73" s="2"/>
      <c r="AA73" s="2"/>
      <c r="AB73" s="2"/>
      <c r="AC73" s="2"/>
      <c r="AD73" s="2"/>
      <c r="AE73" s="2"/>
      <c r="AF73" s="2"/>
      <c r="AG73" s="2"/>
      <c r="AH73" s="2"/>
    </row>
    <row r="74" spans="1:3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41">
        <f t="shared" si="22"/>
        <v>2.6977723684545523</v>
      </c>
      <c r="P74" s="185">
        <f t="shared" si="23"/>
        <v>8.9033693698252134E-2</v>
      </c>
      <c r="Q74" s="141">
        <f t="shared" si="24"/>
        <v>4.5475597567839436</v>
      </c>
      <c r="R74" s="141">
        <f t="shared" si="25"/>
        <v>4.4585260630856913</v>
      </c>
      <c r="S74" s="141">
        <f t="shared" si="26"/>
        <v>4.636593450482196</v>
      </c>
      <c r="T74" s="48">
        <f t="shared" si="27"/>
        <v>35282.533030863102</v>
      </c>
      <c r="U74" s="142">
        <f t="shared" si="32"/>
        <v>498.62307016000034</v>
      </c>
      <c r="V74" s="48">
        <f t="shared" si="28"/>
        <v>28742.600798935731</v>
      </c>
      <c r="W74" s="142">
        <f t="shared" si="29"/>
        <v>498.62307016000034</v>
      </c>
      <c r="X74" s="48">
        <f t="shared" si="30"/>
        <v>43310.525229854626</v>
      </c>
      <c r="Y74" s="142">
        <f t="shared" si="31"/>
        <v>498.62307016000034</v>
      </c>
      <c r="Z74" s="2"/>
      <c r="AA74" s="2"/>
      <c r="AB74" s="2"/>
      <c r="AC74" s="2"/>
      <c r="AD74" s="2"/>
      <c r="AE74" s="2"/>
      <c r="AF74" s="2"/>
      <c r="AG74" s="2"/>
      <c r="AH74" s="2"/>
    </row>
    <row r="75" spans="1:3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41">
        <f t="shared" si="22"/>
        <v>2.7000930659541553</v>
      </c>
      <c r="P75" s="185">
        <f t="shared" si="23"/>
        <v>9.0225646356087333E-2</v>
      </c>
      <c r="Q75" s="141">
        <f t="shared" si="24"/>
        <v>4.5293227310128152</v>
      </c>
      <c r="R75" s="141">
        <f t="shared" si="25"/>
        <v>4.4390970846567281</v>
      </c>
      <c r="S75" s="141">
        <f t="shared" si="26"/>
        <v>4.6195483773689023</v>
      </c>
      <c r="T75" s="48">
        <f t="shared" si="27"/>
        <v>33831.615083240053</v>
      </c>
      <c r="U75" s="142">
        <f t="shared" si="32"/>
        <v>501.29464569000044</v>
      </c>
      <c r="V75" s="48">
        <f t="shared" si="28"/>
        <v>27485.085016435267</v>
      </c>
      <c r="W75" s="142">
        <f t="shared" si="29"/>
        <v>501.29464569000044</v>
      </c>
      <c r="X75" s="48">
        <f t="shared" si="30"/>
        <v>41643.610651234805</v>
      </c>
      <c r="Y75" s="142">
        <f t="shared" si="31"/>
        <v>501.29464569000044</v>
      </c>
      <c r="Z75" s="2"/>
      <c r="AA75" s="2"/>
      <c r="AB75" s="2"/>
      <c r="AC75" s="2"/>
      <c r="AD75" s="2"/>
      <c r="AE75" s="2"/>
      <c r="AF75" s="2"/>
      <c r="AG75" s="2"/>
      <c r="AH75" s="2"/>
    </row>
    <row r="76" spans="1:3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41">
        <f t="shared" si="22"/>
        <v>2.7024014284507212</v>
      </c>
      <c r="P76" s="185">
        <f t="shared" si="23"/>
        <v>9.1432261007916335E-2</v>
      </c>
      <c r="Q76" s="141">
        <f t="shared" si="24"/>
        <v>4.5111826389300802</v>
      </c>
      <c r="R76" s="141">
        <f t="shared" si="25"/>
        <v>4.4197503779221643</v>
      </c>
      <c r="S76" s="141">
        <f t="shared" si="26"/>
        <v>4.6026148999379961</v>
      </c>
      <c r="T76" s="48">
        <f t="shared" si="27"/>
        <v>32447.604436081896</v>
      </c>
      <c r="U76" s="142">
        <f t="shared" si="32"/>
        <v>503.96622122000031</v>
      </c>
      <c r="V76" s="48">
        <f t="shared" si="28"/>
        <v>26287.566111763474</v>
      </c>
      <c r="W76" s="142">
        <f t="shared" si="29"/>
        <v>503.96622122000031</v>
      </c>
      <c r="X76" s="48">
        <f t="shared" si="30"/>
        <v>40051.141637235967</v>
      </c>
      <c r="Y76" s="142">
        <f t="shared" si="31"/>
        <v>503.96622122000031</v>
      </c>
      <c r="Z76" s="2"/>
      <c r="AA76" s="2"/>
      <c r="AB76" s="2"/>
      <c r="AC76" s="2"/>
      <c r="AD76" s="2"/>
      <c r="AE76" s="2"/>
      <c r="AF76" s="2"/>
      <c r="AG76" s="2"/>
      <c r="AH76" s="2"/>
    </row>
    <row r="77" spans="1:3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41">
        <f t="shared" si="22"/>
        <v>2.7046975863776277</v>
      </c>
      <c r="P77" s="185">
        <f t="shared" si="23"/>
        <v>9.2652460228691544E-2</v>
      </c>
      <c r="Q77" s="141">
        <f t="shared" si="24"/>
        <v>4.4931384555349005</v>
      </c>
      <c r="R77" s="141">
        <f t="shared" si="25"/>
        <v>4.4004859953062088</v>
      </c>
      <c r="S77" s="141">
        <f t="shared" si="26"/>
        <v>4.5857909157635923</v>
      </c>
      <c r="T77" s="48">
        <f t="shared" si="27"/>
        <v>31127.085280073086</v>
      </c>
      <c r="U77" s="142">
        <f t="shared" si="32"/>
        <v>506.63779675000058</v>
      </c>
      <c r="V77" s="48">
        <f t="shared" si="28"/>
        <v>25146.989201941607</v>
      </c>
      <c r="W77" s="142">
        <f t="shared" si="29"/>
        <v>506.63779675000058</v>
      </c>
      <c r="X77" s="48">
        <f t="shared" si="30"/>
        <v>38529.281984903937</v>
      </c>
      <c r="Y77" s="142">
        <f t="shared" si="31"/>
        <v>506.63779675000058</v>
      </c>
      <c r="Z77" s="2"/>
      <c r="AA77" s="2"/>
      <c r="AB77" s="2"/>
      <c r="AC77" s="2"/>
      <c r="AD77" s="2"/>
      <c r="AE77" s="2"/>
      <c r="AF77" s="2"/>
      <c r="AG77" s="2"/>
      <c r="AH77" s="2"/>
    </row>
    <row r="78" spans="1:3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41">
        <f t="shared" si="22"/>
        <v>2.7069816681102754</v>
      </c>
      <c r="P78" s="185">
        <f t="shared" si="23"/>
        <v>9.388522620302979E-2</v>
      </c>
      <c r="Q78" s="141">
        <f t="shared" si="24"/>
        <v>4.4751891719989025</v>
      </c>
      <c r="R78" s="141">
        <f t="shared" si="25"/>
        <v>4.3813039457958727</v>
      </c>
      <c r="S78" s="141">
        <f t="shared" si="26"/>
        <v>4.5690743982019324</v>
      </c>
      <c r="T78" s="48">
        <f t="shared" si="27"/>
        <v>29866.832889409314</v>
      </c>
      <c r="U78" s="142">
        <f t="shared" si="32"/>
        <v>509.3093722800005</v>
      </c>
      <c r="V78" s="48">
        <f t="shared" si="28"/>
        <v>24060.461088739947</v>
      </c>
      <c r="W78" s="142">
        <f t="shared" si="29"/>
        <v>509.3093722800005</v>
      </c>
      <c r="X78" s="48">
        <f t="shared" si="30"/>
        <v>37074.422786575851</v>
      </c>
      <c r="Y78" s="142">
        <f t="shared" si="31"/>
        <v>509.3093722800005</v>
      </c>
      <c r="Z78" s="2"/>
      <c r="AA78" s="2"/>
      <c r="AB78" s="2"/>
      <c r="AC78" s="2"/>
      <c r="AD78" s="2"/>
      <c r="AE78" s="2"/>
      <c r="AF78" s="2"/>
      <c r="AG78" s="2"/>
      <c r="AH78" s="2"/>
    </row>
    <row r="79" spans="1:3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41">
        <f t="shared" si="22"/>
        <v>2.7092538000091571</v>
      </c>
      <c r="P79" s="185">
        <f t="shared" si="23"/>
        <v>9.5129598071325427E-2</v>
      </c>
      <c r="Q79" s="141">
        <f t="shared" si="24"/>
        <v>4.4573337953277097</v>
      </c>
      <c r="R79" s="141">
        <f t="shared" si="25"/>
        <v>4.3622041972563839</v>
      </c>
      <c r="S79" s="141">
        <f t="shared" si="26"/>
        <v>4.5524633933990355</v>
      </c>
      <c r="T79" s="48">
        <f t="shared" si="27"/>
        <v>28663.802007984003</v>
      </c>
      <c r="U79" s="142">
        <f t="shared" si="32"/>
        <v>511.98094781000037</v>
      </c>
      <c r="V79" s="48">
        <f t="shared" si="28"/>
        <v>23025.241673397486</v>
      </c>
      <c r="W79" s="142">
        <f t="shared" si="29"/>
        <v>511.98094781000037</v>
      </c>
      <c r="X79" s="48">
        <f t="shared" si="30"/>
        <v>35683.167074079822</v>
      </c>
      <c r="Y79" s="142">
        <f t="shared" si="31"/>
        <v>511.98094781000037</v>
      </c>
      <c r="Z79" s="2"/>
      <c r="AA79" s="2"/>
      <c r="AB79" s="2"/>
      <c r="AC79" s="2"/>
      <c r="AD79" s="2"/>
      <c r="AE79" s="2"/>
      <c r="AF79" s="2"/>
      <c r="AG79" s="2"/>
      <c r="AH79" s="2"/>
    </row>
    <row r="80" spans="1:3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41">
        <f t="shared" si="22"/>
        <v>2.711514106461804</v>
      </c>
      <c r="P80" s="185">
        <f t="shared" si="23"/>
        <v>9.6384669271682419E-2</v>
      </c>
      <c r="Q80" s="141">
        <f t="shared" si="24"/>
        <v>4.4395713480313184</v>
      </c>
      <c r="R80" s="141">
        <f t="shared" si="25"/>
        <v>4.3431866787596363</v>
      </c>
      <c r="S80" s="141">
        <f t="shared" si="26"/>
        <v>4.5359560173030005</v>
      </c>
      <c r="T80" s="48">
        <f t="shared" si="27"/>
        <v>27515.115997060762</v>
      </c>
      <c r="U80" s="142">
        <f t="shared" si="32"/>
        <v>514.65252334000013</v>
      </c>
      <c r="V80" s="48">
        <f t="shared" si="28"/>
        <v>22038.735807210218</v>
      </c>
      <c r="W80" s="142">
        <f t="shared" si="29"/>
        <v>514.65252334000013</v>
      </c>
      <c r="X80" s="48">
        <f t="shared" si="30"/>
        <v>34352.315620754438</v>
      </c>
      <c r="Y80" s="142">
        <f t="shared" si="31"/>
        <v>514.65252334000013</v>
      </c>
      <c r="Z80" s="2"/>
      <c r="AA80" s="2"/>
      <c r="AB80" s="2"/>
      <c r="AC80" s="2"/>
      <c r="AD80" s="2"/>
      <c r="AE80" s="2"/>
      <c r="AF80" s="2"/>
      <c r="AG80" s="2"/>
      <c r="AH80" s="2"/>
    </row>
    <row r="81" spans="1:3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41">
        <f t="shared" si="22"/>
        <v>2.7137627099236479</v>
      </c>
      <c r="P81" s="185">
        <f t="shared" si="23"/>
        <v>9.7649584903926404E-2</v>
      </c>
      <c r="Q81" s="141">
        <f t="shared" si="24"/>
        <v>4.4219008678029788</v>
      </c>
      <c r="R81" s="141">
        <f t="shared" si="25"/>
        <v>4.324251282899052</v>
      </c>
      <c r="S81" s="141">
        <f t="shared" si="26"/>
        <v>4.5195504527069055</v>
      </c>
      <c r="T81" s="48">
        <f t="shared" si="27"/>
        <v>26418.056690889931</v>
      </c>
      <c r="U81" s="142">
        <f t="shared" si="32"/>
        <v>517.32409886999994</v>
      </c>
      <c r="V81" s="48">
        <f t="shared" si="28"/>
        <v>21098.485557532895</v>
      </c>
      <c r="W81" s="142">
        <f t="shared" si="29"/>
        <v>517.32409886999994</v>
      </c>
      <c r="X81" s="48">
        <f t="shared" si="30"/>
        <v>33078.853807774598</v>
      </c>
      <c r="Y81" s="142">
        <f t="shared" si="31"/>
        <v>517.32409886999994</v>
      </c>
      <c r="Z81" s="2"/>
      <c r="AA81" s="2"/>
      <c r="AB81" s="2"/>
      <c r="AC81" s="2"/>
      <c r="AD81" s="2"/>
      <c r="AE81" s="2"/>
      <c r="AF81" s="2"/>
      <c r="AG81" s="2"/>
      <c r="AH81" s="2"/>
    </row>
    <row r="82" spans="1:3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41">
        <f t="shared" si="22"/>
        <v>2.715999730957829</v>
      </c>
      <c r="P82" s="185">
        <f t="shared" si="23"/>
        <v>9.8923539136820435E-2</v>
      </c>
      <c r="Q82" s="141">
        <f t="shared" si="24"/>
        <v>4.4043214072063748</v>
      </c>
      <c r="R82" s="141">
        <f t="shared" si="25"/>
        <v>4.3053978680695542</v>
      </c>
      <c r="S82" s="141">
        <f t="shared" si="26"/>
        <v>4.5032449463431954</v>
      </c>
      <c r="T82" s="48">
        <f t="shared" si="27"/>
        <v>25370.05491075118</v>
      </c>
      <c r="U82" s="142">
        <f t="shared" si="32"/>
        <v>519.99567440000033</v>
      </c>
      <c r="V82" s="48">
        <f t="shared" si="28"/>
        <v>20202.16286991127</v>
      </c>
      <c r="W82" s="142">
        <f t="shared" si="29"/>
        <v>519.99567440000033</v>
      </c>
      <c r="X82" s="48">
        <f t="shared" si="30"/>
        <v>31859.939468815752</v>
      </c>
      <c r="Y82" s="142">
        <f t="shared" si="31"/>
        <v>519.99567440000033</v>
      </c>
      <c r="Z82" s="2"/>
      <c r="AA82" s="2"/>
      <c r="AB82" s="2"/>
      <c r="AC82" s="2"/>
      <c r="AD82" s="2"/>
      <c r="AE82" s="2"/>
      <c r="AF82" s="2"/>
      <c r="AG82" s="2"/>
      <c r="AH82" s="2"/>
    </row>
    <row r="83" spans="1:3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41">
        <f t="shared" si="22"/>
        <v>2.718225288273985</v>
      </c>
      <c r="P83" s="185">
        <f t="shared" si="23"/>
        <v>0.10020577267516254</v>
      </c>
      <c r="Q83" s="141">
        <f t="shared" si="24"/>
        <v>4.3868320333707906</v>
      </c>
      <c r="R83" s="141">
        <f t="shared" si="25"/>
        <v>4.2866262606956278</v>
      </c>
      <c r="S83" s="141">
        <f t="shared" si="26"/>
        <v>4.4870378060459535</v>
      </c>
      <c r="T83" s="48">
        <f t="shared" si="27"/>
        <v>24368.681591591114</v>
      </c>
      <c r="U83" s="142">
        <f t="shared" si="32"/>
        <v>522.66724993000014</v>
      </c>
      <c r="V83" s="48">
        <f t="shared" si="28"/>
        <v>19347.562608029846</v>
      </c>
      <c r="W83" s="142">
        <f t="shared" si="29"/>
        <v>522.66724993000014</v>
      </c>
      <c r="X83" s="48">
        <f t="shared" si="30"/>
        <v>30692.891634106534</v>
      </c>
      <c r="Y83" s="142">
        <f t="shared" si="31"/>
        <v>522.66724993000014</v>
      </c>
      <c r="Z83" s="2"/>
      <c r="AA83" s="2"/>
      <c r="AB83" s="2"/>
      <c r="AC83" s="2"/>
      <c r="AD83" s="2"/>
      <c r="AE83" s="2"/>
      <c r="AF83" s="2"/>
      <c r="AG83" s="2"/>
      <c r="AH83" s="2"/>
    </row>
    <row r="84" spans="1:3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41">
        <f t="shared" si="22"/>
        <v>2.7204394987660514</v>
      </c>
      <c r="P84" s="185">
        <f t="shared" si="23"/>
        <v>0.10149557029962544</v>
      </c>
      <c r="Q84" s="141">
        <f t="shared" si="24"/>
        <v>4.3694318276940827</v>
      </c>
      <c r="R84" s="141">
        <f t="shared" si="25"/>
        <v>4.2679362573944575</v>
      </c>
      <c r="S84" s="141">
        <f t="shared" si="26"/>
        <v>4.4709273979937079</v>
      </c>
      <c r="T84" s="48">
        <f t="shared" si="27"/>
        <v>23411.639478836238</v>
      </c>
      <c r="U84" s="142">
        <f t="shared" si="32"/>
        <v>525.33882546000007</v>
      </c>
      <c r="V84" s="48">
        <f t="shared" si="28"/>
        <v>18532.595954016651</v>
      </c>
      <c r="W84" s="142">
        <f t="shared" si="29"/>
        <v>525.33882546000007</v>
      </c>
      <c r="X84" s="48">
        <f t="shared" si="30"/>
        <v>29575.180101426071</v>
      </c>
      <c r="Y84" s="142">
        <f t="shared" si="31"/>
        <v>525.33882546000007</v>
      </c>
      <c r="Z84" s="2"/>
      <c r="AA84" s="2"/>
      <c r="AB84" s="2"/>
      <c r="AC84" s="2"/>
      <c r="AD84" s="2"/>
      <c r="AE84" s="2"/>
      <c r="AF84" s="2"/>
      <c r="AG84" s="2"/>
      <c r="AH84" s="2"/>
    </row>
    <row r="85" spans="1:3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41">
        <f t="shared" si="22"/>
        <v>2.7226424775491025</v>
      </c>
      <c r="P85" s="185">
        <f t="shared" si="23"/>
        <v>0.10279225848895314</v>
      </c>
      <c r="Q85" s="141">
        <f t="shared" si="24"/>
        <v>4.3521198855531438</v>
      </c>
      <c r="R85" s="141">
        <f t="shared" si="25"/>
        <v>4.2493276270641909</v>
      </c>
      <c r="S85" s="141">
        <f t="shared" si="26"/>
        <v>4.4549121440420967</v>
      </c>
      <c r="T85" s="48">
        <f t="shared" si="27"/>
        <v>22496.755356086698</v>
      </c>
      <c r="U85" s="142">
        <f t="shared" si="32"/>
        <v>528.01040099000068</v>
      </c>
      <c r="V85" s="48">
        <f t="shared" si="28"/>
        <v>17755.284152380798</v>
      </c>
      <c r="W85" s="142">
        <f t="shared" si="29"/>
        <v>528.01040099000068</v>
      </c>
      <c r="X85" s="48">
        <f t="shared" si="30"/>
        <v>28504.415767615374</v>
      </c>
      <c r="Y85" s="142">
        <f t="shared" si="31"/>
        <v>528.01040099000068</v>
      </c>
      <c r="Z85" s="2"/>
      <c r="AA85" s="2"/>
      <c r="AB85" s="2"/>
      <c r="AC85" s="2"/>
      <c r="AD85" s="2"/>
      <c r="AE85" s="2"/>
      <c r="AF85" s="2"/>
      <c r="AG85" s="2"/>
      <c r="AH85" s="2"/>
    </row>
    <row r="86" spans="1:3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41">
        <f t="shared" si="22"/>
        <v>2.724834337995262</v>
      </c>
      <c r="P86" s="185">
        <f t="shared" si="23"/>
        <v>0.10409520313139196</v>
      </c>
      <c r="Q86" s="141">
        <f t="shared" si="24"/>
        <v>4.334895316021715</v>
      </c>
      <c r="R86" s="141">
        <f t="shared" si="25"/>
        <v>4.2308001128903232</v>
      </c>
      <c r="S86" s="141">
        <f t="shared" si="26"/>
        <v>4.4389905191531067</v>
      </c>
      <c r="T86" s="48">
        <f t="shared" si="27"/>
        <v>21621.972767294035</v>
      </c>
      <c r="U86" s="142">
        <f t="shared" si="32"/>
        <v>530.68197652000003</v>
      </c>
      <c r="V86" s="48">
        <f t="shared" si="28"/>
        <v>17013.752581539047</v>
      </c>
      <c r="W86" s="142">
        <f t="shared" si="29"/>
        <v>530.68197652000003</v>
      </c>
      <c r="X86" s="48">
        <f t="shared" si="30"/>
        <v>27478.341659727794</v>
      </c>
      <c r="Y86" s="142">
        <f t="shared" si="31"/>
        <v>530.68197652000003</v>
      </c>
      <c r="Z86" s="2"/>
      <c r="AA86" s="2"/>
      <c r="AB86" s="2"/>
      <c r="AC86" s="2"/>
      <c r="AD86" s="2"/>
      <c r="AE86" s="2"/>
      <c r="AF86" s="2"/>
      <c r="AG86" s="2"/>
      <c r="AH86" s="2"/>
    </row>
    <row r="87" spans="1:3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41">
        <f t="shared" si="22"/>
        <v>2.7270151917687158</v>
      </c>
      <c r="P87" s="185">
        <f t="shared" si="23"/>
        <v>0.10540380732995289</v>
      </c>
      <c r="Q87" s="141">
        <f t="shared" si="24"/>
        <v>4.3177572415952383</v>
      </c>
      <c r="R87" s="141">
        <f t="shared" si="25"/>
        <v>4.2123534342652853</v>
      </c>
      <c r="S87" s="141">
        <f t="shared" si="26"/>
        <v>4.4231610489251914</v>
      </c>
      <c r="T87" s="48">
        <f t="shared" si="27"/>
        <v>20785.345199679883</v>
      </c>
      <c r="U87" s="142">
        <f t="shared" si="32"/>
        <v>533.35355205000064</v>
      </c>
      <c r="V87" s="48">
        <f t="shared" si="28"/>
        <v>16306.225137496092</v>
      </c>
      <c r="W87" s="142">
        <f t="shared" si="29"/>
        <v>533.35355205000064</v>
      </c>
      <c r="X87" s="48">
        <f t="shared" si="30"/>
        <v>26494.824610044365</v>
      </c>
      <c r="Y87" s="142">
        <f t="shared" si="31"/>
        <v>533.35355205000064</v>
      </c>
      <c r="Z87" s="2"/>
      <c r="AA87" s="2"/>
      <c r="AB87" s="2"/>
      <c r="AC87" s="2"/>
      <c r="AD87" s="2"/>
      <c r="AE87" s="2"/>
      <c r="AF87" s="2"/>
      <c r="AG87" s="2"/>
      <c r="AH87" s="2"/>
    </row>
    <row r="88" spans="1:3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41">
        <f t="shared" si="22"/>
        <v>2.7291851488598433</v>
      </c>
      <c r="P88" s="185">
        <f t="shared" si="23"/>
        <v>0.10671750930420217</v>
      </c>
      <c r="Q88" s="141">
        <f t="shared" si="24"/>
        <v>4.3007047979226343</v>
      </c>
      <c r="R88" s="141">
        <f t="shared" si="25"/>
        <v>4.1939872886184322</v>
      </c>
      <c r="S88" s="141">
        <f t="shared" si="26"/>
        <v>4.4074223072268364</v>
      </c>
      <c r="T88" s="48">
        <f t="shared" si="27"/>
        <v>19985.029696117377</v>
      </c>
      <c r="U88" s="142">
        <f t="shared" si="32"/>
        <v>536.02512758000046</v>
      </c>
      <c r="V88" s="48">
        <f t="shared" si="28"/>
        <v>15631.018914832064</v>
      </c>
      <c r="W88" s="142">
        <f t="shared" si="29"/>
        <v>536.02512758000046</v>
      </c>
      <c r="X88" s="48">
        <f t="shared" si="30"/>
        <v>25551.847523881257</v>
      </c>
      <c r="Y88" s="142">
        <f t="shared" si="31"/>
        <v>536.02512758000046</v>
      </c>
      <c r="Z88" s="2"/>
      <c r="AA88" s="2"/>
      <c r="AB88" s="2"/>
      <c r="AC88" s="2"/>
      <c r="AD88" s="2"/>
      <c r="AE88" s="2"/>
      <c r="AF88" s="2"/>
      <c r="AG88" s="2"/>
      <c r="AH88" s="2"/>
    </row>
    <row r="89" spans="1:3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41">
        <f t="shared" si="22"/>
        <v>2.7313443176185075</v>
      </c>
      <c r="P89" s="185">
        <f t="shared" si="23"/>
        <v>0.10803578038974415</v>
      </c>
      <c r="Q89" s="141">
        <f t="shared" si="24"/>
        <v>4.283737133544701</v>
      </c>
      <c r="R89" s="141">
        <f t="shared" si="25"/>
        <v>4.1757013531549569</v>
      </c>
      <c r="S89" s="141">
        <f t="shared" si="26"/>
        <v>4.391772913934445</v>
      </c>
      <c r="T89" s="48">
        <f t="shared" si="27"/>
        <v>19219.280867954581</v>
      </c>
      <c r="U89" s="142">
        <f t="shared" si="32"/>
        <v>538.69670311000039</v>
      </c>
      <c r="V89" s="48">
        <f t="shared" si="28"/>
        <v>14986.539170693151</v>
      </c>
      <c r="W89" s="142">
        <f t="shared" si="29"/>
        <v>538.69670311000039</v>
      </c>
      <c r="X89" s="48">
        <f t="shared" si="30"/>
        <v>24647.502193412671</v>
      </c>
      <c r="Y89" s="142">
        <f t="shared" si="31"/>
        <v>538.69670311000039</v>
      </c>
      <c r="Z89" s="2"/>
      <c r="AA89" s="2"/>
      <c r="AB89" s="2"/>
      <c r="AC89" s="2"/>
      <c r="AD89" s="2"/>
      <c r="AE89" s="2"/>
      <c r="AF89" s="2"/>
      <c r="AG89" s="2"/>
      <c r="AH89" s="2"/>
    </row>
    <row r="90" spans="1:3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41">
        <f t="shared" si="22"/>
        <v>2.7334928047865166</v>
      </c>
      <c r="P90" s="185">
        <f t="shared" si="23"/>
        <v>0.10935812313529335</v>
      </c>
      <c r="Q90" s="141">
        <f t="shared" si="24"/>
        <v>4.2668534096390154</v>
      </c>
      <c r="R90" s="141">
        <f t="shared" si="25"/>
        <v>4.157495286503722</v>
      </c>
      <c r="S90" s="141">
        <f t="shared" si="26"/>
        <v>4.3762115327743087</v>
      </c>
      <c r="T90" s="48">
        <f t="shared" si="27"/>
        <v>18486.445281358439</v>
      </c>
      <c r="U90" s="142">
        <f t="shared" si="32"/>
        <v>541.36827864000031</v>
      </c>
      <c r="V90" s="48">
        <f t="shared" si="28"/>
        <v>14371.274558022993</v>
      </c>
      <c r="W90" s="142">
        <f t="shared" si="29"/>
        <v>541.36827864000031</v>
      </c>
      <c r="X90" s="48">
        <f t="shared" si="30"/>
        <v>23779.982614685563</v>
      </c>
      <c r="Y90" s="142">
        <f t="shared" si="31"/>
        <v>541.36827864000031</v>
      </c>
      <c r="Z90" s="2"/>
      <c r="AA90" s="2"/>
      <c r="AB90" s="2"/>
      <c r="AC90" s="2"/>
      <c r="AD90" s="2"/>
      <c r="AE90" s="2"/>
      <c r="AF90" s="2"/>
      <c r="AG90" s="2"/>
      <c r="AH90" s="2"/>
    </row>
    <row r="91" spans="1:3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41">
        <f t="shared" si="22"/>
        <v>2.7356307155292878</v>
      </c>
      <c r="P91" s="185">
        <f t="shared" si="23"/>
        <v>0.11068406949624331</v>
      </c>
      <c r="Q91" s="141">
        <f t="shared" si="24"/>
        <v>4.250052799771094</v>
      </c>
      <c r="R91" s="141">
        <f t="shared" si="25"/>
        <v>4.1393687302748505</v>
      </c>
      <c r="S91" s="141">
        <f t="shared" si="26"/>
        <v>4.3607368692673374</v>
      </c>
      <c r="T91" s="48">
        <f t="shared" si="27"/>
        <v>17784.95619218377</v>
      </c>
      <c r="U91" s="142">
        <f t="shared" si="32"/>
        <v>544.03985417000001</v>
      </c>
      <c r="V91" s="48">
        <f t="shared" si="28"/>
        <v>13783.792614785048</v>
      </c>
      <c r="W91" s="142">
        <f t="shared" si="29"/>
        <v>544.03985417000001</v>
      </c>
      <c r="X91" s="48">
        <f t="shared" si="30"/>
        <v>22947.578768605003</v>
      </c>
      <c r="Y91" s="142">
        <f t="shared" si="31"/>
        <v>544.03985417000001</v>
      </c>
      <c r="Z91" s="2"/>
      <c r="AA91" s="2"/>
      <c r="AB91" s="2"/>
      <c r="AC91" s="2"/>
      <c r="AD91" s="2"/>
      <c r="AE91" s="2"/>
      <c r="AF91" s="2"/>
      <c r="AG91" s="2"/>
      <c r="AH91" s="2"/>
    </row>
    <row r="92" spans="1:3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41">
        <f t="shared" si="22"/>
        <v>2.7377581534667383</v>
      </c>
      <c r="P92" s="185">
        <f t="shared" si="23"/>
        <v>0.11201317912285266</v>
      </c>
      <c r="Q92" s="141">
        <f t="shared" si="24"/>
        <v>4.2333344896516607</v>
      </c>
      <c r="R92" s="141">
        <f t="shared" si="25"/>
        <v>4.121321310528808</v>
      </c>
      <c r="S92" s="141">
        <f t="shared" si="26"/>
        <v>4.3453476687745134</v>
      </c>
      <c r="T92" s="48">
        <f t="shared" si="27"/>
        <v>17113.32860615983</v>
      </c>
      <c r="U92" s="142">
        <f t="shared" si="32"/>
        <v>546.71142970000039</v>
      </c>
      <c r="V92" s="48">
        <f t="shared" si="28"/>
        <v>13222.735496437672</v>
      </c>
      <c r="W92" s="142">
        <f t="shared" si="29"/>
        <v>546.71142970000039</v>
      </c>
      <c r="X92" s="48">
        <f t="shared" si="30"/>
        <v>22148.670829973809</v>
      </c>
      <c r="Y92" s="142">
        <f t="shared" si="31"/>
        <v>546.71142970000039</v>
      </c>
      <c r="Z92" s="2"/>
      <c r="AA92" s="2"/>
      <c r="AB92" s="2"/>
      <c r="AC92" s="2"/>
      <c r="AD92" s="2"/>
      <c r="AE92" s="2"/>
      <c r="AF92" s="2"/>
      <c r="AG92" s="2"/>
      <c r="AH92" s="2"/>
    </row>
    <row r="93" spans="1:3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41">
        <f t="shared" si="22"/>
        <v>2.7398752207034183</v>
      </c>
      <c r="P93" s="185">
        <f t="shared" si="23"/>
        <v>0.11334503774055874</v>
      </c>
      <c r="Q93" s="141">
        <f t="shared" si="24"/>
        <v>4.2166976768998268</v>
      </c>
      <c r="R93" s="141">
        <f t="shared" si="25"/>
        <v>4.1033526391592678</v>
      </c>
      <c r="S93" s="141">
        <f t="shared" si="26"/>
        <v>4.3300427146403857</v>
      </c>
      <c r="T93" s="48">
        <f t="shared" si="27"/>
        <v>16470.154642834281</v>
      </c>
      <c r="U93" s="142">
        <f t="shared" si="32"/>
        <v>549.38300523000021</v>
      </c>
      <c r="V93" s="48">
        <f t="shared" si="28"/>
        <v>12686.815939421476</v>
      </c>
      <c r="W93" s="142">
        <f t="shared" si="29"/>
        <v>549.38300523000021</v>
      </c>
      <c r="X93" s="48">
        <f t="shared" si="30"/>
        <v>21381.723771681474</v>
      </c>
      <c r="Y93" s="142">
        <f t="shared" si="31"/>
        <v>549.38300523000021</v>
      </c>
      <c r="Z93" s="2"/>
      <c r="AA93" s="2"/>
      <c r="AB93" s="2"/>
      <c r="AC93" s="2"/>
      <c r="AD93" s="2"/>
      <c r="AE93" s="2"/>
      <c r="AF93" s="2"/>
      <c r="AG93" s="2"/>
      <c r="AH93" s="2"/>
    </row>
    <row r="94" spans="1:3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41">
        <f t="shared" si="22"/>
        <v>2.741982017857918</v>
      </c>
      <c r="P94" s="185">
        <f t="shared" si="23"/>
        <v>0.11467925561948669</v>
      </c>
      <c r="Q94" s="141">
        <f t="shared" si="24"/>
        <v>4.2001415708120149</v>
      </c>
      <c r="R94" s="141">
        <f t="shared" si="25"/>
        <v>4.0854623151925278</v>
      </c>
      <c r="S94" s="141">
        <f t="shared" si="26"/>
        <v>4.314820826431502</v>
      </c>
      <c r="T94" s="48">
        <f t="shared" si="27"/>
        <v>15854.09918323929</v>
      </c>
      <c r="U94" s="142">
        <f t="shared" si="32"/>
        <v>552.05458076000014</v>
      </c>
      <c r="V94" s="48">
        <f t="shared" si="28"/>
        <v>12174.813443909978</v>
      </c>
      <c r="W94" s="142">
        <f t="shared" si="29"/>
        <v>552.05458076000014</v>
      </c>
      <c r="X94" s="48">
        <f t="shared" si="30"/>
        <v>20645.282333892232</v>
      </c>
      <c r="Y94" s="142">
        <f t="shared" si="31"/>
        <v>552.05458076000014</v>
      </c>
      <c r="Z94" s="2"/>
      <c r="AA94" s="2"/>
      <c r="AB94" s="2"/>
      <c r="AC94" s="2"/>
      <c r="AD94" s="2"/>
      <c r="AE94" s="2"/>
      <c r="AF94" s="2"/>
      <c r="AG94" s="2"/>
      <c r="AH94" s="2"/>
    </row>
    <row r="95" spans="1:3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41">
        <f t="shared" si="22"/>
        <v>2.7440786440915614</v>
      </c>
      <c r="P95" s="185">
        <f t="shared" si="23"/>
        <v>0.11601546612988382</v>
      </c>
      <c r="Q95" s="141">
        <f t="shared" si="24"/>
        <v>4.1836653921364579</v>
      </c>
      <c r="R95" s="141">
        <f t="shared" si="25"/>
        <v>4.0676499260065739</v>
      </c>
      <c r="S95" s="141">
        <f t="shared" si="26"/>
        <v>4.2996808582663419</v>
      </c>
      <c r="T95" s="48">
        <f t="shared" si="27"/>
        <v>15263.895782654821</v>
      </c>
      <c r="U95" s="142">
        <f t="shared" si="32"/>
        <v>554.72615629000029</v>
      </c>
      <c r="V95" s="48">
        <f t="shared" si="28"/>
        <v>11685.570664558827</v>
      </c>
      <c r="W95" s="142">
        <f t="shared" si="29"/>
        <v>554.72615629000029</v>
      </c>
      <c r="X95" s="48">
        <f t="shared" si="30"/>
        <v>19937.966330593725</v>
      </c>
      <c r="Y95" s="142">
        <f t="shared" si="31"/>
        <v>554.72615629000029</v>
      </c>
      <c r="Z95" s="2"/>
      <c r="AA95" s="2"/>
      <c r="AB95" s="2"/>
      <c r="AC95" s="2"/>
      <c r="AD95" s="2"/>
      <c r="AE95" s="2"/>
      <c r="AF95" s="2"/>
      <c r="AG95" s="2"/>
      <c r="AH95" s="2"/>
    </row>
    <row r="96" spans="1:3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41">
        <f t="shared" si="22"/>
        <v>2.7461651971364134</v>
      </c>
      <c r="P96" s="185">
        <f t="shared" si="23"/>
        <v>0.11735332437999475</v>
      </c>
      <c r="Q96" s="141">
        <f t="shared" si="24"/>
        <v>4.167268372853119</v>
      </c>
      <c r="R96" s="141">
        <f t="shared" si="25"/>
        <v>4.0499150484731246</v>
      </c>
      <c r="S96" s="141">
        <f t="shared" si="26"/>
        <v>4.2846216972331135</v>
      </c>
      <c r="T96" s="48">
        <f t="shared" si="27"/>
        <v>14698.342831149161</v>
      </c>
      <c r="U96" s="142">
        <f t="shared" si="32"/>
        <v>557.39773182000056</v>
      </c>
      <c r="V96" s="48">
        <f t="shared" si="28"/>
        <v>11217.989998464103</v>
      </c>
      <c r="W96" s="142">
        <f t="shared" si="29"/>
        <v>557.39773182000056</v>
      </c>
      <c r="X96" s="48">
        <f t="shared" si="30"/>
        <v>19258.466268161457</v>
      </c>
      <c r="Y96" s="142">
        <f t="shared" si="31"/>
        <v>557.39773182000056</v>
      </c>
      <c r="Z96" s="2"/>
      <c r="AA96" s="2"/>
      <c r="AB96" s="2"/>
      <c r="AC96" s="2"/>
      <c r="AD96" s="2"/>
      <c r="AE96" s="2"/>
      <c r="AF96" s="2"/>
      <c r="AG96" s="2"/>
      <c r="AH96" s="2"/>
    </row>
    <row r="97" spans="1:3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41">
        <f t="shared" si="22"/>
        <v>2.7482417733226137</v>
      </c>
      <c r="P97" s="185">
        <f t="shared" si="23"/>
        <v>0.11869250593274766</v>
      </c>
      <c r="Q97" s="141">
        <f t="shared" si="24"/>
        <v>4.1509497559588802</v>
      </c>
      <c r="R97" s="141">
        <f t="shared" si="25"/>
        <v>4.0322572500261327</v>
      </c>
      <c r="S97" s="141">
        <f t="shared" si="26"/>
        <v>4.2696422618916277</v>
      </c>
      <c r="T97" s="48">
        <f t="shared" si="27"/>
        <v>14156.299945783538</v>
      </c>
      <c r="U97" s="142">
        <f t="shared" si="32"/>
        <v>560.06930735000037</v>
      </c>
      <c r="V97" s="48">
        <f t="shared" si="28"/>
        <v>10771.030360008112</v>
      </c>
      <c r="W97" s="142">
        <f t="shared" si="29"/>
        <v>560.06930735000037</v>
      </c>
      <c r="X97" s="48">
        <f t="shared" si="30"/>
        <v>18605.53925268487</v>
      </c>
      <c r="Y97" s="142">
        <f t="shared" si="31"/>
        <v>560.06930735000037</v>
      </c>
      <c r="Z97" s="2"/>
      <c r="AA97" s="2"/>
      <c r="AB97" s="2"/>
      <c r="AC97" s="2"/>
      <c r="AD97" s="2"/>
      <c r="AE97" s="2"/>
      <c r="AF97" s="2"/>
      <c r="AG97" s="2"/>
      <c r="AH97" s="2"/>
    </row>
    <row r="98" spans="1:3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41">
        <f t="shared" si="22"/>
        <v>2.7503084676050653</v>
      </c>
      <c r="P98" s="185">
        <f t="shared" ref="P98:P102" si="33">SQRT(2*$I$16*$K$24)*SQRT((1/$I$1)+((O98-$I$10)^2/$I$7))</f>
        <v>0.12003270559756046</v>
      </c>
      <c r="Q98" s="141">
        <f t="shared" si="24"/>
        <v>4.134708795257815</v>
      </c>
      <c r="R98" s="141">
        <f t="shared" si="25"/>
        <v>4.0146760896602549</v>
      </c>
      <c r="S98" s="141">
        <f t="shared" si="26"/>
        <v>4.2547415008553751</v>
      </c>
      <c r="T98" s="48">
        <f t="shared" si="27"/>
        <v>13636.684579485778</v>
      </c>
      <c r="U98" s="142">
        <f t="shared" si="32"/>
        <v>562.7408828800003</v>
      </c>
      <c r="V98" s="48">
        <f t="shared" si="28"/>
        <v>10343.704132726843</v>
      </c>
      <c r="W98" s="142">
        <f t="shared" si="29"/>
        <v>562.7408828800003</v>
      </c>
      <c r="X98" s="48">
        <f t="shared" si="30"/>
        <v>17978.005164708989</v>
      </c>
      <c r="Y98" s="142">
        <f t="shared" si="31"/>
        <v>562.7408828800003</v>
      </c>
      <c r="Z98" s="2"/>
      <c r="AA98" s="2"/>
      <c r="AB98" s="2"/>
      <c r="AC98" s="2"/>
      <c r="AD98" s="2"/>
      <c r="AE98" s="2"/>
      <c r="AF98" s="2"/>
      <c r="AG98" s="2"/>
      <c r="AH98" s="2"/>
    </row>
    <row r="99" spans="1:3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41">
        <f t="shared" si="22"/>
        <v>2.7523653735894866</v>
      </c>
      <c r="P99" s="185">
        <f t="shared" si="33"/>
        <v>0.12137363629355215</v>
      </c>
      <c r="Q99" s="141">
        <f t="shared" si="24"/>
        <v>4.1185447551564707</v>
      </c>
      <c r="R99" s="141">
        <f t="shared" si="25"/>
        <v>3.9971711188629184</v>
      </c>
      <c r="S99" s="141">
        <f t="shared" si="26"/>
        <v>4.2399183914500229</v>
      </c>
      <c r="T99" s="48">
        <f t="shared" si="27"/>
        <v>13138.468832635643</v>
      </c>
      <c r="U99" s="142">
        <f t="shared" si="32"/>
        <v>565.41245841000011</v>
      </c>
      <c r="V99" s="48">
        <f t="shared" si="28"/>
        <v>9935.0742887849246</v>
      </c>
      <c r="W99" s="142">
        <f t="shared" si="29"/>
        <v>565.41245841000011</v>
      </c>
      <c r="X99" s="48">
        <f t="shared" si="30"/>
        <v>17374.743081790264</v>
      </c>
      <c r="Y99" s="142">
        <f t="shared" si="31"/>
        <v>565.41245841000011</v>
      </c>
      <c r="Z99" s="2"/>
      <c r="AA99" s="2"/>
      <c r="AB99" s="2"/>
      <c r="AC99" s="2"/>
      <c r="AD99" s="2"/>
      <c r="AE99" s="2"/>
      <c r="AF99" s="2"/>
      <c r="AG99" s="2"/>
      <c r="AH99" s="2"/>
    </row>
    <row r="100" spans="1:3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41">
        <f t="shared" si="22"/>
        <v>2.7544125835578521</v>
      </c>
      <c r="P100" s="185">
        <f t="shared" si="33"/>
        <v>0.12271502798048423</v>
      </c>
      <c r="Q100" s="141">
        <f t="shared" si="24"/>
        <v>4.1024569104639248</v>
      </c>
      <c r="R100" s="141">
        <f t="shared" si="25"/>
        <v>3.9797418824834407</v>
      </c>
      <c r="S100" s="141">
        <f t="shared" si="26"/>
        <v>4.2251719384444089</v>
      </c>
      <c r="T100" s="48">
        <f t="shared" si="27"/>
        <v>12660.676454360437</v>
      </c>
      <c r="U100" s="142">
        <f t="shared" si="32"/>
        <v>568.08403394000027</v>
      </c>
      <c r="V100" s="48">
        <f t="shared" si="28"/>
        <v>9544.2516670754103</v>
      </c>
      <c r="W100" s="142">
        <f t="shared" si="29"/>
        <v>568.08403394000027</v>
      </c>
      <c r="X100" s="48">
        <f t="shared" si="30"/>
        <v>16794.687930846867</v>
      </c>
      <c r="Y100" s="142">
        <f t="shared" si="31"/>
        <v>568.08403394000027</v>
      </c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41">
        <f t="shared" si="22"/>
        <v>2.7564501884932335</v>
      </c>
      <c r="P101" s="185">
        <f t="shared" si="33"/>
        <v>0.12405662665381349</v>
      </c>
      <c r="Q101" s="141">
        <f t="shared" si="24"/>
        <v>4.0864445461965957</v>
      </c>
      <c r="R101" s="141">
        <f t="shared" si="25"/>
        <v>3.962387919542782</v>
      </c>
      <c r="S101" s="141">
        <f t="shared" si="26"/>
        <v>4.2105011728504094</v>
      </c>
      <c r="T101" s="48">
        <f t="shared" si="27"/>
        <v>12202.380021434114</v>
      </c>
      <c r="U101" s="142">
        <f t="shared" si="32"/>
        <v>570.75560947000031</v>
      </c>
      <c r="V101" s="48">
        <f t="shared" si="28"/>
        <v>9170.3924013922988</v>
      </c>
      <c r="W101" s="142">
        <f t="shared" si="29"/>
        <v>570.75560947000031</v>
      </c>
      <c r="X101" s="48">
        <f t="shared" si="30"/>
        <v>16236.827353744196</v>
      </c>
      <c r="Y101" s="142">
        <f t="shared" si="31"/>
        <v>570.75560947000031</v>
      </c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41">
        <f t="shared" si="22"/>
        <v>2.7584782781040653</v>
      </c>
      <c r="P102" s="185">
        <f t="shared" si="33"/>
        <v>0.12539819340033642</v>
      </c>
      <c r="Q102" s="141">
        <f t="shared" si="24"/>
        <v>4.0705069573875328</v>
      </c>
      <c r="R102" s="141">
        <f t="shared" si="25"/>
        <v>3.9451087639871965</v>
      </c>
      <c r="S102" s="141">
        <f t="shared" si="26"/>
        <v>4.1959051507878691</v>
      </c>
      <c r="T102" s="48">
        <f t="shared" si="27"/>
        <v>11762.698283491689</v>
      </c>
      <c r="U102" s="142">
        <f t="shared" si="32"/>
        <v>573.42718500000001</v>
      </c>
      <c r="V102" s="48">
        <f t="shared" si="28"/>
        <v>8812.6954905304774</v>
      </c>
      <c r="W102" s="142">
        <f t="shared" si="29"/>
        <v>573.42718500000001</v>
      </c>
      <c r="X102" s="48">
        <f t="shared" si="30"/>
        <v>15700.198770867773</v>
      </c>
      <c r="Y102" s="142">
        <f t="shared" si="31"/>
        <v>573.42718500000001</v>
      </c>
      <c r="Z102" s="2"/>
      <c r="AA102" s="2"/>
      <c r="AB102" s="2"/>
      <c r="AC102" s="2"/>
      <c r="AD102" s="2"/>
      <c r="AE102" s="2"/>
      <c r="AF102" s="2"/>
      <c r="AG102" s="2"/>
      <c r="AH102" s="2"/>
    </row>
  </sheetData>
  <mergeCells count="3">
    <mergeCell ref="T1:U1"/>
    <mergeCell ref="V1:W1"/>
    <mergeCell ref="X1:Y1"/>
  </mergeCells>
  <pageMargins left="0.75" right="0.75" top="1" bottom="1" header="0.5" footer="0.5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27"/>
  <sheetViews>
    <sheetView showGridLines="0" tabSelected="1" topLeftCell="C1" workbookViewId="0">
      <selection activeCell="W14" sqref="W14"/>
    </sheetView>
  </sheetViews>
  <sheetFormatPr defaultRowHeight="12.75" x14ac:dyDescent="0.2"/>
  <cols>
    <col min="1" max="1" width="9.140625" style="2"/>
    <col min="2" max="2" width="10.42578125" style="2" bestFit="1" customWidth="1"/>
    <col min="3" max="7" width="11.140625" style="2" customWidth="1"/>
    <col min="8" max="8" width="16" style="2" bestFit="1" customWidth="1"/>
    <col min="9" max="9" width="14" style="2" bestFit="1" customWidth="1"/>
    <col min="10" max="10" width="12" style="2" bestFit="1" customWidth="1"/>
    <col min="11" max="11" width="10.85546875" style="2" bestFit="1" customWidth="1"/>
    <col min="12" max="12" width="15.28515625" style="2" bestFit="1" customWidth="1"/>
    <col min="13" max="13" width="14.85546875" style="2" customWidth="1"/>
    <col min="14" max="14" width="14.42578125" style="2" customWidth="1"/>
    <col min="15" max="15" width="13" style="2" customWidth="1"/>
    <col min="16" max="16384" width="9.140625" style="2"/>
  </cols>
  <sheetData>
    <row r="1" spans="1:27" ht="16.5" thickBot="1" x14ac:dyDescent="0.3">
      <c r="O1" s="62" t="s">
        <v>134</v>
      </c>
    </row>
    <row r="2" spans="1:27" ht="4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186" t="s">
        <v>2</v>
      </c>
      <c r="P2" s="187" t="s">
        <v>135</v>
      </c>
      <c r="Q2" s="187" t="s">
        <v>136</v>
      </c>
      <c r="R2" s="187" t="s">
        <v>137</v>
      </c>
      <c r="S2" s="187" t="s">
        <v>138</v>
      </c>
      <c r="T2" s="187" t="s">
        <v>139</v>
      </c>
      <c r="U2" s="187" t="s">
        <v>140</v>
      </c>
      <c r="V2" s="187" t="s">
        <v>141</v>
      </c>
      <c r="W2" s="187" t="s">
        <v>142</v>
      </c>
      <c r="X2" s="187" t="s">
        <v>143</v>
      </c>
      <c r="Y2" s="188" t="s">
        <v>144</v>
      </c>
      <c r="Z2" s="188" t="s">
        <v>108</v>
      </c>
      <c r="AA2" s="189" t="s">
        <v>10</v>
      </c>
    </row>
    <row r="3" spans="1:27" ht="15" x14ac:dyDescent="0.25">
      <c r="A3" s="1"/>
      <c r="B3" s="3" t="str">
        <f>+Results!B7</f>
        <v>Specimen</v>
      </c>
      <c r="C3" s="171" t="str">
        <f>+Results!C7</f>
        <v>Width</v>
      </c>
      <c r="D3" s="171" t="str">
        <f>+Results!D7</f>
        <v>Thickness</v>
      </c>
      <c r="E3" s="171" t="str">
        <f>+Results!E7</f>
        <v>Area</v>
      </c>
      <c r="F3" s="171" t="str">
        <f>+Results!N7</f>
        <v>Ini Emod</v>
      </c>
      <c r="G3" s="171" t="str">
        <f>+Results!O7</f>
        <v>E-mod</v>
      </c>
      <c r="H3" s="171" t="str">
        <f>+Results!R7</f>
        <v>Bending ratio</v>
      </c>
      <c r="I3" s="171" t="str">
        <f>+Results!G7</f>
        <v>Abs Max strain</v>
      </c>
      <c r="J3" s="171" t="str">
        <f>+Results!H7</f>
        <v>Strain Range</v>
      </c>
      <c r="K3" s="171" t="str">
        <f>+Results!I7</f>
        <v>Peak stress</v>
      </c>
      <c r="L3" s="172" t="str">
        <f>+Results!F7</f>
        <v>Cycles to failure</v>
      </c>
      <c r="M3" s="172" t="str">
        <f>+Results!S7</f>
        <v>Comments</v>
      </c>
      <c r="O3" s="190" t="s">
        <v>158</v>
      </c>
      <c r="P3" s="5">
        <v>25.3</v>
      </c>
      <c r="Q3" s="5">
        <v>4.2300000000000004</v>
      </c>
      <c r="R3" s="5">
        <v>0.63724000000000003</v>
      </c>
      <c r="S3" s="191">
        <v>38.228479</v>
      </c>
      <c r="T3" s="191">
        <v>6.9016089432257606E-4</v>
      </c>
      <c r="U3" s="191">
        <v>2.9904310000000001</v>
      </c>
      <c r="V3" s="5">
        <v>0.1</v>
      </c>
      <c r="W3" s="5">
        <v>1.5</v>
      </c>
      <c r="X3" s="203">
        <v>1.35</v>
      </c>
      <c r="Y3" s="192">
        <v>573.42718500000001</v>
      </c>
      <c r="Z3" s="192">
        <v>10766</v>
      </c>
      <c r="AA3" s="192"/>
    </row>
    <row r="4" spans="1:27" ht="15.75" thickBot="1" x14ac:dyDescent="0.3">
      <c r="A4" s="1"/>
      <c r="B4" s="4" t="str">
        <f>+Results!B8</f>
        <v>#</v>
      </c>
      <c r="C4" s="173" t="str">
        <f>+Results!C8</f>
        <v>(mm)</v>
      </c>
      <c r="D4" s="173" t="str">
        <f>+Results!D8</f>
        <v>(mm)</v>
      </c>
      <c r="E4" s="173" t="str">
        <f>+Results!E8</f>
        <v>(mm2)</v>
      </c>
      <c r="F4" s="173" t="str">
        <f>+Results!N8</f>
        <v>(GPa)</v>
      </c>
      <c r="G4" s="173" t="str">
        <f>+Results!O8</f>
        <v>(GPa)</v>
      </c>
      <c r="H4" s="173" t="str">
        <f>+Results!R8</f>
        <v>|E1+E2|/|E1+E2|</v>
      </c>
      <c r="I4" s="173" t="str">
        <f>+Results!G8</f>
        <v>(%)</v>
      </c>
      <c r="J4" s="173" t="str">
        <f>+Results!H8</f>
        <v>(%)</v>
      </c>
      <c r="K4" s="173" t="str">
        <f>+Results!I8</f>
        <v>(MPa)</v>
      </c>
      <c r="L4" s="174"/>
      <c r="M4" s="174"/>
      <c r="O4" s="6" t="s">
        <v>159</v>
      </c>
      <c r="P4" s="7">
        <v>25.29</v>
      </c>
      <c r="Q4" s="7">
        <v>4.3</v>
      </c>
      <c r="R4" s="7">
        <v>0.27484399999999998</v>
      </c>
      <c r="S4" s="175">
        <v>37.924446000000003</v>
      </c>
      <c r="T4" s="175">
        <v>3.3374296968619438E-3</v>
      </c>
      <c r="U4" s="175">
        <v>4</v>
      </c>
      <c r="V4" s="7">
        <v>0.1</v>
      </c>
      <c r="W4" s="7">
        <v>1.1000000000000001</v>
      </c>
      <c r="X4" s="204">
        <v>0.9900000000000001</v>
      </c>
      <c r="Y4" s="176">
        <v>417.16890600000005</v>
      </c>
      <c r="Z4" s="176">
        <v>148187</v>
      </c>
      <c r="AA4" s="176"/>
    </row>
    <row r="5" spans="1:27" ht="15" x14ac:dyDescent="0.25">
      <c r="A5" s="1"/>
      <c r="B5" s="6"/>
      <c r="C5" s="5"/>
      <c r="D5" s="5"/>
      <c r="E5" s="5"/>
      <c r="F5" s="175"/>
      <c r="G5" s="175"/>
      <c r="H5" s="175"/>
      <c r="I5" s="7"/>
      <c r="J5" s="7"/>
      <c r="K5" s="8"/>
      <c r="L5" s="176"/>
      <c r="M5" s="176"/>
      <c r="O5" s="6" t="s">
        <v>160</v>
      </c>
      <c r="P5" s="7">
        <v>25.26</v>
      </c>
      <c r="Q5" s="7">
        <v>4.17</v>
      </c>
      <c r="R5" s="7">
        <v>0.32379400000000003</v>
      </c>
      <c r="S5" s="175">
        <v>38.679304999999999</v>
      </c>
      <c r="T5" s="175">
        <v>3.0161674579978334E-3</v>
      </c>
      <c r="U5" s="175">
        <v>5</v>
      </c>
      <c r="V5" s="7">
        <v>0.1</v>
      </c>
      <c r="W5" s="7">
        <v>0.9</v>
      </c>
      <c r="X5" s="204">
        <v>0.81</v>
      </c>
      <c r="Y5" s="176">
        <v>348.11374499999999</v>
      </c>
      <c r="Z5" s="176">
        <v>581856</v>
      </c>
      <c r="AA5" s="176"/>
    </row>
    <row r="6" spans="1:27" ht="15" x14ac:dyDescent="0.25">
      <c r="A6" s="1"/>
      <c r="B6" s="6" t="str">
        <f>+Results!B11</f>
        <v>EQA01-03</v>
      </c>
      <c r="C6" s="7">
        <f>+Results!C11</f>
        <v>25.3</v>
      </c>
      <c r="D6" s="7">
        <f>+Results!D11</f>
        <v>4.2300000000000004</v>
      </c>
      <c r="E6" s="7">
        <f>+Results!E11</f>
        <v>107.01900000000002</v>
      </c>
      <c r="F6" s="175">
        <f>+Results!N11</f>
        <v>37.984872000000003</v>
      </c>
      <c r="G6" s="175">
        <f>+Results!O11</f>
        <v>38.228479</v>
      </c>
      <c r="H6" s="175">
        <f>+Results!R11</f>
        <v>6.9016089432257606E-4</v>
      </c>
      <c r="I6" s="7">
        <f>+Results!G11</f>
        <v>1.5</v>
      </c>
      <c r="J6" s="204">
        <f>+Results!H11</f>
        <v>1.35</v>
      </c>
      <c r="K6" s="8">
        <f>+Results!I11</f>
        <v>573.42718500000001</v>
      </c>
      <c r="L6" s="176">
        <f>+Results!F11</f>
        <v>10766</v>
      </c>
      <c r="M6" s="176" t="str">
        <f>+Plan!M11</f>
        <v>34 C at 3 Hz</v>
      </c>
      <c r="O6" s="6" t="s">
        <v>161</v>
      </c>
      <c r="P6" s="7">
        <v>25.28</v>
      </c>
      <c r="Q6" s="7">
        <v>4.26</v>
      </c>
      <c r="R6" s="7">
        <v>-0.35621199999999997</v>
      </c>
      <c r="S6" s="175">
        <v>37.686881999999997</v>
      </c>
      <c r="T6" s="175">
        <v>1.1299502705673635E-2</v>
      </c>
      <c r="U6" s="175">
        <v>4</v>
      </c>
      <c r="V6" s="7">
        <v>0.1</v>
      </c>
      <c r="W6" s="7">
        <v>1</v>
      </c>
      <c r="X6" s="204">
        <v>0.9</v>
      </c>
      <c r="Y6" s="176">
        <v>376.86881999999997</v>
      </c>
      <c r="Z6" s="176">
        <v>290916</v>
      </c>
      <c r="AA6" s="176"/>
    </row>
    <row r="7" spans="1:27" ht="15" x14ac:dyDescent="0.25">
      <c r="A7" s="1"/>
      <c r="B7" s="6" t="str">
        <f>+Results!B12</f>
        <v>EQA01-04</v>
      </c>
      <c r="C7" s="7">
        <f>+Results!C12</f>
        <v>25.29</v>
      </c>
      <c r="D7" s="7">
        <f>+Results!D12</f>
        <v>4.3</v>
      </c>
      <c r="E7" s="7">
        <f>+Results!E12</f>
        <v>108.74699999999999</v>
      </c>
      <c r="F7" s="175">
        <f>+Results!N12</f>
        <v>37.820213000000003</v>
      </c>
      <c r="G7" s="175">
        <f>+Results!O12</f>
        <v>37.924446000000003</v>
      </c>
      <c r="H7" s="175">
        <f>+Results!R12</f>
        <v>3.3374296968619438E-3</v>
      </c>
      <c r="I7" s="7">
        <f>+Results!G12</f>
        <v>1.1000000000000001</v>
      </c>
      <c r="J7" s="204">
        <f>+Results!H12</f>
        <v>0.9900000000000001</v>
      </c>
      <c r="K7" s="8">
        <f>+Results!I12</f>
        <v>417.16890599999999</v>
      </c>
      <c r="L7" s="176">
        <f>+Results!F12</f>
        <v>148187</v>
      </c>
      <c r="M7" s="176" t="str">
        <f>+Plan!M12</f>
        <v>32 C at 4 Hz</v>
      </c>
      <c r="O7" s="6" t="s">
        <v>162</v>
      </c>
      <c r="P7" s="7">
        <v>25.41</v>
      </c>
      <c r="Q7" s="7">
        <v>4.17</v>
      </c>
      <c r="R7" s="7">
        <v>0.12668099999999999</v>
      </c>
      <c r="S7" s="175">
        <v>39.419820999999999</v>
      </c>
      <c r="T7" s="175">
        <v>2.6825770562052858E-2</v>
      </c>
      <c r="U7" s="175">
        <v>2.9904310000000001</v>
      </c>
      <c r="V7" s="7">
        <v>0.1</v>
      </c>
      <c r="W7" s="7">
        <v>1.3</v>
      </c>
      <c r="X7" s="204">
        <v>1.17</v>
      </c>
      <c r="Y7" s="176">
        <v>512.457673</v>
      </c>
      <c r="Z7" s="176">
        <v>35032</v>
      </c>
      <c r="AA7" s="176"/>
    </row>
    <row r="8" spans="1:27" ht="15" x14ac:dyDescent="0.25">
      <c r="A8" s="1"/>
      <c r="B8" s="6" t="str">
        <f>+Results!B13</f>
        <v>EQA01-05</v>
      </c>
      <c r="C8" s="7">
        <f>+Results!C13</f>
        <v>25.26</v>
      </c>
      <c r="D8" s="7">
        <f>+Results!D13</f>
        <v>4.17</v>
      </c>
      <c r="E8" s="7">
        <f>+Results!E13</f>
        <v>105.33420000000001</v>
      </c>
      <c r="F8" s="175">
        <f>+Results!N13</f>
        <v>0</v>
      </c>
      <c r="G8" s="175">
        <f>+Results!O13</f>
        <v>38.679304999999999</v>
      </c>
      <c r="H8" s="175" t="e">
        <f>+Results!R13</f>
        <v>#DIV/0!</v>
      </c>
      <c r="I8" s="7">
        <f>+Results!G13</f>
        <v>0.9</v>
      </c>
      <c r="J8" s="204">
        <f>+Results!H13</f>
        <v>0.81</v>
      </c>
      <c r="K8" s="8">
        <f>+Results!I13</f>
        <v>348.11374500000005</v>
      </c>
      <c r="L8" s="176">
        <f>+Results!F13</f>
        <v>581856</v>
      </c>
      <c r="M8" s="176">
        <f>+Plan!M13</f>
        <v>0</v>
      </c>
      <c r="O8" s="6" t="s">
        <v>163</v>
      </c>
      <c r="P8" s="7">
        <v>25.38</v>
      </c>
      <c r="Q8" s="7">
        <v>4.16</v>
      </c>
      <c r="R8" s="7">
        <v>6.0162E-2</v>
      </c>
      <c r="S8" s="175">
        <v>38.283704</v>
      </c>
      <c r="T8" s="175">
        <v>2.861278534912988E-4</v>
      </c>
      <c r="U8" s="175">
        <v>5</v>
      </c>
      <c r="V8" s="7">
        <v>0.1</v>
      </c>
      <c r="W8" s="7">
        <v>0.8</v>
      </c>
      <c r="X8" s="204">
        <v>0.72</v>
      </c>
      <c r="Y8" s="176">
        <v>306.269632</v>
      </c>
      <c r="Z8" s="176">
        <v>2000000</v>
      </c>
      <c r="AA8" s="176" t="s">
        <v>166</v>
      </c>
    </row>
    <row r="9" spans="1:27" ht="15" x14ac:dyDescent="0.25">
      <c r="A9" s="1"/>
      <c r="B9" s="6" t="str">
        <f>+Results!B14</f>
        <v>EQA01-06</v>
      </c>
      <c r="C9" s="7">
        <f>+Results!C14</f>
        <v>25.28</v>
      </c>
      <c r="D9" s="7">
        <f>+Results!D14</f>
        <v>4.26</v>
      </c>
      <c r="E9" s="7">
        <f>+Results!E14</f>
        <v>107.69280000000001</v>
      </c>
      <c r="F9" s="175">
        <f>+Results!N14</f>
        <v>0</v>
      </c>
      <c r="G9" s="175">
        <f>+Results!O14</f>
        <v>37.686881999999997</v>
      </c>
      <c r="H9" s="175" t="e">
        <f>+Results!R14</f>
        <v>#DIV/0!</v>
      </c>
      <c r="I9" s="7">
        <f>+Results!G14</f>
        <v>1</v>
      </c>
      <c r="J9" s="204">
        <f>+Results!H14</f>
        <v>0.9</v>
      </c>
      <c r="K9" s="8">
        <f>+Results!I14</f>
        <v>376.86881999999997</v>
      </c>
      <c r="L9" s="176">
        <f>+Results!F14</f>
        <v>290916</v>
      </c>
      <c r="M9" s="176" t="str">
        <f>+Plan!M14</f>
        <v>Vent from 5 to 4 hz becasue of amplitude control</v>
      </c>
      <c r="O9" s="6" t="s">
        <v>164</v>
      </c>
      <c r="P9" s="7">
        <v>25.41</v>
      </c>
      <c r="Q9" s="7">
        <v>4.21</v>
      </c>
      <c r="R9" s="7">
        <v>-2.236135</v>
      </c>
      <c r="S9" s="175">
        <v>38.928004000000001</v>
      </c>
      <c r="T9" s="175">
        <v>1.560975647340636E-2</v>
      </c>
      <c r="U9" s="175">
        <v>2.9904310000000001</v>
      </c>
      <c r="V9" s="7">
        <v>0.1</v>
      </c>
      <c r="W9" s="7">
        <v>1.2</v>
      </c>
      <c r="X9" s="204">
        <v>1.08</v>
      </c>
      <c r="Y9" s="176">
        <v>467.13604799999996</v>
      </c>
      <c r="Z9" s="176">
        <v>53299</v>
      </c>
      <c r="AA9" s="176"/>
    </row>
    <row r="10" spans="1:27" ht="15" x14ac:dyDescent="0.25">
      <c r="A10" s="1"/>
      <c r="B10" s="6" t="str">
        <f>+Results!B17</f>
        <v>EQA01-09</v>
      </c>
      <c r="C10" s="7">
        <f>+Results!C17</f>
        <v>25.41</v>
      </c>
      <c r="D10" s="7">
        <f>+Results!D17</f>
        <v>4.17</v>
      </c>
      <c r="E10" s="7">
        <f>+Results!E17</f>
        <v>105.9597</v>
      </c>
      <c r="F10" s="175">
        <f>+Results!N17</f>
        <v>0</v>
      </c>
      <c r="G10" s="175">
        <f>+Results!O17</f>
        <v>39.419820999999999</v>
      </c>
      <c r="H10" s="175" t="e">
        <f>+Results!R17</f>
        <v>#DIV/0!</v>
      </c>
      <c r="I10" s="7">
        <f>+Results!G17</f>
        <v>1.3</v>
      </c>
      <c r="J10" s="204">
        <f>+Results!H17</f>
        <v>1.1700000000000002</v>
      </c>
      <c r="K10" s="8">
        <f>+Results!I17</f>
        <v>512.45767299999989</v>
      </c>
      <c r="L10" s="176">
        <f>+Results!F17</f>
        <v>35032</v>
      </c>
      <c r="M10" s="176" t="str">
        <f>+Plan!M17</f>
        <v>33 C at 3 Hz</v>
      </c>
      <c r="O10" s="6" t="s">
        <v>165</v>
      </c>
      <c r="P10" s="7">
        <v>25.34</v>
      </c>
      <c r="Q10" s="7">
        <v>4.25</v>
      </c>
      <c r="R10" s="7">
        <v>-0.41699000000000003</v>
      </c>
      <c r="S10" s="175">
        <v>37.165168000000001</v>
      </c>
      <c r="T10" s="175">
        <v>4.9221139183136149E-3</v>
      </c>
      <c r="U10" s="175">
        <v>5</v>
      </c>
      <c r="V10" s="7">
        <v>0.1</v>
      </c>
      <c r="W10" s="7">
        <v>0.85</v>
      </c>
      <c r="X10" s="204">
        <v>0.76500000000000001</v>
      </c>
      <c r="Y10" s="176">
        <v>315.90392800000001</v>
      </c>
      <c r="Z10" s="176">
        <v>1350848</v>
      </c>
      <c r="AA10" s="176"/>
    </row>
    <row r="11" spans="1:27" ht="15" x14ac:dyDescent="0.25">
      <c r="A11" s="1"/>
      <c r="B11" s="6" t="str">
        <f>+Results!B18</f>
        <v>EQA01-10</v>
      </c>
      <c r="C11" s="7">
        <f>+Results!C18</f>
        <v>25.38</v>
      </c>
      <c r="D11" s="7">
        <f>+Results!D18</f>
        <v>4.16</v>
      </c>
      <c r="E11" s="7">
        <f>+Results!E18</f>
        <v>105.5808</v>
      </c>
      <c r="F11" s="175">
        <f>+Results!N18</f>
        <v>0</v>
      </c>
      <c r="G11" s="175">
        <f>+Results!O18</f>
        <v>38.283704</v>
      </c>
      <c r="H11" s="175" t="e">
        <f>+Results!R18</f>
        <v>#DIV/0!</v>
      </c>
      <c r="I11" s="7">
        <f>+Results!G18</f>
        <v>0.8</v>
      </c>
      <c r="J11" s="204">
        <f>+Results!H18</f>
        <v>0.72000000000000008</v>
      </c>
      <c r="K11" s="8">
        <f>+Results!I18</f>
        <v>306.26963199999994</v>
      </c>
      <c r="L11" s="176">
        <f>+Results!F18</f>
        <v>2000000</v>
      </c>
      <c r="M11" s="176">
        <f>+Plan!M20</f>
        <v>0</v>
      </c>
      <c r="V11" s="193" t="s">
        <v>145</v>
      </c>
      <c r="W11" s="194">
        <v>293312.95849169884</v>
      </c>
      <c r="X11" s="194">
        <v>122524.25183363953</v>
      </c>
      <c r="Y11" s="195">
        <v>5.5949970792048259E+25</v>
      </c>
    </row>
    <row r="12" spans="1:27" ht="15.75" thickBot="1" x14ac:dyDescent="0.3">
      <c r="A12" s="1"/>
      <c r="B12" s="6" t="str">
        <f>+Results!B19</f>
        <v>EQA01-11</v>
      </c>
      <c r="C12" s="7">
        <f>+Results!C19</f>
        <v>25.41</v>
      </c>
      <c r="D12" s="7">
        <f>+Results!D19</f>
        <v>4.21</v>
      </c>
      <c r="E12" s="7">
        <f>+Results!E19</f>
        <v>106.9761</v>
      </c>
      <c r="F12" s="175">
        <f>+Results!N19</f>
        <v>0</v>
      </c>
      <c r="G12" s="175">
        <f>+Results!O19</f>
        <v>38.928004000000001</v>
      </c>
      <c r="H12" s="175" t="e">
        <f>+Results!R19</f>
        <v>#DIV/0!</v>
      </c>
      <c r="I12" s="7">
        <f>+Results!G19</f>
        <v>1.2</v>
      </c>
      <c r="J12" s="204">
        <f>+Results!H19</f>
        <v>1.08</v>
      </c>
      <c r="K12" s="8">
        <f>+Results!I19</f>
        <v>467.13604800000002</v>
      </c>
      <c r="L12" s="176">
        <f>+Results!F19</f>
        <v>53299</v>
      </c>
      <c r="M12" s="176">
        <f>+Plan!M21</f>
        <v>0</v>
      </c>
      <c r="V12" s="196" t="s">
        <v>146</v>
      </c>
      <c r="W12" s="197">
        <v>8.2851831799745934</v>
      </c>
      <c r="X12" s="197">
        <v>8.2851831799745863</v>
      </c>
      <c r="Y12" s="198">
        <v>7.8584243634712259</v>
      </c>
    </row>
    <row r="13" spans="1:27" ht="15" x14ac:dyDescent="0.25">
      <c r="A13" s="1"/>
      <c r="B13" s="6" t="str">
        <f>+Results!B20</f>
        <v>EQA01-12</v>
      </c>
      <c r="C13" s="7">
        <f>+Results!C20</f>
        <v>25.34</v>
      </c>
      <c r="D13" s="7">
        <f>+Results!D20</f>
        <v>4.25</v>
      </c>
      <c r="E13" s="7">
        <f>+Results!E20</f>
        <v>107.69499999999999</v>
      </c>
      <c r="F13" s="175">
        <f>+Results!N20</f>
        <v>0</v>
      </c>
      <c r="G13" s="175">
        <f>+Results!O20</f>
        <v>37.165168000000001</v>
      </c>
      <c r="H13" s="175" t="e">
        <f>+Results!R20</f>
        <v>#DIV/0!</v>
      </c>
      <c r="I13" s="7">
        <f>+Results!G20</f>
        <v>0.85</v>
      </c>
      <c r="J13" s="204">
        <f>+Results!H20</f>
        <v>0.76500000000000001</v>
      </c>
      <c r="K13" s="8">
        <f>+Results!I20</f>
        <v>315.90392800000001</v>
      </c>
      <c r="L13" s="176">
        <f>+Results!F20</f>
        <v>1350848</v>
      </c>
      <c r="M13" s="176">
        <f>+Plan!M22</f>
        <v>0</v>
      </c>
      <c r="W13" s="2" t="str">
        <f>'ASTM E739 stat (Max Strain)'!J14</f>
        <v>(X=293313.0Y^-8.29)</v>
      </c>
    </row>
    <row r="14" spans="1:27" ht="15" x14ac:dyDescent="0.25">
      <c r="A14" s="1"/>
      <c r="X14" s="2" t="str">
        <f>'ASTM E739 stat (Strain Range)'!J14</f>
        <v>(X=122524.3Y^-8.29)</v>
      </c>
    </row>
    <row r="15" spans="1:27" ht="15" x14ac:dyDescent="0.25">
      <c r="A15" s="1"/>
      <c r="Y15" s="2" t="str">
        <f>'ASTM E739 stat (Max Stress)'!J14</f>
        <v>(X=5.59E+25Y^-7.86)</v>
      </c>
    </row>
    <row r="18" spans="15:27" ht="15" x14ac:dyDescent="0.25">
      <c r="O18" s="202" t="s">
        <v>158</v>
      </c>
      <c r="P18" s="202">
        <v>25.3</v>
      </c>
      <c r="Q18" s="202">
        <v>4.2300000000000004</v>
      </c>
      <c r="R18" s="202">
        <v>0.63724000000000003</v>
      </c>
      <c r="S18" s="202">
        <v>38.228479</v>
      </c>
      <c r="T18" s="202">
        <v>6.9016089432257606E-4</v>
      </c>
      <c r="U18" s="202">
        <v>2.9904310000000001</v>
      </c>
      <c r="V18" s="202">
        <v>0.1</v>
      </c>
      <c r="W18" s="202">
        <v>1.5</v>
      </c>
      <c r="X18" s="202">
        <v>1.35</v>
      </c>
      <c r="Y18" s="202">
        <v>573.42718500000001</v>
      </c>
      <c r="Z18" s="202">
        <v>10766</v>
      </c>
      <c r="AA18" s="202"/>
    </row>
    <row r="19" spans="15:27" ht="15" x14ac:dyDescent="0.25">
      <c r="O19" s="202" t="s">
        <v>159</v>
      </c>
      <c r="P19" s="202">
        <v>25.29</v>
      </c>
      <c r="Q19" s="202">
        <v>4.3</v>
      </c>
      <c r="R19" s="202">
        <v>0.27484399999999998</v>
      </c>
      <c r="S19" s="202">
        <v>37.924446000000003</v>
      </c>
      <c r="T19" s="202">
        <v>3.3374296968619438E-3</v>
      </c>
      <c r="U19" s="202">
        <v>4</v>
      </c>
      <c r="V19" s="202">
        <v>0.1</v>
      </c>
      <c r="W19" s="202">
        <v>1.1000000000000001</v>
      </c>
      <c r="X19" s="202">
        <v>0.9900000000000001</v>
      </c>
      <c r="Y19" s="202">
        <v>417.16890600000005</v>
      </c>
      <c r="Z19" s="202">
        <v>148187</v>
      </c>
      <c r="AA19" s="202"/>
    </row>
    <row r="20" spans="15:27" ht="15" x14ac:dyDescent="0.25">
      <c r="O20" s="202" t="s">
        <v>160</v>
      </c>
      <c r="P20" s="202">
        <v>25.26</v>
      </c>
      <c r="Q20" s="202">
        <v>4.17</v>
      </c>
      <c r="R20" s="202">
        <v>0.32379400000000003</v>
      </c>
      <c r="S20" s="202">
        <v>38.679304999999999</v>
      </c>
      <c r="T20" s="202">
        <v>3.0161674579978334E-3</v>
      </c>
      <c r="U20" s="202">
        <v>5</v>
      </c>
      <c r="V20" s="202">
        <v>0.1</v>
      </c>
      <c r="W20" s="202">
        <v>0.9</v>
      </c>
      <c r="X20" s="202">
        <v>0.81</v>
      </c>
      <c r="Y20" s="202">
        <v>348.11374499999999</v>
      </c>
      <c r="Z20" s="202">
        <v>581856</v>
      </c>
      <c r="AA20" s="202"/>
    </row>
    <row r="21" spans="15:27" ht="15" x14ac:dyDescent="0.25">
      <c r="O21" s="202" t="s">
        <v>161</v>
      </c>
      <c r="P21" s="202">
        <v>25.28</v>
      </c>
      <c r="Q21" s="202">
        <v>4.26</v>
      </c>
      <c r="R21" s="202">
        <v>-0.35621199999999997</v>
      </c>
      <c r="S21" s="202">
        <v>37.686881999999997</v>
      </c>
      <c r="T21" s="202">
        <v>1.1299502705673635E-2</v>
      </c>
      <c r="U21" s="202">
        <v>4</v>
      </c>
      <c r="V21" s="202">
        <v>0.1</v>
      </c>
      <c r="W21" s="202">
        <v>1</v>
      </c>
      <c r="X21" s="202">
        <v>0.9</v>
      </c>
      <c r="Y21" s="202">
        <v>376.86881999999997</v>
      </c>
      <c r="Z21" s="202">
        <v>290916</v>
      </c>
      <c r="AA21" s="202"/>
    </row>
    <row r="22" spans="15:27" ht="15" x14ac:dyDescent="0.25">
      <c r="O22" s="202" t="s">
        <v>162</v>
      </c>
      <c r="P22" s="202">
        <v>25.41</v>
      </c>
      <c r="Q22" s="202">
        <v>4.17</v>
      </c>
      <c r="R22" s="202">
        <v>0.12668099999999999</v>
      </c>
      <c r="S22" s="202">
        <v>39.419820999999999</v>
      </c>
      <c r="T22" s="202">
        <v>2.6825770562052858E-2</v>
      </c>
      <c r="U22" s="202">
        <v>2.9904310000000001</v>
      </c>
      <c r="V22" s="202">
        <v>0.1</v>
      </c>
      <c r="W22" s="202">
        <v>1.3</v>
      </c>
      <c r="X22" s="202">
        <v>1.17</v>
      </c>
      <c r="Y22" s="202">
        <v>512.457673</v>
      </c>
      <c r="Z22" s="202">
        <v>35032</v>
      </c>
      <c r="AA22" s="202"/>
    </row>
    <row r="23" spans="15:27" ht="15" x14ac:dyDescent="0.25">
      <c r="O23" s="202" t="s">
        <v>163</v>
      </c>
      <c r="P23" s="202">
        <v>25.38</v>
      </c>
      <c r="Q23" s="202">
        <v>4.16</v>
      </c>
      <c r="R23" s="202">
        <v>6.0162E-2</v>
      </c>
      <c r="S23" s="202">
        <v>38.283704</v>
      </c>
      <c r="T23" s="202">
        <v>2.861278534912988E-4</v>
      </c>
      <c r="U23" s="202">
        <v>5</v>
      </c>
      <c r="V23" s="202">
        <v>0.1</v>
      </c>
      <c r="W23" s="202">
        <v>0.8</v>
      </c>
      <c r="X23" s="202">
        <v>0.72</v>
      </c>
      <c r="Y23" s="202">
        <v>306.269632</v>
      </c>
      <c r="Z23" s="202">
        <v>2000000</v>
      </c>
      <c r="AA23" s="202" t="s">
        <v>166</v>
      </c>
    </row>
    <row r="24" spans="15:27" ht="15" x14ac:dyDescent="0.25">
      <c r="O24" s="202" t="s">
        <v>164</v>
      </c>
      <c r="P24" s="202">
        <v>25.41</v>
      </c>
      <c r="Q24" s="202">
        <v>4.21</v>
      </c>
      <c r="R24" s="202">
        <v>-2.236135</v>
      </c>
      <c r="S24" s="202">
        <v>38.928004000000001</v>
      </c>
      <c r="T24" s="202">
        <v>1.560975647340636E-2</v>
      </c>
      <c r="U24" s="202">
        <v>2.9904310000000001</v>
      </c>
      <c r="V24" s="202">
        <v>0.1</v>
      </c>
      <c r="W24" s="202">
        <v>1.2</v>
      </c>
      <c r="X24" s="202">
        <v>1.08</v>
      </c>
      <c r="Y24" s="202">
        <v>467.13604799999996</v>
      </c>
      <c r="Z24" s="202">
        <v>53299</v>
      </c>
      <c r="AA24" s="202"/>
    </row>
    <row r="25" spans="15:27" ht="15" x14ac:dyDescent="0.25">
      <c r="O25" s="202" t="s">
        <v>165</v>
      </c>
      <c r="P25" s="202">
        <v>25.34</v>
      </c>
      <c r="Q25" s="202">
        <v>4.25</v>
      </c>
      <c r="R25" s="202">
        <v>-0.41699000000000003</v>
      </c>
      <c r="S25" s="202">
        <v>37.165168000000001</v>
      </c>
      <c r="T25" s="202">
        <v>4.9221139183136149E-3</v>
      </c>
      <c r="U25" s="202">
        <v>5</v>
      </c>
      <c r="V25" s="202">
        <v>0.1</v>
      </c>
      <c r="W25" s="202">
        <v>0.85</v>
      </c>
      <c r="X25" s="202">
        <v>0.76500000000000001</v>
      </c>
      <c r="Y25" s="202">
        <v>315.90392800000001</v>
      </c>
      <c r="Z25" s="202">
        <v>1350848</v>
      </c>
      <c r="AA25" s="202"/>
    </row>
    <row r="26" spans="15:27" ht="15" x14ac:dyDescent="0.25">
      <c r="O26" s="202"/>
      <c r="P26" s="202"/>
      <c r="Q26" s="202"/>
      <c r="R26" s="202"/>
      <c r="S26" s="202"/>
      <c r="T26" s="202"/>
      <c r="U26" s="202"/>
      <c r="V26" s="202" t="s">
        <v>145</v>
      </c>
      <c r="W26" s="202">
        <v>293312.95849169884</v>
      </c>
      <c r="X26" s="202">
        <v>122524.25183363953</v>
      </c>
      <c r="Y26" s="202">
        <v>5.5949970792048259E+25</v>
      </c>
      <c r="Z26" s="202"/>
      <c r="AA26" s="202"/>
    </row>
    <row r="27" spans="15:27" ht="15" x14ac:dyDescent="0.25">
      <c r="O27" s="202"/>
      <c r="P27" s="202"/>
      <c r="Q27" s="202"/>
      <c r="R27" s="202"/>
      <c r="S27" s="202"/>
      <c r="T27" s="202"/>
      <c r="U27" s="202"/>
      <c r="V27" s="202" t="s">
        <v>146</v>
      </c>
      <c r="W27" s="202">
        <v>8.2851831799745934</v>
      </c>
      <c r="X27" s="202">
        <v>8.2851831799745863</v>
      </c>
      <c r="Y27" s="202">
        <v>7.8584243634712259</v>
      </c>
      <c r="Z27" s="202"/>
      <c r="AA27" s="202"/>
    </row>
  </sheetData>
  <pageMargins left="0.32" right="0.22" top="1" bottom="1" header="0.5" footer="0.5"/>
  <pageSetup paperSize="9" scale="91" orientation="landscape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3</vt:i4>
      </vt:variant>
    </vt:vector>
  </HeadingPairs>
  <TitlesOfParts>
    <vt:vector size="9" baseType="lpstr">
      <vt:lpstr>Plan</vt:lpstr>
      <vt:lpstr>Results</vt:lpstr>
      <vt:lpstr>ASTM E739 stat (Max Strain)</vt:lpstr>
      <vt:lpstr>ASTM E739 stat (Strain Range)</vt:lpstr>
      <vt:lpstr>ASTM E739 stat (Max Stress)</vt:lpstr>
      <vt:lpstr>Report Tables</vt:lpstr>
      <vt:lpstr>Max Strain based</vt:lpstr>
      <vt:lpstr>Strain Range based</vt:lpstr>
      <vt:lpstr>Max Stress based</vt:lpstr>
    </vt:vector>
  </TitlesOfParts>
  <Company>Risø National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PC-03402</dc:creator>
  <cp:lastModifiedBy>Lars Pilgaard Mikkelsen</cp:lastModifiedBy>
  <cp:lastPrinted>2015-08-07T11:37:36Z</cp:lastPrinted>
  <dcterms:created xsi:type="dcterms:W3CDTF">2001-10-01T05:54:03Z</dcterms:created>
  <dcterms:modified xsi:type="dcterms:W3CDTF">2025-06-14T22:23:39Z</dcterms:modified>
</cp:coreProperties>
</file>