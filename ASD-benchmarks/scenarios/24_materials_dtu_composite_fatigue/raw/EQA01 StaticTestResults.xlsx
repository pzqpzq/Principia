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05" windowWidth="18195" windowHeight="13095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D4" i="1" l="1"/>
  <c r="E4" i="1"/>
  <c r="F4" i="1"/>
  <c r="G4" i="1"/>
  <c r="D5" i="1"/>
  <c r="E5" i="1"/>
  <c r="F5" i="1"/>
  <c r="G5" i="1"/>
  <c r="G6" i="1" s="1"/>
  <c r="D6" i="1"/>
  <c r="E6" i="1"/>
  <c r="F6" i="1"/>
</calcChain>
</file>

<file path=xl/sharedStrings.xml><?xml version="1.0" encoding="utf-8"?>
<sst xmlns="http://schemas.openxmlformats.org/spreadsheetml/2006/main" count="14" uniqueCount="14">
  <si>
    <t>Specimen</t>
  </si>
  <si>
    <t>Width 
 [mm]</t>
  </si>
  <si>
    <t>Thickness 
 [mm]</t>
  </si>
  <si>
    <t>E-modulus 
 [GPa]</t>
  </si>
  <si>
    <t>Max stress 
 [MPa]</t>
  </si>
  <si>
    <t>Linear strain 
 [%]</t>
  </si>
  <si>
    <t>Uniform strain 
 [%]</t>
  </si>
  <si>
    <t>Estimated strain 
 [%]</t>
  </si>
  <si>
    <t>Comments</t>
  </si>
  <si>
    <t>EAQ01-01</t>
  </si>
  <si>
    <t>EAQ01-02</t>
  </si>
  <si>
    <t>Average</t>
  </si>
  <si>
    <t>Std dev.</t>
  </si>
  <si>
    <t>CV [%]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</si>
</sst>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tabSelected="1" workbookViewId="0">
      <selection activeCell="D4" sqref="D4:G6"/>
    </sheetView>
  </sheetViews>
  <sheetFormatPr defaultRowHeight="15" x14ac:dyDescent="0.25"/>
  <sheetData>
    <row r="1" spans="1:9" ht="45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</row>
    <row r="2" spans="1:9" x14ac:dyDescent="0.25">
      <c r="A2" t="s">
        <v>9</v>
      </c>
      <c r="B2">
        <v>25.24</v>
      </c>
      <c r="C2">
        <v>4.25</v>
      </c>
      <c r="D2">
        <v>37.583586805648835</v>
      </c>
      <c r="E2">
        <v>999.72019203878074</v>
      </c>
      <c r="F2">
        <v>2.6599914404351694</v>
      </c>
      <c r="G2">
        <v>3.2508514716121568</v>
      </c>
      <c r="H2">
        <v>1.4745824942377697</v>
      </c>
    </row>
    <row r="3" spans="1:9" x14ac:dyDescent="0.25">
      <c r="A3" t="s">
        <v>10</v>
      </c>
      <c r="B3">
        <v>25.29</v>
      </c>
      <c r="C3">
        <v>4.34</v>
      </c>
      <c r="D3">
        <v>37.697700336408595</v>
      </c>
      <c r="E3">
        <v>1014.0482476999526</v>
      </c>
      <c r="F3">
        <v>2.6899472345812585</v>
      </c>
      <c r="G3">
        <v>3.3357495750319255</v>
      </c>
      <c r="H3">
        <v>1.4963264492342814</v>
      </c>
    </row>
    <row r="4" spans="1:9" x14ac:dyDescent="0.25">
      <c r="A4" t="s">
        <v>11</v>
      </c>
      <c r="D4">
        <f>AVERAGE(D2:D3)</f>
        <v>37.640643571028718</v>
      </c>
      <c r="E4">
        <f>AVERAGE(E2:E3)</f>
        <v>1006.8842198693667</v>
      </c>
      <c r="F4">
        <f>AVERAGE(F2:F3)</f>
        <v>2.6749693375082142</v>
      </c>
      <c r="G4">
        <f>AVERAGE(G2:G3)</f>
        <v>3.2933005233220412</v>
      </c>
    </row>
    <row r="5" spans="1:9" x14ac:dyDescent="0.25">
      <c r="A5" t="s">
        <v>12</v>
      </c>
      <c r="D5">
        <f>STDEV(D2:D3)</f>
        <v>8.0690451425365545E-2</v>
      </c>
      <c r="E5">
        <f>STDEV(E2:E3)</f>
        <v>10.131465319232953</v>
      </c>
      <c r="F5">
        <f>STDEV(F2:F3)</f>
        <v>2.1181945176527862E-2</v>
      </c>
      <c r="G5">
        <f>STDEV(G2:G3)</f>
        <v>6.0032024637995243E-2</v>
      </c>
    </row>
    <row r="6" spans="1:9" x14ac:dyDescent="0.25">
      <c r="A6" t="s">
        <v>13</v>
      </c>
      <c r="D6">
        <f>ABS((D5/D4)*100)</f>
        <v>0.21437054144172879</v>
      </c>
      <c r="E6">
        <f>ABS((E5/E4)*100)</f>
        <v>1.0062194956782033</v>
      </c>
      <c r="F6">
        <f>ABS((F5/F4)*100)</f>
        <v>0.7918574945707324</v>
      </c>
      <c r="G6">
        <f>ABS((G5/G4)*100)</f>
        <v>1.8228529164851108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DTU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Steffen Rasmussen</dc:creator>
  <cp:lastModifiedBy>Steffen Rasmussen</cp:lastModifiedBy>
  <dcterms:created xsi:type="dcterms:W3CDTF">2015-08-07T13:22:23Z</dcterms:created>
  <dcterms:modified xsi:type="dcterms:W3CDTF">2015-08-07T13:22:28Z</dcterms:modified>
</cp:coreProperties>
</file>