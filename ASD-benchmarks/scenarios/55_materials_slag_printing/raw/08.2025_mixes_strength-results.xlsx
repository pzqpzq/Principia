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enisayena_lorika_ugent_be/Documents/Bureaublad/UGent/"/>
    </mc:Choice>
  </mc:AlternateContent>
  <xr:revisionPtr revIDLastSave="226" documentId="8_{72FC722A-64EB-41A9-99B2-B0CA09C79C11}" xr6:coauthVersionLast="47" xr6:coauthVersionMax="47" xr10:uidLastSave="{CE574333-3656-4D22-99B2-42AF433EDE11}"/>
  <bookViews>
    <workbookView xWindow="28680" yWindow="-120" windowWidth="29040" windowHeight="15720" firstSheet="2" activeTab="2" xr2:uid="{12673AA6-3BB3-45B3-8C8B-C79AEF72C862}"/>
  </bookViews>
  <sheets>
    <sheet name="AC_IFSTTAR" sheetId="1" r:id="rId1"/>
    <sheet name="Mix Design&amp;Proportioning" sheetId="14" r:id="rId2"/>
    <sheet name="Strength_3%CO2_full prog." sheetId="6" r:id="rId3"/>
    <sheet name="Strength_20%CO2_7 d" sheetId="8" r:id="rId4"/>
    <sheet name="Strength_20%CO2_1 d" sheetId="9" r:id="rId5"/>
    <sheet name="Strength_20%CO2_2 d" sheetId="10" r:id="rId6"/>
    <sheet name="Block Strength_3% CO2_7d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6" l="1"/>
  <c r="J63" i="6"/>
  <c r="J61" i="6"/>
  <c r="J59" i="6"/>
  <c r="J57" i="6"/>
  <c r="J55" i="6"/>
  <c r="J53" i="6"/>
  <c r="J51" i="6"/>
  <c r="J49" i="6"/>
  <c r="J47" i="6"/>
  <c r="J45" i="6"/>
  <c r="J43" i="6"/>
  <c r="J125" i="6"/>
  <c r="J123" i="6"/>
  <c r="J119" i="6"/>
  <c r="J115" i="6"/>
  <c r="J111" i="6"/>
  <c r="J107" i="6"/>
  <c r="J103" i="6"/>
  <c r="J100" i="6"/>
  <c r="E9" i="1"/>
  <c r="V5" i="8" l="1"/>
  <c r="X7" i="8"/>
  <c r="V8" i="8"/>
  <c r="M34" i="8"/>
  <c r="N34" i="8"/>
  <c r="M35" i="8"/>
  <c r="N35" i="8"/>
  <c r="AH87" i="14" l="1"/>
  <c r="AG87" i="14"/>
  <c r="AE87" i="14"/>
  <c r="AD87" i="14"/>
  <c r="AH86" i="14"/>
  <c r="AG86" i="14"/>
  <c r="AD86" i="14"/>
  <c r="AH85" i="14"/>
  <c r="AG85" i="14"/>
  <c r="AE85" i="14"/>
  <c r="AD85" i="14"/>
  <c r="U85" i="14"/>
  <c r="AH84" i="14"/>
  <c r="AG84" i="14"/>
  <c r="AD84" i="14"/>
  <c r="U84" i="14"/>
  <c r="AH83" i="14"/>
  <c r="AG83" i="14"/>
  <c r="AD83" i="14"/>
  <c r="U83" i="14"/>
  <c r="AH82" i="14"/>
  <c r="AG82" i="14"/>
  <c r="AE82" i="14"/>
  <c r="AD82" i="14"/>
  <c r="U82" i="14"/>
  <c r="AH81" i="14"/>
  <c r="AG81" i="14"/>
  <c r="AD81" i="14"/>
  <c r="U81" i="14"/>
  <c r="AH80" i="14"/>
  <c r="AG80" i="14"/>
  <c r="AD80" i="14"/>
  <c r="U80" i="14"/>
  <c r="AH79" i="14"/>
  <c r="AG79" i="14"/>
  <c r="AE79" i="14"/>
  <c r="AD79" i="14"/>
  <c r="U79" i="14"/>
  <c r="U78" i="14"/>
  <c r="AF77" i="14"/>
  <c r="AF87" i="14" s="1"/>
  <c r="AE77" i="14"/>
  <c r="U77" i="14"/>
  <c r="AE76" i="14"/>
  <c r="AF76" i="14" s="1"/>
  <c r="AF86" i="14" s="1"/>
  <c r="AE75" i="14"/>
  <c r="AF75" i="14" s="1"/>
  <c r="AF85" i="14" s="1"/>
  <c r="AE74" i="14"/>
  <c r="AE84" i="14" s="1"/>
  <c r="AE73" i="14"/>
  <c r="AE83" i="14" s="1"/>
  <c r="AE72" i="14"/>
  <c r="AF72" i="14" s="1"/>
  <c r="AF82" i="14" s="1"/>
  <c r="AE71" i="14"/>
  <c r="AE81" i="14" s="1"/>
  <c r="X71" i="14"/>
  <c r="AF70" i="14"/>
  <c r="AF80" i="14" s="1"/>
  <c r="AE70" i="14"/>
  <c r="AE80" i="14" s="1"/>
  <c r="AF69" i="14"/>
  <c r="AF79" i="14" s="1"/>
  <c r="AE69" i="14"/>
  <c r="AD64" i="14"/>
  <c r="AG64" i="14" s="1"/>
  <c r="AE62" i="14"/>
  <c r="AE61" i="14"/>
  <c r="AD61" i="14"/>
  <c r="AE59" i="14"/>
  <c r="AE57" i="14"/>
  <c r="AD57" i="14"/>
  <c r="AE56" i="14"/>
  <c r="X51" i="14"/>
  <c r="X47" i="14"/>
  <c r="U47" i="14"/>
  <c r="Z47" i="14" s="1"/>
  <c r="T47" i="14"/>
  <c r="Y47" i="14" s="1"/>
  <c r="R47" i="14"/>
  <c r="S47" i="14" s="1"/>
  <c r="AF64" i="14" s="1"/>
  <c r="Q47" i="14"/>
  <c r="AE64" i="14" s="1"/>
  <c r="P47" i="14"/>
  <c r="X46" i="14"/>
  <c r="Q46" i="14"/>
  <c r="AE63" i="14" s="1"/>
  <c r="P46" i="14"/>
  <c r="U46" i="14" s="1"/>
  <c r="Z46" i="14" s="1"/>
  <c r="Q45" i="14"/>
  <c r="P45" i="14"/>
  <c r="AD62" i="14" s="1"/>
  <c r="Z44" i="14"/>
  <c r="X44" i="14"/>
  <c r="U44" i="14"/>
  <c r="Q44" i="14"/>
  <c r="P44" i="14"/>
  <c r="T44" i="14" s="1"/>
  <c r="Y44" i="14" s="1"/>
  <c r="X43" i="14"/>
  <c r="Q43" i="14"/>
  <c r="AE60" i="14" s="1"/>
  <c r="P43" i="14"/>
  <c r="AD60" i="14" s="1"/>
  <c r="Z42" i="14"/>
  <c r="X42" i="14"/>
  <c r="U42" i="14"/>
  <c r="Q42" i="14"/>
  <c r="P42" i="14"/>
  <c r="AD59" i="14" s="1"/>
  <c r="X41" i="14"/>
  <c r="Q41" i="14"/>
  <c r="AE58" i="14" s="1"/>
  <c r="P41" i="14"/>
  <c r="U41" i="14" s="1"/>
  <c r="Z41" i="14" s="1"/>
  <c r="Z40" i="14"/>
  <c r="X40" i="14"/>
  <c r="U40" i="14"/>
  <c r="Q40" i="14"/>
  <c r="P40" i="14"/>
  <c r="T40" i="14" s="1"/>
  <c r="Y40" i="14" s="1"/>
  <c r="X39" i="14"/>
  <c r="Q39" i="14"/>
  <c r="Q51" i="14" s="1"/>
  <c r="P39" i="14"/>
  <c r="AD56" i="14" s="1"/>
  <c r="AF36" i="14"/>
  <c r="S33" i="14"/>
  <c r="T33" i="14" s="1"/>
  <c r="R33" i="14"/>
  <c r="Q33" i="14"/>
  <c r="P33" i="14"/>
  <c r="G33" i="14"/>
  <c r="F33" i="14"/>
  <c r="H33" i="14" s="1"/>
  <c r="I33" i="14" s="1"/>
  <c r="J33" i="14" s="1"/>
  <c r="Q32" i="14"/>
  <c r="P32" i="14"/>
  <c r="R32" i="14" s="1"/>
  <c r="S32" i="14" s="1"/>
  <c r="T32" i="14" s="1"/>
  <c r="H32" i="14"/>
  <c r="I32" i="14" s="1"/>
  <c r="J32" i="14" s="1"/>
  <c r="G32" i="14"/>
  <c r="F32" i="14"/>
  <c r="Q31" i="14"/>
  <c r="P31" i="14"/>
  <c r="R31" i="14" s="1"/>
  <c r="S31" i="14" s="1"/>
  <c r="T31" i="14" s="1"/>
  <c r="G31" i="14"/>
  <c r="F31" i="14"/>
  <c r="H31" i="14" s="1"/>
  <c r="I31" i="14" s="1"/>
  <c r="J31" i="14" s="1"/>
  <c r="Q30" i="14"/>
  <c r="P30" i="14"/>
  <c r="R30" i="14" s="1"/>
  <c r="S30" i="14" s="1"/>
  <c r="T30" i="14" s="1"/>
  <c r="H30" i="14"/>
  <c r="I30" i="14" s="1"/>
  <c r="J30" i="14" s="1"/>
  <c r="G30" i="14"/>
  <c r="F30" i="14"/>
  <c r="Q29" i="14"/>
  <c r="P29" i="14"/>
  <c r="R29" i="14" s="1"/>
  <c r="S29" i="14" s="1"/>
  <c r="T29" i="14" s="1"/>
  <c r="G29" i="14"/>
  <c r="F29" i="14"/>
  <c r="H29" i="14" s="1"/>
  <c r="I29" i="14" s="1"/>
  <c r="J29" i="14" s="1"/>
  <c r="R28" i="14"/>
  <c r="S28" i="14" s="1"/>
  <c r="T28" i="14" s="1"/>
  <c r="Q28" i="14"/>
  <c r="P28" i="14"/>
  <c r="H28" i="14"/>
  <c r="I28" i="14" s="1"/>
  <c r="J28" i="14" s="1"/>
  <c r="G28" i="14"/>
  <c r="F28" i="14"/>
  <c r="R27" i="14"/>
  <c r="S27" i="14" s="1"/>
  <c r="T27" i="14" s="1"/>
  <c r="Q27" i="14"/>
  <c r="P27" i="14"/>
  <c r="G27" i="14"/>
  <c r="F27" i="14"/>
  <c r="H27" i="14" s="1"/>
  <c r="I27" i="14" s="1"/>
  <c r="J27" i="14" s="1"/>
  <c r="S26" i="14"/>
  <c r="T26" i="14" s="1"/>
  <c r="R26" i="14"/>
  <c r="Q26" i="14"/>
  <c r="P26" i="14"/>
  <c r="G26" i="14"/>
  <c r="F26" i="14"/>
  <c r="H26" i="14" s="1"/>
  <c r="I26" i="14" s="1"/>
  <c r="J26" i="14" s="1"/>
  <c r="Q25" i="14"/>
  <c r="P25" i="14"/>
  <c r="R25" i="14" s="1"/>
  <c r="S25" i="14" s="1"/>
  <c r="T25" i="14" s="1"/>
  <c r="G25" i="14"/>
  <c r="F25" i="14"/>
  <c r="H25" i="14" s="1"/>
  <c r="I25" i="14" s="1"/>
  <c r="J25" i="14" s="1"/>
  <c r="I20" i="14"/>
  <c r="J20" i="14" s="1"/>
  <c r="H20" i="14"/>
  <c r="G20" i="14"/>
  <c r="F20" i="14"/>
  <c r="G19" i="14"/>
  <c r="F19" i="14"/>
  <c r="H19" i="14" s="1"/>
  <c r="I19" i="14" s="1"/>
  <c r="J19" i="14" s="1"/>
  <c r="G18" i="14"/>
  <c r="F18" i="14"/>
  <c r="H18" i="14" s="1"/>
  <c r="I18" i="14" s="1"/>
  <c r="J18" i="14" s="1"/>
  <c r="H17" i="14"/>
  <c r="I17" i="14" s="1"/>
  <c r="J17" i="14" s="1"/>
  <c r="G17" i="14"/>
  <c r="F17" i="14"/>
  <c r="G16" i="14"/>
  <c r="F16" i="14"/>
  <c r="H16" i="14" s="1"/>
  <c r="I16" i="14" s="1"/>
  <c r="J16" i="14" s="1"/>
  <c r="G15" i="14"/>
  <c r="F15" i="14"/>
  <c r="H15" i="14" s="1"/>
  <c r="I15" i="14" s="1"/>
  <c r="J15" i="14" s="1"/>
  <c r="G14" i="14"/>
  <c r="F14" i="14"/>
  <c r="H14" i="14" s="1"/>
  <c r="I14" i="14" s="1"/>
  <c r="J14" i="14" s="1"/>
  <c r="H13" i="14"/>
  <c r="I13" i="14" s="1"/>
  <c r="J13" i="14" s="1"/>
  <c r="G13" i="14"/>
  <c r="F13" i="14"/>
  <c r="G12" i="14"/>
  <c r="F12" i="14"/>
  <c r="H12" i="14" s="1"/>
  <c r="I12" i="14" s="1"/>
  <c r="J12" i="14" s="1"/>
  <c r="L9" i="14"/>
  <c r="G33" i="11"/>
  <c r="D33" i="11"/>
  <c r="D32" i="11"/>
  <c r="G32" i="11" s="1"/>
  <c r="G31" i="11"/>
  <c r="D31" i="11"/>
  <c r="G30" i="11"/>
  <c r="D30" i="11"/>
  <c r="D27" i="11"/>
  <c r="G27" i="11" s="1"/>
  <c r="D26" i="11"/>
  <c r="G26" i="11" s="1"/>
  <c r="D25" i="11"/>
  <c r="G25" i="11" s="1"/>
  <c r="D24" i="11"/>
  <c r="G24" i="11" s="1"/>
  <c r="E12" i="11"/>
  <c r="G12" i="11" s="1"/>
  <c r="D12" i="11"/>
  <c r="D35" i="11" s="1"/>
  <c r="G35" i="11" s="1"/>
  <c r="E11" i="11"/>
  <c r="S11" i="11" s="1"/>
  <c r="D11" i="11"/>
  <c r="E10" i="11"/>
  <c r="G10" i="11" s="1"/>
  <c r="D10" i="11"/>
  <c r="S10" i="11" s="1"/>
  <c r="E9" i="11"/>
  <c r="D29" i="11" s="1"/>
  <c r="G29" i="11" s="1"/>
  <c r="D9" i="11"/>
  <c r="S8" i="11"/>
  <c r="G8" i="11"/>
  <c r="E8" i="11"/>
  <c r="D8" i="11"/>
  <c r="S7" i="11"/>
  <c r="U7" i="11" s="1"/>
  <c r="E7" i="11"/>
  <c r="G7" i="11" s="1"/>
  <c r="D7" i="11"/>
  <c r="E6" i="11"/>
  <c r="D6" i="11"/>
  <c r="S6" i="11" s="1"/>
  <c r="AC5" i="11"/>
  <c r="Y5" i="11"/>
  <c r="AI5" i="11" s="1"/>
  <c r="E5" i="11"/>
  <c r="D5" i="11"/>
  <c r="D21" i="11" s="1"/>
  <c r="G21" i="11" s="1"/>
  <c r="AC4" i="11"/>
  <c r="AI4" i="11" s="1"/>
  <c r="Y4" i="11"/>
  <c r="E4" i="11"/>
  <c r="S4" i="11" s="1"/>
  <c r="D4" i="11"/>
  <c r="D19" i="11" s="1"/>
  <c r="G19" i="11" s="1"/>
  <c r="D29" i="10"/>
  <c r="G29" i="10" s="1"/>
  <c r="D28" i="10"/>
  <c r="G28" i="10" s="1"/>
  <c r="D24" i="10"/>
  <c r="G24" i="10" s="1"/>
  <c r="D23" i="10"/>
  <c r="G23" i="10" s="1"/>
  <c r="G22" i="10"/>
  <c r="D22" i="10"/>
  <c r="D20" i="10"/>
  <c r="G20" i="10" s="1"/>
  <c r="D19" i="10"/>
  <c r="G19" i="10" s="1"/>
  <c r="E9" i="10"/>
  <c r="G9" i="10" s="1"/>
  <c r="D9" i="10"/>
  <c r="S9" i="10" s="1"/>
  <c r="E8" i="10"/>
  <c r="G8" i="10" s="1"/>
  <c r="D8" i="10"/>
  <c r="S8" i="10" s="1"/>
  <c r="E7" i="10"/>
  <c r="D25" i="10" s="1"/>
  <c r="G25" i="10" s="1"/>
  <c r="D7" i="10"/>
  <c r="S7" i="10" s="1"/>
  <c r="E6" i="10"/>
  <c r="D6" i="10"/>
  <c r="S6" i="10" s="1"/>
  <c r="E5" i="10"/>
  <c r="D5" i="10"/>
  <c r="S5" i="10" s="1"/>
  <c r="E4" i="10"/>
  <c r="S4" i="10" s="1"/>
  <c r="D4" i="10"/>
  <c r="D18" i="10" s="1"/>
  <c r="G18" i="10" s="1"/>
  <c r="G25" i="9"/>
  <c r="D25" i="9"/>
  <c r="D24" i="9"/>
  <c r="G24" i="9" s="1"/>
  <c r="D19" i="9"/>
  <c r="G19" i="9" s="1"/>
  <c r="G18" i="9"/>
  <c r="D18" i="9"/>
  <c r="E9" i="9"/>
  <c r="D29" i="9" s="1"/>
  <c r="G29" i="9" s="1"/>
  <c r="D9" i="9"/>
  <c r="S9" i="9" s="1"/>
  <c r="E8" i="9"/>
  <c r="D27" i="9" s="1"/>
  <c r="G27" i="9" s="1"/>
  <c r="D8" i="9"/>
  <c r="E7" i="9"/>
  <c r="D7" i="9"/>
  <c r="S7" i="9" s="1"/>
  <c r="E6" i="9"/>
  <c r="D6" i="9"/>
  <c r="S6" i="9" s="1"/>
  <c r="E5" i="9"/>
  <c r="S5" i="9" s="1"/>
  <c r="D5" i="9"/>
  <c r="D21" i="9" s="1"/>
  <c r="G21" i="9" s="1"/>
  <c r="E4" i="9"/>
  <c r="D4" i="9"/>
  <c r="S4" i="9" s="1"/>
  <c r="D35" i="8"/>
  <c r="G35" i="8" s="1"/>
  <c r="D29" i="8"/>
  <c r="D43" i="8" s="1"/>
  <c r="G43" i="8" s="1"/>
  <c r="G25" i="8"/>
  <c r="D25" i="8"/>
  <c r="D39" i="8" s="1"/>
  <c r="G39" i="8" s="1"/>
  <c r="D24" i="8"/>
  <c r="D38" i="8" s="1"/>
  <c r="G38" i="8" s="1"/>
  <c r="D23" i="8"/>
  <c r="G23" i="8" s="1"/>
  <c r="G19" i="8"/>
  <c r="D19" i="8"/>
  <c r="D18" i="8"/>
  <c r="D34" i="8" s="1"/>
  <c r="G34" i="8" s="1"/>
  <c r="E9" i="8"/>
  <c r="D28" i="8" s="1"/>
  <c r="D9" i="8"/>
  <c r="S9" i="8" s="1"/>
  <c r="E8" i="8"/>
  <c r="D27" i="8" s="1"/>
  <c r="D8" i="8"/>
  <c r="S8" i="8" s="1"/>
  <c r="E7" i="8"/>
  <c r="G7" i="8" s="1"/>
  <c r="D7" i="8"/>
  <c r="S7" i="8" s="1"/>
  <c r="E6" i="8"/>
  <c r="D6" i="8"/>
  <c r="S6" i="8" s="1"/>
  <c r="E5" i="8"/>
  <c r="D5" i="8"/>
  <c r="D21" i="8" s="1"/>
  <c r="G21" i="8" s="1"/>
  <c r="S4" i="8"/>
  <c r="E4" i="8"/>
  <c r="G4" i="8" s="1"/>
  <c r="D4" i="8"/>
  <c r="E126" i="6"/>
  <c r="H126" i="6" s="1"/>
  <c r="H120" i="6"/>
  <c r="E120" i="6"/>
  <c r="E119" i="6"/>
  <c r="H119" i="6" s="1"/>
  <c r="H116" i="6"/>
  <c r="E116" i="6"/>
  <c r="AX113" i="6"/>
  <c r="E113" i="6"/>
  <c r="H113" i="6" s="1"/>
  <c r="AX112" i="6"/>
  <c r="E110" i="6"/>
  <c r="H110" i="6" s="1"/>
  <c r="E108" i="6"/>
  <c r="H108" i="6" s="1"/>
  <c r="E106" i="6"/>
  <c r="H106" i="6" s="1"/>
  <c r="E104" i="6"/>
  <c r="H104" i="6" s="1"/>
  <c r="H99" i="6"/>
  <c r="E99" i="6"/>
  <c r="E98" i="6"/>
  <c r="H98" i="6" s="1"/>
  <c r="H97" i="6"/>
  <c r="J97" i="6" s="1"/>
  <c r="E97" i="6"/>
  <c r="AX96" i="6"/>
  <c r="AX95" i="6"/>
  <c r="E95" i="6"/>
  <c r="H95" i="6" s="1"/>
  <c r="H92" i="6"/>
  <c r="E92" i="6"/>
  <c r="E90" i="6"/>
  <c r="H90" i="6" s="1"/>
  <c r="H84" i="6"/>
  <c r="E84" i="6"/>
  <c r="E83" i="6"/>
  <c r="H83" i="6" s="1"/>
  <c r="H82" i="6"/>
  <c r="E82" i="6"/>
  <c r="E81" i="6"/>
  <c r="H81" i="6" s="1"/>
  <c r="E80" i="6"/>
  <c r="H80" i="6" s="1"/>
  <c r="H77" i="6"/>
  <c r="E77" i="6"/>
  <c r="E76" i="6"/>
  <c r="H76" i="6" s="1"/>
  <c r="E74" i="6"/>
  <c r="H74" i="6" s="1"/>
  <c r="F63" i="6"/>
  <c r="H63" i="6" s="1"/>
  <c r="E63" i="6"/>
  <c r="E62" i="6"/>
  <c r="F61" i="6"/>
  <c r="E60" i="6"/>
  <c r="F59" i="6"/>
  <c r="E59" i="6"/>
  <c r="H59" i="6" s="1"/>
  <c r="F57" i="6"/>
  <c r="F55" i="6"/>
  <c r="F54" i="6"/>
  <c r="H53" i="6"/>
  <c r="I53" i="6" s="1"/>
  <c r="F53" i="6"/>
  <c r="E53" i="6"/>
  <c r="F52" i="6"/>
  <c r="E52" i="6"/>
  <c r="H52" i="6" s="1"/>
  <c r="E51" i="6"/>
  <c r="E50" i="6"/>
  <c r="F47" i="6"/>
  <c r="F45" i="6"/>
  <c r="E45" i="6"/>
  <c r="H45" i="6" s="1"/>
  <c r="H44" i="6"/>
  <c r="F44" i="6"/>
  <c r="E44" i="6"/>
  <c r="E43" i="6"/>
  <c r="E41" i="6"/>
  <c r="E39" i="6"/>
  <c r="H39" i="6" s="1"/>
  <c r="K33" i="6"/>
  <c r="E68" i="6" s="1"/>
  <c r="J33" i="6"/>
  <c r="F68" i="6" s="1"/>
  <c r="K32" i="6"/>
  <c r="F67" i="6" s="1"/>
  <c r="J32" i="6"/>
  <c r="E123" i="6" s="1"/>
  <c r="H123" i="6" s="1"/>
  <c r="K31" i="6"/>
  <c r="E122" i="6" s="1"/>
  <c r="H122" i="6" s="1"/>
  <c r="J31" i="6"/>
  <c r="F66" i="6" s="1"/>
  <c r="K30" i="6"/>
  <c r="E65" i="6" s="1"/>
  <c r="H65" i="6" s="1"/>
  <c r="J30" i="6"/>
  <c r="F65" i="6" s="1"/>
  <c r="K29" i="6"/>
  <c r="F64" i="6" s="1"/>
  <c r="J29" i="6"/>
  <c r="E64" i="6" s="1"/>
  <c r="K28" i="6"/>
  <c r="J28" i="6"/>
  <c r="E115" i="6" s="1"/>
  <c r="H115" i="6" s="1"/>
  <c r="K27" i="6"/>
  <c r="E114" i="6" s="1"/>
  <c r="H114" i="6" s="1"/>
  <c r="J27" i="6"/>
  <c r="F62" i="6" s="1"/>
  <c r="K26" i="6"/>
  <c r="E112" i="6" s="1"/>
  <c r="H112" i="6" s="1"/>
  <c r="J26" i="6"/>
  <c r="K25" i="6"/>
  <c r="F60" i="6" s="1"/>
  <c r="H60" i="6" s="1"/>
  <c r="J25" i="6"/>
  <c r="E109" i="6" s="1"/>
  <c r="H109" i="6" s="1"/>
  <c r="K24" i="6"/>
  <c r="J24" i="6"/>
  <c r="E107" i="6" s="1"/>
  <c r="H107" i="6" s="1"/>
  <c r="I107" i="6" s="1"/>
  <c r="K23" i="6"/>
  <c r="E105" i="6" s="1"/>
  <c r="H105" i="6" s="1"/>
  <c r="J23" i="6"/>
  <c r="F58" i="6" s="1"/>
  <c r="K22" i="6"/>
  <c r="E103" i="6" s="1"/>
  <c r="H103" i="6" s="1"/>
  <c r="J22" i="6"/>
  <c r="K21" i="6"/>
  <c r="F56" i="6" s="1"/>
  <c r="J21" i="6"/>
  <c r="E56" i="6" s="1"/>
  <c r="K20" i="6"/>
  <c r="J20" i="6"/>
  <c r="E100" i="6" s="1"/>
  <c r="H100" i="6" s="1"/>
  <c r="K19" i="6"/>
  <c r="E54" i="6" s="1"/>
  <c r="H54" i="6" s="1"/>
  <c r="J19" i="6"/>
  <c r="K18" i="6"/>
  <c r="J18" i="6"/>
  <c r="K17" i="6"/>
  <c r="J17" i="6"/>
  <c r="E96" i="6" s="1"/>
  <c r="H96" i="6" s="1"/>
  <c r="K16" i="6"/>
  <c r="F51" i="6" s="1"/>
  <c r="J16" i="6"/>
  <c r="E94" i="6" s="1"/>
  <c r="H94" i="6" s="1"/>
  <c r="K15" i="6"/>
  <c r="E93" i="6" s="1"/>
  <c r="H93" i="6" s="1"/>
  <c r="J15" i="6"/>
  <c r="F50" i="6" s="1"/>
  <c r="K14" i="6"/>
  <c r="E91" i="6" s="1"/>
  <c r="H91" i="6" s="1"/>
  <c r="J14" i="6"/>
  <c r="F49" i="6" s="1"/>
  <c r="K13" i="6"/>
  <c r="F48" i="6" s="1"/>
  <c r="J13" i="6"/>
  <c r="E48" i="6" s="1"/>
  <c r="H48" i="6" s="1"/>
  <c r="K12" i="6"/>
  <c r="J12" i="6"/>
  <c r="E87" i="6" s="1"/>
  <c r="H87" i="6" s="1"/>
  <c r="K11" i="6"/>
  <c r="E46" i="6" s="1"/>
  <c r="H46" i="6" s="1"/>
  <c r="J11" i="6"/>
  <c r="F46" i="6" s="1"/>
  <c r="K10" i="6"/>
  <c r="J10" i="6"/>
  <c r="K9" i="6"/>
  <c r="J9" i="6"/>
  <c r="K8" i="6"/>
  <c r="F43" i="6" s="1"/>
  <c r="H43" i="6" s="1"/>
  <c r="I43" i="6" s="1"/>
  <c r="J8" i="6"/>
  <c r="E79" i="6" s="1"/>
  <c r="H79" i="6" s="1"/>
  <c r="K7" i="6"/>
  <c r="E78" i="6" s="1"/>
  <c r="H78" i="6" s="1"/>
  <c r="J7" i="6"/>
  <c r="F42" i="6" s="1"/>
  <c r="K6" i="6"/>
  <c r="J6" i="6"/>
  <c r="F41" i="6" s="1"/>
  <c r="K5" i="6"/>
  <c r="F40" i="6" s="1"/>
  <c r="J5" i="6"/>
  <c r="E40" i="6" s="1"/>
  <c r="H40" i="6" s="1"/>
  <c r="K4" i="6"/>
  <c r="F39" i="6" s="1"/>
  <c r="J4" i="6"/>
  <c r="E73" i="6" s="1"/>
  <c r="H73" i="6" s="1"/>
  <c r="D10" i="1"/>
  <c r="D9" i="1"/>
  <c r="D8" i="1"/>
  <c r="D7" i="1"/>
  <c r="D6" i="1"/>
  <c r="D5" i="1"/>
  <c r="AJ64" i="14" l="1"/>
  <c r="AI64" i="14"/>
  <c r="AH64" i="14"/>
  <c r="AL64" i="14" s="1"/>
  <c r="AP64" i="14" s="1"/>
  <c r="AG59" i="14"/>
  <c r="AK64" i="14"/>
  <c r="AO64" i="14" s="1"/>
  <c r="AG60" i="14"/>
  <c r="AG62" i="14"/>
  <c r="R39" i="14"/>
  <c r="S39" i="14" s="1"/>
  <c r="AF56" i="14" s="1"/>
  <c r="AG56" i="14" s="1"/>
  <c r="AD58" i="14"/>
  <c r="AG58" i="14" s="1"/>
  <c r="AF71" i="14"/>
  <c r="AF81" i="14" s="1"/>
  <c r="R41" i="14"/>
  <c r="S41" i="14" s="1"/>
  <c r="AF58" i="14" s="1"/>
  <c r="R43" i="14"/>
  <c r="S43" i="14" s="1"/>
  <c r="AF60" i="14" s="1"/>
  <c r="R45" i="14"/>
  <c r="S45" i="14" s="1"/>
  <c r="AF62" i="14" s="1"/>
  <c r="T39" i="14"/>
  <c r="Y39" i="14" s="1"/>
  <c r="U39" i="14"/>
  <c r="Z39" i="14" s="1"/>
  <c r="T41" i="14"/>
  <c r="Y41" i="14" s="1"/>
  <c r="T43" i="14"/>
  <c r="Y43" i="14" s="1"/>
  <c r="Y45" i="14"/>
  <c r="U43" i="14"/>
  <c r="Z43" i="14" s="1"/>
  <c r="Z45" i="14"/>
  <c r="AF73" i="14"/>
  <c r="AF83" i="14" s="1"/>
  <c r="AE86" i="14"/>
  <c r="P51" i="14"/>
  <c r="AD63" i="14"/>
  <c r="AG63" i="14" s="1"/>
  <c r="AF74" i="14"/>
  <c r="AF84" i="14" s="1"/>
  <c r="AC39" i="14"/>
  <c r="R46" i="14"/>
  <c r="S46" i="14" s="1"/>
  <c r="AF63" i="14" s="1"/>
  <c r="T46" i="14"/>
  <c r="Y46" i="14" s="1"/>
  <c r="R40" i="14"/>
  <c r="S40" i="14" s="1"/>
  <c r="AF57" i="14" s="1"/>
  <c r="AG57" i="14" s="1"/>
  <c r="R42" i="14"/>
  <c r="S42" i="14" s="1"/>
  <c r="AF59" i="14" s="1"/>
  <c r="R44" i="14"/>
  <c r="S44" i="14" s="1"/>
  <c r="AF61" i="14" s="1"/>
  <c r="AG61" i="14" s="1"/>
  <c r="T42" i="14"/>
  <c r="Y42" i="14" s="1"/>
  <c r="I123" i="6"/>
  <c r="H51" i="6"/>
  <c r="I51" i="6" s="1"/>
  <c r="V8" i="10"/>
  <c r="I103" i="6"/>
  <c r="J76" i="6"/>
  <c r="I76" i="6"/>
  <c r="H24" i="11"/>
  <c r="AZ46" i="6"/>
  <c r="AZ59" i="6" s="1"/>
  <c r="H68" i="6"/>
  <c r="I68" i="6" s="1"/>
  <c r="AY44" i="6"/>
  <c r="AY54" i="6" s="1"/>
  <c r="J94" i="6"/>
  <c r="I94" i="6"/>
  <c r="J39" i="6"/>
  <c r="I39" i="6"/>
  <c r="H41" i="6"/>
  <c r="H7" i="11"/>
  <c r="I8" i="11"/>
  <c r="J79" i="6"/>
  <c r="I79" i="6"/>
  <c r="I7" i="8"/>
  <c r="Z21" i="8" s="1"/>
  <c r="I32" i="11"/>
  <c r="AX42" i="6"/>
  <c r="AX55" i="6" s="1"/>
  <c r="I59" i="6"/>
  <c r="G27" i="8"/>
  <c r="D41" i="8"/>
  <c r="G41" i="8" s="1"/>
  <c r="I90" i="6"/>
  <c r="G28" i="8"/>
  <c r="D42" i="8"/>
  <c r="G42" i="8" s="1"/>
  <c r="V5" i="9"/>
  <c r="T6" i="10"/>
  <c r="V5" i="10"/>
  <c r="X7" i="10" s="1"/>
  <c r="I100" i="6"/>
  <c r="H64" i="6"/>
  <c r="I45" i="6"/>
  <c r="H62" i="6"/>
  <c r="U5" i="11"/>
  <c r="H56" i="6"/>
  <c r="H10" i="11"/>
  <c r="I11" i="11"/>
  <c r="I65" i="6"/>
  <c r="H50" i="6"/>
  <c r="I63" i="6"/>
  <c r="I119" i="6"/>
  <c r="AK4" i="11"/>
  <c r="AJ5" i="11"/>
  <c r="E88" i="6"/>
  <c r="H88" i="6" s="1"/>
  <c r="E124" i="6"/>
  <c r="H124" i="6" s="1"/>
  <c r="G18" i="8"/>
  <c r="G29" i="8"/>
  <c r="G5" i="9"/>
  <c r="G8" i="9"/>
  <c r="D22" i="9"/>
  <c r="G22" i="9" s="1"/>
  <c r="D26" i="10"/>
  <c r="G26" i="10" s="1"/>
  <c r="G11" i="11"/>
  <c r="D22" i="11"/>
  <c r="G22" i="11" s="1"/>
  <c r="D20" i="8"/>
  <c r="G20" i="8" s="1"/>
  <c r="G7" i="10"/>
  <c r="E49" i="6"/>
  <c r="H49" i="6" s="1"/>
  <c r="I49" i="6" s="1"/>
  <c r="E58" i="6"/>
  <c r="H58" i="6" s="1"/>
  <c r="E89" i="6"/>
  <c r="H89" i="6" s="1"/>
  <c r="E102" i="6"/>
  <c r="H102" i="6" s="1"/>
  <c r="E117" i="6"/>
  <c r="H117" i="6" s="1"/>
  <c r="I115" i="6" s="1"/>
  <c r="E125" i="6"/>
  <c r="H125" i="6" s="1"/>
  <c r="I125" i="6" s="1"/>
  <c r="G8" i="8"/>
  <c r="H7" i="8" s="1"/>
  <c r="D22" i="8"/>
  <c r="S8" i="9"/>
  <c r="V8" i="9" s="1"/>
  <c r="D23" i="9"/>
  <c r="G23" i="9" s="1"/>
  <c r="I18" i="9" s="1"/>
  <c r="AH19" i="8" s="1"/>
  <c r="G4" i="10"/>
  <c r="D27" i="10"/>
  <c r="G27" i="10" s="1"/>
  <c r="I24" i="10" s="1"/>
  <c r="AI20" i="8" s="1"/>
  <c r="D23" i="11"/>
  <c r="G23" i="11" s="1"/>
  <c r="H30" i="11"/>
  <c r="G5" i="11"/>
  <c r="E47" i="6"/>
  <c r="H47" i="6" s="1"/>
  <c r="I47" i="6" s="1"/>
  <c r="E75" i="6"/>
  <c r="H75" i="6" s="1"/>
  <c r="J73" i="6" s="1"/>
  <c r="E111" i="6"/>
  <c r="H111" i="6" s="1"/>
  <c r="I111" i="6" s="1"/>
  <c r="G5" i="8"/>
  <c r="H4" i="8" s="1"/>
  <c r="S5" i="11"/>
  <c r="E118" i="6"/>
  <c r="H118" i="6" s="1"/>
  <c r="S5" i="8"/>
  <c r="E55" i="6"/>
  <c r="H55" i="6" s="1"/>
  <c r="I55" i="6" s="1"/>
  <c r="I82" i="6"/>
  <c r="I97" i="6"/>
  <c r="E66" i="6"/>
  <c r="H66" i="6" s="1"/>
  <c r="G6" i="9"/>
  <c r="G9" i="9"/>
  <c r="D21" i="10"/>
  <c r="G21" i="10" s="1"/>
  <c r="I18" i="10" s="1"/>
  <c r="AH20" i="8" s="1"/>
  <c r="E61" i="6"/>
  <c r="H61" i="6" s="1"/>
  <c r="G9" i="8"/>
  <c r="G24" i="8"/>
  <c r="G5" i="10"/>
  <c r="S12" i="11"/>
  <c r="T7" i="11" s="1"/>
  <c r="E42" i="6"/>
  <c r="H42" i="6" s="1"/>
  <c r="E57" i="6"/>
  <c r="H57" i="6" s="1"/>
  <c r="I57" i="6" s="1"/>
  <c r="G6" i="8"/>
  <c r="D18" i="11"/>
  <c r="G18" i="11" s="1"/>
  <c r="E67" i="6"/>
  <c r="H67" i="6" s="1"/>
  <c r="I67" i="6" s="1"/>
  <c r="D26" i="9"/>
  <c r="G26" i="9" s="1"/>
  <c r="H24" i="9" s="1"/>
  <c r="G4" i="11"/>
  <c r="G9" i="11"/>
  <c r="D34" i="11"/>
  <c r="G34" i="11" s="1"/>
  <c r="E85" i="6"/>
  <c r="H85" i="6" s="1"/>
  <c r="J82" i="6" s="1"/>
  <c r="E121" i="6"/>
  <c r="H121" i="6" s="1"/>
  <c r="D26" i="8"/>
  <c r="G6" i="11"/>
  <c r="G7" i="9"/>
  <c r="E86" i="6"/>
  <c r="H86" i="6" s="1"/>
  <c r="G4" i="9"/>
  <c r="G6" i="10"/>
  <c r="D20" i="11"/>
  <c r="G20" i="11" s="1"/>
  <c r="E101" i="6"/>
  <c r="H101" i="6" s="1"/>
  <c r="D20" i="9"/>
  <c r="G20" i="9" s="1"/>
  <c r="H18" i="9" s="1"/>
  <c r="D28" i="9"/>
  <c r="G28" i="9" s="1"/>
  <c r="I24" i="9" s="1"/>
  <c r="AI19" i="8" s="1"/>
  <c r="D28" i="11"/>
  <c r="G28" i="11" s="1"/>
  <c r="I26" i="11" s="1"/>
  <c r="AJ61" i="14" l="1"/>
  <c r="AI61" i="14"/>
  <c r="AH61" i="14"/>
  <c r="AJ57" i="14"/>
  <c r="AI57" i="14"/>
  <c r="AH57" i="14"/>
  <c r="AJ56" i="14"/>
  <c r="AH56" i="14"/>
  <c r="AI56" i="14"/>
  <c r="AH62" i="14"/>
  <c r="AJ62" i="14"/>
  <c r="AI62" i="14"/>
  <c r="AJ63" i="14"/>
  <c r="AI63" i="14"/>
  <c r="AH63" i="14"/>
  <c r="U51" i="14"/>
  <c r="T51" i="14"/>
  <c r="R51" i="14"/>
  <c r="S51" i="14" s="1"/>
  <c r="AL62" i="14"/>
  <c r="AP62" i="14" s="1"/>
  <c r="AL60" i="14"/>
  <c r="AP60" i="14" s="1"/>
  <c r="AJ60" i="14"/>
  <c r="AI60" i="14"/>
  <c r="AH60" i="14"/>
  <c r="AK60" i="14"/>
  <c r="AO60" i="14" s="1"/>
  <c r="AL56" i="14"/>
  <c r="AP56" i="14" s="1"/>
  <c r="AK56" i="14"/>
  <c r="AO56" i="14" s="1"/>
  <c r="AH59" i="14"/>
  <c r="AJ59" i="14"/>
  <c r="AI59" i="14"/>
  <c r="AM64" i="14"/>
  <c r="AK63" i="14"/>
  <c r="AO63" i="14" s="1"/>
  <c r="AJ58" i="14"/>
  <c r="AI58" i="14"/>
  <c r="AH58" i="14"/>
  <c r="AK58" i="14" s="1"/>
  <c r="AO58" i="14" s="1"/>
  <c r="AZ47" i="6"/>
  <c r="AZ57" i="6" s="1"/>
  <c r="AX48" i="6"/>
  <c r="AX60" i="6" s="1"/>
  <c r="BA42" i="6"/>
  <c r="BA55" i="6" s="1"/>
  <c r="I5" i="10"/>
  <c r="Y20" i="8" s="1"/>
  <c r="H4" i="10"/>
  <c r="Y9" i="10"/>
  <c r="I86" i="6"/>
  <c r="I20" i="11"/>
  <c r="H18" i="11"/>
  <c r="D37" i="8"/>
  <c r="G37" i="8" s="1"/>
  <c r="D36" i="8"/>
  <c r="G36" i="8" s="1"/>
  <c r="G22" i="8"/>
  <c r="H18" i="10"/>
  <c r="AY45" i="6"/>
  <c r="AY56" i="6" s="1"/>
  <c r="T6" i="8"/>
  <c r="AC6" i="10"/>
  <c r="X7" i="9"/>
  <c r="AX46" i="6"/>
  <c r="AX59" i="6" s="1"/>
  <c r="J41" i="6"/>
  <c r="I41" i="6"/>
  <c r="I4" i="8"/>
  <c r="Y21" i="8" s="1"/>
  <c r="H7" i="9"/>
  <c r="I8" i="9"/>
  <c r="Z19" i="8" s="1"/>
  <c r="BA48" i="6"/>
  <c r="BA60" i="6" s="1"/>
  <c r="U11" i="11"/>
  <c r="T6" i="9"/>
  <c r="AX41" i="6"/>
  <c r="AX53" i="6" s="1"/>
  <c r="BA41" i="6"/>
  <c r="BA53" i="6" s="1"/>
  <c r="BA46" i="6"/>
  <c r="BA59" i="6" s="1"/>
  <c r="H18" i="8"/>
  <c r="W8" i="11"/>
  <c r="G26" i="8"/>
  <c r="H24" i="8" s="1"/>
  <c r="D40" i="8"/>
  <c r="G40" i="8" s="1"/>
  <c r="AZ44" i="6"/>
  <c r="AZ54" i="6" s="1"/>
  <c r="BA45" i="6"/>
  <c r="BA56" i="6" s="1"/>
  <c r="AX43" i="6"/>
  <c r="AX58" i="6" s="1"/>
  <c r="I61" i="6"/>
  <c r="AY43" i="6"/>
  <c r="AY58" i="6" s="1"/>
  <c r="AX45" i="6"/>
  <c r="AX56" i="6" s="1"/>
  <c r="AY42" i="6"/>
  <c r="AY55" i="6" s="1"/>
  <c r="AZ42" i="6"/>
  <c r="AZ55" i="6" s="1"/>
  <c r="I8" i="10"/>
  <c r="Z20" i="8" s="1"/>
  <c r="H7" i="10"/>
  <c r="BA47" i="6"/>
  <c r="BA57" i="6" s="1"/>
  <c r="AZ45" i="6"/>
  <c r="AZ56" i="6" s="1"/>
  <c r="H24" i="10"/>
  <c r="AX44" i="6"/>
  <c r="AX54" i="6" s="1"/>
  <c r="H4" i="9"/>
  <c r="I5" i="9"/>
  <c r="Y19" i="8" s="1"/>
  <c r="H4" i="11"/>
  <c r="I5" i="11"/>
  <c r="AX47" i="6"/>
  <c r="AX57" i="6" s="1"/>
  <c r="AY48" i="6"/>
  <c r="AY60" i="6" s="1"/>
  <c r="I73" i="6"/>
  <c r="BA43" i="6"/>
  <c r="BA58" i="6" s="1"/>
  <c r="BA44" i="6"/>
  <c r="BA54" i="6" s="1"/>
  <c r="AY47" i="6"/>
  <c r="AY57" i="6" s="1"/>
  <c r="AZ48" i="6"/>
  <c r="AZ60" i="6" s="1"/>
  <c r="AL63" i="14" l="1"/>
  <c r="AP63" i="14" s="1"/>
  <c r="AL59" i="14"/>
  <c r="AP59" i="14" s="1"/>
  <c r="AK59" i="14"/>
  <c r="AO59" i="14" s="1"/>
  <c r="AM56" i="14"/>
  <c r="AM60" i="14"/>
  <c r="AL57" i="14"/>
  <c r="AP57" i="14" s="1"/>
  <c r="AK57" i="14"/>
  <c r="AO57" i="14" s="1"/>
  <c r="AK62" i="14"/>
  <c r="AO62" i="14" s="1"/>
  <c r="AK61" i="14"/>
  <c r="AO61" i="14" s="1"/>
  <c r="AL61" i="14"/>
  <c r="AP61" i="14" s="1"/>
  <c r="AL58" i="14"/>
  <c r="AP58" i="14" s="1"/>
  <c r="AZ43" i="6"/>
  <c r="AZ58" i="6" s="1"/>
  <c r="AY46" i="6"/>
  <c r="AY59" i="6" s="1"/>
  <c r="Z6" i="9"/>
  <c r="I40" i="8"/>
  <c r="AI21" i="8" s="1"/>
  <c r="H38" i="8"/>
  <c r="AZ41" i="6"/>
  <c r="AZ53" i="6" s="1"/>
  <c r="AY41" i="6"/>
  <c r="AY53" i="6" s="1"/>
  <c r="I35" i="8"/>
  <c r="AH21" i="8" s="1"/>
  <c r="H34" i="8"/>
  <c r="AM63" i="14" l="1"/>
  <c r="AM58" i="14"/>
  <c r="AM61" i="14"/>
  <c r="AM57" i="14"/>
  <c r="AM62" i="14"/>
  <c r="AM59" i="14"/>
</calcChain>
</file>

<file path=xl/sharedStrings.xml><?xml version="1.0" encoding="utf-8"?>
<sst xmlns="http://schemas.openxmlformats.org/spreadsheetml/2006/main" count="450" uniqueCount="144">
  <si>
    <t>Absorption Capacity of stinox after 2h of soaking</t>
  </si>
  <si>
    <t>Time (m)</t>
  </si>
  <si>
    <t>AC (%)</t>
  </si>
  <si>
    <t>AC %</t>
  </si>
  <si>
    <t>AC;</t>
  </si>
  <si>
    <t>Absorption capacity, calculated according to EN standard</t>
  </si>
  <si>
    <t>Mix</t>
  </si>
  <si>
    <t>TM-1.0_0.25</t>
  </si>
  <si>
    <t>TM-1.0_0.30</t>
  </si>
  <si>
    <t>mix</t>
  </si>
  <si>
    <t>a/b ratio</t>
  </si>
  <si>
    <t>w/b ratio</t>
  </si>
  <si>
    <t>TM-1.0_0.35</t>
  </si>
  <si>
    <t>TM-1.5_0.25</t>
  </si>
  <si>
    <t>TM-1.5_0.30</t>
  </si>
  <si>
    <t>TM-1.5_0.35</t>
  </si>
  <si>
    <t>TM-2.0_0.25</t>
  </si>
  <si>
    <t>TM-2.0_0.30</t>
  </si>
  <si>
    <t>TM-2.0_0.35</t>
  </si>
  <si>
    <t>Direction</t>
  </si>
  <si>
    <t>Sample</t>
  </si>
  <si>
    <t>W (mm)</t>
  </si>
  <si>
    <t>H (mm)</t>
  </si>
  <si>
    <t>Flexural Strength (Mpa)</t>
  </si>
  <si>
    <t>sample</t>
  </si>
  <si>
    <t>w (mm)</t>
  </si>
  <si>
    <t>L (mm)</t>
  </si>
  <si>
    <t>Rupture load (N)</t>
  </si>
  <si>
    <t>w</t>
  </si>
  <si>
    <t>v</t>
  </si>
  <si>
    <t>TM-0.7_0.35</t>
  </si>
  <si>
    <t>V</t>
  </si>
  <si>
    <t>Sample Dimensions</t>
  </si>
  <si>
    <t>M-0.5_0.25</t>
  </si>
  <si>
    <t>M-0.5_0.3</t>
  </si>
  <si>
    <t>M-0.5_0.35</t>
  </si>
  <si>
    <t>M-0.7_0.25</t>
  </si>
  <si>
    <t>M-0.7_0.3</t>
  </si>
  <si>
    <t>M-0.7_0.35</t>
  </si>
  <si>
    <t>M-1.0_0.3</t>
  </si>
  <si>
    <t>M-1.0_0.35</t>
  </si>
  <si>
    <t>Flexural strength</t>
  </si>
  <si>
    <t>Mix Designation</t>
  </si>
  <si>
    <t>Flexural Strength (MPa)</t>
  </si>
  <si>
    <t>Compressive strength (MPa)</t>
  </si>
  <si>
    <t>RG 1</t>
  </si>
  <si>
    <t>M-0.5_0.30</t>
  </si>
  <si>
    <t>RG 2</t>
  </si>
  <si>
    <t>M-0.7_0.30</t>
  </si>
  <si>
    <t>M-1.0_0.30</t>
  </si>
  <si>
    <t>Compressive strength</t>
  </si>
  <si>
    <t>Cr've Load (N)</t>
  </si>
  <si>
    <t>Cr've Strength (Mpa)</t>
  </si>
  <si>
    <t>Stdev</t>
  </si>
  <si>
    <t>M-01.0_0.35</t>
  </si>
  <si>
    <t>Width</t>
  </si>
  <si>
    <t>Thickness</t>
  </si>
  <si>
    <t>Flex. Tensile Strength (Mpa)</t>
  </si>
  <si>
    <t>W2</t>
  </si>
  <si>
    <t>W3</t>
  </si>
  <si>
    <t>H1</t>
  </si>
  <si>
    <t>H2</t>
  </si>
  <si>
    <t>H3</t>
  </si>
  <si>
    <t>Mass (kg)</t>
  </si>
  <si>
    <r>
      <t>Density (kg/m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</si>
  <si>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t>Flexural st (MPa)</t>
  </si>
  <si>
    <t>stdev</t>
  </si>
  <si>
    <t>Compressive st (MPa)</t>
  </si>
  <si>
    <t>duration</t>
  </si>
  <si>
    <t>1d</t>
  </si>
  <si>
    <t>2d</t>
  </si>
  <si>
    <t>7d_URH</t>
  </si>
  <si>
    <t>7_URH</t>
  </si>
  <si>
    <t>=</t>
  </si>
  <si>
    <t>Wi</t>
  </si>
  <si>
    <t>U</t>
  </si>
  <si>
    <t>Small-scale</t>
  </si>
  <si>
    <t>Block scale</t>
  </si>
  <si>
    <t>u</t>
  </si>
  <si>
    <t>From Orbix, WA =</t>
  </si>
  <si>
    <t>WA from standard cone method =</t>
  </si>
  <si>
    <t>WA from IFSTTAR method =</t>
  </si>
  <si>
    <t>WA =</t>
  </si>
  <si>
    <t>Carbinox (g)</t>
  </si>
  <si>
    <t>Stinox (g)</t>
  </si>
  <si>
    <t>Water (g)</t>
  </si>
  <si>
    <t xml:space="preserve">Corrected Water (g) </t>
  </si>
  <si>
    <t>Addiitonal water</t>
  </si>
  <si>
    <t>M-1.0_0.25</t>
  </si>
  <si>
    <t>M-1.5_0.25</t>
  </si>
  <si>
    <t>M-1.5_0.30</t>
  </si>
  <si>
    <t>M-1.5_0.35</t>
  </si>
  <si>
    <t>Apparent particle density</t>
  </si>
  <si>
    <t>M-2.5_0.25</t>
  </si>
  <si>
    <r>
      <t>C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</t>
    </r>
  </si>
  <si>
    <t>M-2.5_0.30</t>
  </si>
  <si>
    <r>
      <t>S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</t>
    </r>
  </si>
  <si>
    <t>M-2.5_0.35</t>
  </si>
  <si>
    <t>Addiitonal water (g)</t>
  </si>
  <si>
    <t>TM-0.5_0.25</t>
  </si>
  <si>
    <t>0.5</t>
  </si>
  <si>
    <t>TM-0.5_0.30</t>
  </si>
  <si>
    <t>TM-0.5_0.35</t>
  </si>
  <si>
    <t>TM-0.7_0.25</t>
  </si>
  <si>
    <t>0.7</t>
  </si>
  <si>
    <t>TM-0.7_0.30</t>
  </si>
  <si>
    <t>SP (g)</t>
  </si>
  <si>
    <t>VMA (g)</t>
  </si>
  <si>
    <t>D1(mm)</t>
  </si>
  <si>
    <t>D2(mm)</t>
  </si>
  <si>
    <t>DAvg</t>
  </si>
  <si>
    <t>Volume computation</t>
  </si>
  <si>
    <r>
      <t>Mass Per 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 xml:space="preserve"> of concrete</t>
    </r>
  </si>
  <si>
    <r>
      <t>Carbinox (m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</si>
  <si>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r>
      <t>Stinox (m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</si>
  <si>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r>
      <t>Water (m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</si>
  <si>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r>
      <t>Volume part in 1m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</si>
  <si>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t>Carbinox (kg)</t>
  </si>
  <si>
    <t>Stinox (kg)</t>
  </si>
  <si>
    <r>
      <t>Total Water, W</t>
    </r>
    <r>
      <rPr>
        <b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 xml:space="preserve">  (kg)</t>
    </r>
  </si>
  <si>
    <t>SP (kg)</t>
  </si>
  <si>
    <t>VMA (kg)</t>
  </si>
  <si>
    <t>SP (% Cx)</t>
  </si>
  <si>
    <t>VMA (% Cx)</t>
  </si>
  <si>
    <r>
      <t>kg/m</t>
    </r>
    <r>
      <rPr>
        <vertAlign val="superscript"/>
        <sz val="16"/>
        <color theme="1"/>
        <rFont val="Aptos Narrow"/>
        <family val="2"/>
        <scheme val="minor"/>
      </rPr>
      <t>3</t>
    </r>
    <r>
      <rPr>
        <sz val="16"/>
        <color theme="1"/>
        <rFont val="Aptos Narrow"/>
        <family val="2"/>
        <scheme val="minor"/>
      </rPr>
      <t xml:space="preserve"> </t>
    </r>
  </si>
  <si>
    <t>Total Water, WT  (kg)</t>
  </si>
  <si>
    <r>
      <t>M</t>
    </r>
    <r>
      <rPr>
        <vertAlign val="subscript"/>
        <sz val="11"/>
        <color theme="1"/>
        <rFont val="Aptos Narrow"/>
        <family val="2"/>
        <scheme val="minor"/>
      </rPr>
      <t>OD</t>
    </r>
    <r>
      <rPr>
        <sz val="11"/>
        <color theme="1"/>
        <rFont val="Aptos Narrow"/>
        <family val="2"/>
        <scheme val="minor"/>
      </rPr>
      <t xml:space="preserve"> (g)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</si>
  <si>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SSD</t>
    </r>
    <r>
      <rPr>
        <sz val="11"/>
        <color theme="1"/>
        <rFont val="Aptos Narrow"/>
        <family val="2"/>
        <scheme val="minor"/>
      </rPr>
      <t xml:space="preserve"> (g)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</si>
  <si>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SSD</t>
    </r>
    <r>
      <rPr>
        <sz val="11"/>
        <color theme="1"/>
        <rFont val="Aptos Narrow"/>
        <family val="2"/>
        <scheme val="minor"/>
      </rPr>
      <t xml:space="preserve"> ;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</si>
  <si>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OD</t>
    </r>
    <r>
      <rPr>
        <sz val="11"/>
        <color theme="1"/>
        <rFont val="Aptos Narrow"/>
        <family val="2"/>
        <scheme val="minor"/>
      </rPr>
      <t>;</t>
    </r>
  </si>
  <si>
    <t>Saturated surface dry mass of Stinox</t>
  </si>
  <si>
    <t>Oven-dry mass of stinox</t>
  </si>
  <si>
    <t>Eliminating oulier samples</t>
  </si>
  <si>
    <t>Time</t>
  </si>
  <si>
    <t>Total time of soaking, in minutes</t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</si>
  <si>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 xml:space="preserve"> (mm)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</si>
  <si>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(mm)</t>
    </r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</si>
  <si>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(mm)</t>
    </r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</si>
  <si>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(mm)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</si>
  <si>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(mm)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</si>
  <si>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 xml:space="preserve"> (mm)</t>
    </r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</si>
  <si>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 xml:space="preserve">2 </t>
    </r>
    <r>
      <rPr>
        <b/>
        <sz val="11"/>
        <color theme="1"/>
        <rFont val="Aptos Narrow"/>
        <family val="2"/>
        <scheme val="minor"/>
      </rPr>
      <t>(mm)</t>
    </r>
  </si>
  <si>
    <t>Avg. Cr've. Strength (MPa)</t>
  </si>
  <si>
    <t>Avg. Flex. Strength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</si>
</sst>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7" formatCode="0.000000"/>
    <numFmt numFmtId="168" formatCode="0.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vertAlign val="superscript"/>
      <sz val="16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2F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vertical="center"/>
    </xf>
    <xf numFmtId="165" fontId="0" fillId="0" borderId="0" xfId="0" applyNumberFormat="1"/>
    <xf numFmtId="0" fontId="0" fillId="8" borderId="1" xfId="0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0" fillId="8" borderId="1" xfId="0" applyFill="1" applyBorder="1"/>
    <xf numFmtId="164" fontId="0" fillId="8" borderId="1" xfId="0" applyNumberFormat="1" applyFill="1" applyBorder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164" fontId="0" fillId="8" borderId="1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center" vertical="center"/>
    </xf>
    <xf numFmtId="0" fontId="0" fillId="7" borderId="1" xfId="0" applyFill="1" applyBorder="1"/>
    <xf numFmtId="164" fontId="0" fillId="7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64" fontId="0" fillId="0" borderId="0" xfId="0" applyNumberFormat="1"/>
    <xf numFmtId="0" fontId="1" fillId="0" borderId="3" xfId="0" applyFont="1" applyBorder="1"/>
    <xf numFmtId="0" fontId="0" fillId="0" borderId="0" xfId="0" applyAlignment="1">
      <alignment horizontal="left"/>
    </xf>
    <xf numFmtId="164" fontId="0" fillId="2" borderId="3" xfId="0" applyNumberFormat="1" applyFill="1" applyBorder="1" applyAlignment="1">
      <alignment horizontal="center" vertical="center"/>
    </xf>
    <xf numFmtId="164" fontId="0" fillId="0" borderId="1" xfId="0" applyNumberFormat="1" applyBorder="1"/>
    <xf numFmtId="0" fontId="0" fillId="10" borderId="0" xfId="0" applyFill="1"/>
    <xf numFmtId="0" fontId="0" fillId="10" borderId="0" xfId="0" applyFill="1" applyAlignment="1">
      <alignment horizontal="center"/>
    </xf>
    <xf numFmtId="2" fontId="0" fillId="10" borderId="0" xfId="0" applyNumberFormat="1" applyFill="1" applyAlignment="1">
      <alignment horizontal="center"/>
    </xf>
    <xf numFmtId="1" fontId="0" fillId="10" borderId="0" xfId="0" applyNumberForma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164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/>
    <xf numFmtId="1" fontId="0" fillId="0" borderId="0" xfId="0" applyNumberFormat="1"/>
    <xf numFmtId="0" fontId="0" fillId="11" borderId="1" xfId="0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0" fontId="0" fillId="11" borderId="1" xfId="0" applyFill="1" applyBorder="1"/>
    <xf numFmtId="164" fontId="0" fillId="11" borderId="1" xfId="0" applyNumberFormat="1" applyFill="1" applyBorder="1"/>
    <xf numFmtId="1" fontId="0" fillId="0" borderId="1" xfId="0" applyNumberFormat="1" applyBorder="1"/>
    <xf numFmtId="0" fontId="0" fillId="10" borderId="1" xfId="0" applyFill="1" applyBorder="1"/>
    <xf numFmtId="0" fontId="0" fillId="2" borderId="3" xfId="0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0" fontId="1" fillId="10" borderId="0" xfId="0" applyFont="1" applyFill="1" applyAlignment="1">
      <alignment vertical="center"/>
    </xf>
    <xf numFmtId="0" fontId="1" fillId="12" borderId="0" xfId="0" applyFont="1" applyFill="1" applyAlignment="1">
      <alignment horizontal="right"/>
    </xf>
    <xf numFmtId="0" fontId="1" fillId="12" borderId="0" xfId="0" applyFont="1" applyFill="1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165" fontId="1" fillId="12" borderId="0" xfId="0" applyNumberFormat="1" applyFont="1" applyFill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0" fillId="13" borderId="1" xfId="0" applyFill="1" applyBorder="1"/>
    <xf numFmtId="164" fontId="0" fillId="13" borderId="1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1" fontId="0" fillId="13" borderId="1" xfId="0" applyNumberFormat="1" applyFill="1" applyBorder="1" applyAlignment="1">
      <alignment horizontal="center"/>
    </xf>
    <xf numFmtId="0" fontId="0" fillId="14" borderId="1" xfId="0" applyFill="1" applyBorder="1"/>
    <xf numFmtId="164" fontId="0" fillId="14" borderId="1" xfId="0" applyNumberFormat="1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1" fontId="0" fillId="14" borderId="1" xfId="0" applyNumberFormat="1" applyFill="1" applyBorder="1" applyAlignment="1">
      <alignment horizontal="center"/>
    </xf>
    <xf numFmtId="0" fontId="0" fillId="15" borderId="1" xfId="0" applyFill="1" applyBorder="1"/>
    <xf numFmtId="164" fontId="0" fillId="15" borderId="1" xfId="0" applyNumberFormat="1" applyFill="1" applyBorder="1" applyAlignment="1">
      <alignment horizontal="center"/>
    </xf>
    <xf numFmtId="2" fontId="0" fillId="15" borderId="1" xfId="0" applyNumberForma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164" fontId="1" fillId="13" borderId="1" xfId="0" applyNumberFormat="1" applyFont="1" applyFill="1" applyBorder="1"/>
    <xf numFmtId="164" fontId="1" fillId="14" borderId="1" xfId="0" applyNumberFormat="1" applyFont="1" applyFill="1" applyBorder="1"/>
    <xf numFmtId="164" fontId="1" fillId="15" borderId="1" xfId="0" applyNumberFormat="1" applyFont="1" applyFill="1" applyBorder="1"/>
    <xf numFmtId="0" fontId="0" fillId="16" borderId="1" xfId="0" applyFill="1" applyBorder="1"/>
    <xf numFmtId="1" fontId="1" fillId="16" borderId="1" xfId="0" applyNumberFormat="1" applyFont="1" applyFill="1" applyBorder="1" applyAlignment="1">
      <alignment horizontal="center" wrapText="1"/>
    </xf>
    <xf numFmtId="0" fontId="0" fillId="6" borderId="1" xfId="0" applyFill="1" applyBorder="1"/>
    <xf numFmtId="167" fontId="0" fillId="6" borderId="1" xfId="0" applyNumberFormat="1" applyFill="1" applyBorder="1" applyAlignment="1">
      <alignment horizontal="center"/>
    </xf>
    <xf numFmtId="168" fontId="0" fillId="6" borderId="1" xfId="0" applyNumberFormat="1" applyFill="1" applyBorder="1" applyAlignment="1">
      <alignment horizontal="center"/>
    </xf>
    <xf numFmtId="1" fontId="0" fillId="16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167" fontId="0" fillId="3" borderId="1" xfId="0" applyNumberFormat="1" applyFill="1" applyBorder="1" applyAlignment="1">
      <alignment horizontal="center"/>
    </xf>
    <xf numFmtId="168" fontId="0" fillId="3" borderId="1" xfId="0" applyNumberForma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8" fontId="0" fillId="7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12" borderId="0" xfId="0" applyFont="1" applyFill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164" fontId="0" fillId="9" borderId="6" xfId="0" applyNumberForma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0" fillId="7" borderId="6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0" fillId="4" borderId="6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4" fontId="0" fillId="8" borderId="6" xfId="0" applyNumberForma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64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0" fillId="0" borderId="0" xfId="0" applyAlignment="1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vertical="center"/>
    </xf>
    <xf numFmtId="164" fontId="0" fillId="6" borderId="2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0" fillId="0" borderId="0" xfId="0" applyNumberForma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30504125114539"/>
          <c:y val="5.2097434509012448E-2"/>
          <c:w val="0.86248899868889373"/>
          <c:h val="0.60450961658227409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8.2530949105914849E-3"/>
                  <c:y val="-1.93344228197890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09-41C7-B447-60BA15E858C2}"/>
                </c:ext>
              </c:extLst>
            </c:dLbl>
            <c:dLbl>
              <c:idx val="1"/>
              <c:layout>
                <c:manualLayout>
                  <c:x val="-1.3755158184319145E-2"/>
                  <c:y val="-2.46138100661945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09-41C7-B447-60BA15E858C2}"/>
                </c:ext>
              </c:extLst>
            </c:dLbl>
            <c:dLbl>
              <c:idx val="2"/>
              <c:layout>
                <c:manualLayout>
                  <c:x val="-1.6506189821182942E-2"/>
                  <c:y val="-1.87913303289919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09-41C7-B447-60BA15E858C2}"/>
                </c:ext>
              </c:extLst>
            </c:dLbl>
            <c:dLbl>
              <c:idx val="3"/>
              <c:layout>
                <c:manualLayout>
                  <c:x val="-1.3755158184319119E-2"/>
                  <c:y val="-1.98778454579969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09-41C7-B447-60BA15E858C2}"/>
                </c:ext>
              </c:extLst>
            </c:dLbl>
            <c:dLbl>
              <c:idx val="4"/>
              <c:layout>
                <c:manualLayout>
                  <c:x val="0"/>
                  <c:y val="-2.40707175753974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09-41C7-B447-60BA15E858C2}"/>
                </c:ext>
              </c:extLst>
            </c:dLbl>
            <c:dLbl>
              <c:idx val="5"/>
              <c:layout>
                <c:manualLayout>
                  <c:x val="-1.1004126547455296E-2"/>
                  <c:y val="-2.35272949371894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09-41C7-B447-60BA15E858C2}"/>
                </c:ext>
              </c:extLst>
            </c:dLbl>
            <c:dLbl>
              <c:idx val="6"/>
              <c:layout>
                <c:manualLayout>
                  <c:x val="-1.6506189821183046E-2"/>
                  <c:y val="-1.93344228197890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B09-41C7-B447-60BA15E858C2}"/>
                </c:ext>
              </c:extLst>
            </c:dLbl>
            <c:dLbl>
              <c:idx val="7"/>
              <c:layout>
                <c:manualLayout>
                  <c:x val="-5.5020632737276479E-3"/>
                  <c:y val="-2.40707175753974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09-41C7-B447-60BA15E858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prog.'!$AW$41:$AW$48</c:f>
              <c:strCache>
                <c:ptCount val="8"/>
                <c:pt idx="0">
                  <c:v>M-0.5_0.25</c:v>
                </c:pt>
                <c:pt idx="1">
                  <c:v>M-0.5_0.30</c:v>
                </c:pt>
                <c:pt idx="2">
                  <c:v>M-0.5_0.35</c:v>
                </c:pt>
                <c:pt idx="3">
                  <c:v>M-0.7_0.25</c:v>
                </c:pt>
                <c:pt idx="4">
                  <c:v>M-0.7_0.30</c:v>
                </c:pt>
                <c:pt idx="5">
                  <c:v>M-0.7_0.35</c:v>
                </c:pt>
                <c:pt idx="6">
                  <c:v>M-1.0_0.30</c:v>
                </c:pt>
                <c:pt idx="7">
                  <c:v>M-1.0_0.35</c:v>
                </c:pt>
              </c:strCache>
            </c:strRef>
          </c:cat>
          <c:val>
            <c:numRef>
              <c:f>'Strength_3%CO2_full prog.'!$AX$41:$AX$48</c:f>
              <c:numCache>
                <c:formatCode>0.0</c:formatCode>
                <c:ptCount val="8"/>
                <c:pt idx="0">
                  <c:v>5.943124145585772</c:v>
                </c:pt>
                <c:pt idx="1">
                  <c:v>2.2152964438690801</c:v>
                </c:pt>
                <c:pt idx="2">
                  <c:v>1.4498151361928862</c:v>
                </c:pt>
                <c:pt idx="3">
                  <c:v>5.6411170508181439</c:v>
                </c:pt>
                <c:pt idx="4">
                  <c:v>3.9520065662476496</c:v>
                </c:pt>
                <c:pt idx="5">
                  <c:v>2.1833487369542768</c:v>
                </c:pt>
                <c:pt idx="6">
                  <c:v>4.1770831125127614</c:v>
                </c:pt>
                <c:pt idx="7">
                  <c:v>2.4145419495721527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09-41C7-B447-60BA15E858C2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506189821182918E-2"/>
                  <c:y val="-2.40707175753974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B09-41C7-B447-60BA15E858C2}"/>
                </c:ext>
              </c:extLst>
            </c:dLbl>
            <c:dLbl>
              <c:idx val="1"/>
              <c:layout>
                <c:manualLayout>
                  <c:x val="0"/>
                  <c:y val="-2.51572327044025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B09-41C7-B447-60BA15E858C2}"/>
                </c:ext>
              </c:extLst>
            </c:dLbl>
            <c:dLbl>
              <c:idx val="2"/>
              <c:layout>
                <c:manualLayout>
                  <c:x val="2.7510316368637737E-3"/>
                  <c:y val="-2.09643605870021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B09-41C7-B447-60BA15E858C2}"/>
                </c:ext>
              </c:extLst>
            </c:dLbl>
            <c:dLbl>
              <c:idx val="3"/>
              <c:layout>
                <c:manualLayout>
                  <c:x val="-1.0086999475955318E-16"/>
                  <c:y val="-2.5157232704402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B09-41C7-B447-60BA15E858C2}"/>
                </c:ext>
              </c:extLst>
            </c:dLbl>
            <c:dLbl>
              <c:idx val="4"/>
              <c:layout>
                <c:manualLayout>
                  <c:x val="1.3755158184319018E-2"/>
                  <c:y val="-2.29842024463922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B09-41C7-B447-60BA15E858C2}"/>
                </c:ext>
              </c:extLst>
            </c:dLbl>
            <c:dLbl>
              <c:idx val="5"/>
              <c:layout>
                <c:manualLayout>
                  <c:x val="-1.0086999475955318E-16"/>
                  <c:y val="-2.51572327044024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B09-41C7-B447-60BA15E858C2}"/>
                </c:ext>
              </c:extLst>
            </c:dLbl>
            <c:dLbl>
              <c:idx val="6"/>
              <c:layout>
                <c:manualLayout>
                  <c:x val="2.7510316368637229E-3"/>
                  <c:y val="-2.298420244639231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B09-41C7-B447-60BA15E858C2}"/>
                </c:ext>
              </c:extLst>
            </c:dLbl>
            <c:dLbl>
              <c:idx val="7"/>
              <c:layout>
                <c:manualLayout>
                  <c:x val="-8.253094910591471E-3"/>
                  <c:y val="-2.71770745637927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B09-41C7-B447-60BA15E858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'Strength_3%CO2_full prog.'!$AY$41:$AY$48</c:f>
              <c:numCache>
                <c:formatCode>0.0</c:formatCode>
                <c:ptCount val="8"/>
                <c:pt idx="0">
                  <c:v>6.2057341621453528</c:v>
                </c:pt>
                <c:pt idx="1">
                  <c:v>3.7606891011195374</c:v>
                </c:pt>
                <c:pt idx="2">
                  <c:v>1.8784672830708931</c:v>
                </c:pt>
                <c:pt idx="3">
                  <c:v>6.6369626982157257</c:v>
                </c:pt>
                <c:pt idx="4">
                  <c:v>3.4104763823565376</c:v>
                </c:pt>
                <c:pt idx="5">
                  <c:v>2.9887323346131272</c:v>
                </c:pt>
                <c:pt idx="6">
                  <c:v>6.0100694276922475</c:v>
                </c:pt>
                <c:pt idx="7">
                  <c:v>4.7301396331983963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B09-41C7-B447-60BA15E858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3790512"/>
        <c:axId val="1643790992"/>
      </c:barChart>
      <c:catAx>
        <c:axId val="164379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643790992"/>
        <c:crosses val="autoZero"/>
        <c:auto val="1"/>
        <c:lblAlgn val="ctr"/>
        <c:lblOffset val="100"/>
        <c:noMultiLvlLbl val="0"/>
      </c:catAx>
      <c:valAx>
        <c:axId val="1643790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Flexural strength, MPa</a:t>
                </a:r>
                <a:endParaRPr lang="en-BE" b="1"/>
              </a:p>
            </c:rich>
          </c:tx>
          <c:layout>
            <c:manualLayout>
              <c:xMode val="edge"/>
              <c:yMode val="edge"/>
              <c:x val="1.5085049509132488E-5"/>
              <c:y val="0.16299613857243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643790512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5491551159410855"/>
          <c:y val="5.4892371680377014E-2"/>
          <c:w val="0.33957868058789759"/>
          <c:h val="5.5650651087408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6208341907743"/>
          <c:y val="5.2097434509012448E-2"/>
          <c:w val="0.87617325000812318"/>
          <c:h val="0.60450961658227409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3.4737798006542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39-4D8E-910A-EEFF6F2FF8AE}"/>
                </c:ext>
              </c:extLst>
            </c:dLbl>
            <c:dLbl>
              <c:idx val="1"/>
              <c:layout>
                <c:manualLayout>
                  <c:x val="2.7509236603006351E-3"/>
                  <c:y val="-3.39500432171030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39-4D8E-910A-EEFF6F2FF8AE}"/>
                </c:ext>
              </c:extLst>
            </c:dLbl>
            <c:dLbl>
              <c:idx val="2"/>
              <c:layout>
                <c:manualLayout>
                  <c:x val="5.5020635711836947E-3"/>
                  <c:y val="-3.2768411032943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39-4D8E-910A-EEFF6F2FF8AE}"/>
                </c:ext>
              </c:extLst>
            </c:dLbl>
            <c:dLbl>
              <c:idx val="3"/>
              <c:layout>
                <c:manualLayout>
                  <c:x val="9.2987750485752878E-6"/>
                  <c:y val="-3.35561658223831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39-4D8E-910A-EEFF6F2FF8AE}"/>
                </c:ext>
              </c:extLst>
            </c:dLbl>
            <c:dLbl>
              <c:idx val="4"/>
              <c:layout>
                <c:manualLayout>
                  <c:x val="1.3863466516378243E-5"/>
                  <c:y val="-1.52571584716755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39-4D8E-910A-EEFF6F2FF8AE}"/>
                </c:ext>
              </c:extLst>
            </c:dLbl>
            <c:dLbl>
              <c:idx val="5"/>
              <c:layout>
                <c:manualLayout>
                  <c:x val="0"/>
                  <c:y val="-2.62241552690248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39-4D8E-910A-EEFF6F2FF8AE}"/>
                </c:ext>
              </c:extLst>
            </c:dLbl>
            <c:dLbl>
              <c:idx val="6"/>
              <c:layout>
                <c:manualLayout>
                  <c:x val="-2.7510316368637229E-3"/>
                  <c:y val="-1.74827701793498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239-4D8E-910A-EEFF6F2FF8AE}"/>
                </c:ext>
              </c:extLst>
            </c:dLbl>
            <c:dLbl>
              <c:idx val="7"/>
              <c:layout>
                <c:manualLayout>
                  <c:x val="0"/>
                  <c:y val="-2.54931827520771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39-4D8E-910A-EEFF6F2FF8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prog.'!$AW$41:$AW$48</c:f>
              <c:strCache>
                <c:ptCount val="8"/>
                <c:pt idx="0">
                  <c:v>M-0.5_0.25</c:v>
                </c:pt>
                <c:pt idx="1">
                  <c:v>M-0.5_0.30</c:v>
                </c:pt>
                <c:pt idx="2">
                  <c:v>M-0.5_0.35</c:v>
                </c:pt>
                <c:pt idx="3">
                  <c:v>M-0.7_0.25</c:v>
                </c:pt>
                <c:pt idx="4">
                  <c:v>M-0.7_0.30</c:v>
                </c:pt>
                <c:pt idx="5">
                  <c:v>M-0.7_0.35</c:v>
                </c:pt>
                <c:pt idx="6">
                  <c:v>M-1.0_0.30</c:v>
                </c:pt>
                <c:pt idx="7">
                  <c:v>M-1.0_0.35</c:v>
                </c:pt>
              </c:strCache>
            </c:strRef>
          </c:cat>
          <c:val>
            <c:numRef>
              <c:f>'Strength_3%CO2_full prog.'!$AZ$41:$AZ$48</c:f>
              <c:numCache>
                <c:formatCode>0.0</c:formatCode>
                <c:ptCount val="8"/>
                <c:pt idx="0">
                  <c:v>21.177486368109193</c:v>
                </c:pt>
                <c:pt idx="1">
                  <c:v>16.026181774001525</c:v>
                </c:pt>
                <c:pt idx="2">
                  <c:v>10.600128440031341</c:v>
                </c:pt>
                <c:pt idx="3">
                  <c:v>22.900667311577276</c:v>
                </c:pt>
                <c:pt idx="4">
                  <c:v>15.319900318734042</c:v>
                </c:pt>
                <c:pt idx="5">
                  <c:v>8.5042587691392963</c:v>
                </c:pt>
                <c:pt idx="6">
                  <c:v>10.82671633383136</c:v>
                </c:pt>
                <c:pt idx="7">
                  <c:v>8.128298995402691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39-4D8E-910A-EEFF6F2FF8AE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755158184319119E-2"/>
                  <c:y val="-1.53425074284566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39-4D8E-910A-EEFF6F2FF8AE}"/>
                </c:ext>
              </c:extLst>
            </c:dLbl>
            <c:dLbl>
              <c:idx val="1"/>
              <c:layout>
                <c:manualLayout>
                  <c:x val="1.0999360980840256E-2"/>
                  <c:y val="-2.20479069200796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239-4D8E-910A-EEFF6F2FF8AE}"/>
                </c:ext>
              </c:extLst>
            </c:dLbl>
            <c:dLbl>
              <c:idx val="2"/>
              <c:layout>
                <c:manualLayout>
                  <c:x val="1.375505080266805E-2"/>
                  <c:y val="-2.526559371546742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239-4D8E-910A-EEFF6F2FF8AE}"/>
                </c:ext>
              </c:extLst>
            </c:dLbl>
            <c:dLbl>
              <c:idx val="3"/>
              <c:layout>
                <c:manualLayout>
                  <c:x val="1.1008675497406015E-2"/>
                  <c:y val="-1.21536226158216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239-4D8E-910A-EEFF6F2FF8AE}"/>
                </c:ext>
              </c:extLst>
            </c:dLbl>
            <c:dLbl>
              <c:idx val="4"/>
              <c:layout>
                <c:manualLayout>
                  <c:x val="5.506612223678267E-3"/>
                  <c:y val="-2.12601498149510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239-4D8E-910A-EEFF6F2FF8AE}"/>
                </c:ext>
              </c:extLst>
            </c:dLbl>
            <c:dLbl>
              <c:idx val="5"/>
              <c:layout>
                <c:manualLayout>
                  <c:x val="5.5020632737275473E-3"/>
                  <c:y val="-2.11224902072396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239-4D8E-910A-EEFF6F2FF8AE}"/>
                </c:ext>
              </c:extLst>
            </c:dLbl>
            <c:dLbl>
              <c:idx val="6"/>
              <c:layout>
                <c:manualLayout>
                  <c:x val="1.1004126547455296E-2"/>
                  <c:y val="-8.010412572727290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239-4D8E-910A-EEFF6F2FF8AE}"/>
                </c:ext>
              </c:extLst>
            </c:dLbl>
            <c:dLbl>
              <c:idx val="7"/>
              <c:layout>
                <c:manualLayout>
                  <c:x val="1.9257207432655094E-2"/>
                  <c:y val="-7.285561301466647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239-4D8E-910A-EEFF6F2FF8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'Strength_3%CO2_full prog.'!$BA$41:$BA$48</c:f>
              <c:numCache>
                <c:formatCode>0.0</c:formatCode>
                <c:ptCount val="8"/>
                <c:pt idx="0">
                  <c:v>19.335782833025011</c:v>
                </c:pt>
                <c:pt idx="1">
                  <c:v>12.047866144363789</c:v>
                </c:pt>
                <c:pt idx="2">
                  <c:v>6.2592532249491803</c:v>
                </c:pt>
                <c:pt idx="3">
                  <c:v>14.226689785898861</c:v>
                </c:pt>
                <c:pt idx="4">
                  <c:v>6.0578893442622954</c:v>
                </c:pt>
                <c:pt idx="5">
                  <c:v>6.964046362633681</c:v>
                </c:pt>
                <c:pt idx="6">
                  <c:v>8.3347694157397143</c:v>
                </c:pt>
                <c:pt idx="7">
                  <c:v>7.8767266638760995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239-4D8E-910A-EEFF6F2FF8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3790512"/>
        <c:axId val="1643790992"/>
      </c:barChart>
      <c:catAx>
        <c:axId val="164379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643790992"/>
        <c:crosses val="autoZero"/>
        <c:auto val="1"/>
        <c:lblAlgn val="ctr"/>
        <c:lblOffset val="100"/>
        <c:noMultiLvlLbl val="0"/>
      </c:catAx>
      <c:valAx>
        <c:axId val="1643790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Compressive strength, MPa</a:t>
                </a:r>
                <a:endParaRPr lang="en-BE" b="1"/>
              </a:p>
            </c:rich>
          </c:tx>
          <c:layout>
            <c:manualLayout>
              <c:xMode val="edge"/>
              <c:yMode val="edge"/>
              <c:x val="2.7661948033662225E-3"/>
              <c:y val="0.16299597913715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643790512"/>
        <c:crosses val="autoZero"/>
        <c:crossBetween val="between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3838658597427389"/>
          <c:y val="6.1120394260401223E-2"/>
          <c:w val="0.33957868058789759"/>
          <c:h val="5.5650651087408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prog.'!$AW$53:$AW$54</c:f>
              <c:strCache>
                <c:ptCount val="2"/>
                <c:pt idx="0">
                  <c:v>M-0.5_0.25</c:v>
                </c:pt>
                <c:pt idx="1">
                  <c:v>M-0.7_0.25</c:v>
                </c:pt>
              </c:strCache>
            </c:strRef>
          </c:cat>
          <c:val>
            <c:numRef>
              <c:f>'Strength_3%CO2_full prog.'!$AX$53:$AX$54</c:f>
              <c:numCache>
                <c:formatCode>0.0</c:formatCode>
                <c:ptCount val="2"/>
                <c:pt idx="0">
                  <c:v>5.943124145585772</c:v>
                </c:pt>
                <c:pt idx="1">
                  <c:v>5.6411170508181439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5-43A3-8885-B3B2993E7433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2"/>
            </a:solidFill>
            <a:ln w="0">
              <a:solidFill>
                <a:schemeClr val="accent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'Strength_3%CO2_full prog.'!$AY$53:$AY$54</c:f>
              <c:numCache>
                <c:formatCode>0.0</c:formatCode>
                <c:ptCount val="2"/>
                <c:pt idx="0">
                  <c:v>6.2057341621453528</c:v>
                </c:pt>
                <c:pt idx="1">
                  <c:v>6.6369626982157257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5-43A3-8885-B3B2993E74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33"/>
        <c:axId val="978373952"/>
        <c:axId val="978382112"/>
      </c:barChart>
      <c:catAx>
        <c:axId val="9783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82112"/>
        <c:crosses val="autoZero"/>
        <c:auto val="1"/>
        <c:lblAlgn val="ctr"/>
        <c:lblOffset val="100"/>
        <c:noMultiLvlLbl val="0"/>
      </c:catAx>
      <c:valAx>
        <c:axId val="978382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Flexural Strength, MPa</a:t>
                </a:r>
                <a:endParaRPr lang="en-BE" sz="1200" b="1"/>
              </a:p>
            </c:rich>
          </c:tx>
          <c:layout>
            <c:manualLayout>
              <c:xMode val="edge"/>
              <c:yMode val="edge"/>
              <c:x val="1.5190494352213662E-2"/>
              <c:y val="0.19374234338257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73952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prog.'!$AW$55:$AW$57</c:f>
              <c:strCache>
                <c:ptCount val="3"/>
                <c:pt idx="0">
                  <c:v>M-0.5_0.30</c:v>
                </c:pt>
                <c:pt idx="1">
                  <c:v>M-0.7_0.30</c:v>
                </c:pt>
                <c:pt idx="2">
                  <c:v>M-1.0_0.30</c:v>
                </c:pt>
              </c:strCache>
            </c:strRef>
          </c:cat>
          <c:val>
            <c:numRef>
              <c:f>'Strength_3%CO2_full prog.'!$AX$55:$AX$57</c:f>
              <c:numCache>
                <c:formatCode>0.0</c:formatCode>
                <c:ptCount val="3"/>
                <c:pt idx="0">
                  <c:v>2.2152964438690801</c:v>
                </c:pt>
                <c:pt idx="1">
                  <c:v>3.9520065662476496</c:v>
                </c:pt>
                <c:pt idx="2">
                  <c:v>4.1770831125127614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4-47D6-86D5-2B9D3D7CF03A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prog.'!$AW$55:$AW$57</c:f>
              <c:strCache>
                <c:ptCount val="3"/>
                <c:pt idx="0">
                  <c:v>M-0.5_0.30</c:v>
                </c:pt>
                <c:pt idx="1">
                  <c:v>M-0.7_0.30</c:v>
                </c:pt>
                <c:pt idx="2">
                  <c:v>M-1.0_0.30</c:v>
                </c:pt>
              </c:strCache>
            </c:strRef>
          </c:cat>
          <c:val>
            <c:numRef>
              <c:f>'Strength_3%CO2_full prog.'!$AY$55:$AY$57</c:f>
              <c:numCache>
                <c:formatCode>0.0</c:formatCode>
                <c:ptCount val="3"/>
                <c:pt idx="0">
                  <c:v>3.7606891011195374</c:v>
                </c:pt>
                <c:pt idx="1">
                  <c:v>3.4104763823565376</c:v>
                </c:pt>
                <c:pt idx="2">
                  <c:v>6.0100694276922475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C4-47D6-86D5-2B9D3D7CF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33"/>
        <c:axId val="978373952"/>
        <c:axId val="978382112"/>
      </c:barChart>
      <c:catAx>
        <c:axId val="9783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82112"/>
        <c:crosses val="autoZero"/>
        <c:auto val="1"/>
        <c:lblAlgn val="ctr"/>
        <c:lblOffset val="100"/>
        <c:noMultiLvlLbl val="0"/>
      </c:catAx>
      <c:valAx>
        <c:axId val="978382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Flexural Strength, MPa</a:t>
                </a:r>
                <a:endParaRPr lang="en-BE" sz="1200" b="1"/>
              </a:p>
            </c:rich>
          </c:tx>
          <c:layout>
            <c:manualLayout>
              <c:xMode val="edge"/>
              <c:yMode val="edge"/>
              <c:x val="8.2438502608809267E-3"/>
              <c:y val="0.169300904905634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73952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prog.'!$AW$58:$AW$60</c:f>
              <c:strCache>
                <c:ptCount val="3"/>
                <c:pt idx="0">
                  <c:v>M-0.5_0.35</c:v>
                </c:pt>
                <c:pt idx="1">
                  <c:v>M-0.7_0.35</c:v>
                </c:pt>
                <c:pt idx="2">
                  <c:v>M-1.0_0.35</c:v>
                </c:pt>
              </c:strCache>
            </c:strRef>
          </c:cat>
          <c:val>
            <c:numRef>
              <c:f>'Strength_3%CO2_full prog.'!$AX$58:$AX$60</c:f>
              <c:numCache>
                <c:formatCode>0.0</c:formatCode>
                <c:ptCount val="3"/>
                <c:pt idx="0">
                  <c:v>1.4498151361928862</c:v>
                </c:pt>
                <c:pt idx="1">
                  <c:v>2.1833487369542768</c:v>
                </c:pt>
                <c:pt idx="2">
                  <c:v>2.4145419495721527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0-45C6-9811-79A0695C64D7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prog.'!$AW$58:$AW$60</c:f>
              <c:strCache>
                <c:ptCount val="3"/>
                <c:pt idx="0">
                  <c:v>M-0.5_0.35</c:v>
                </c:pt>
                <c:pt idx="1">
                  <c:v>M-0.7_0.35</c:v>
                </c:pt>
                <c:pt idx="2">
                  <c:v>M-1.0_0.35</c:v>
                </c:pt>
              </c:strCache>
            </c:strRef>
          </c:cat>
          <c:val>
            <c:numRef>
              <c:f>'Strength_3%CO2_full prog.'!$AY$58:$AY$60</c:f>
              <c:numCache>
                <c:formatCode>0.0</c:formatCode>
                <c:ptCount val="3"/>
                <c:pt idx="0">
                  <c:v>1.8784672830708931</c:v>
                </c:pt>
                <c:pt idx="1">
                  <c:v>2.9887323346131272</c:v>
                </c:pt>
                <c:pt idx="2">
                  <c:v>4.7301396331983963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70-45C6-9811-79A0695C6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33"/>
        <c:axId val="978373952"/>
        <c:axId val="978382112"/>
      </c:barChart>
      <c:catAx>
        <c:axId val="9783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82112"/>
        <c:crosses val="autoZero"/>
        <c:auto val="1"/>
        <c:lblAlgn val="ctr"/>
        <c:lblOffset val="100"/>
        <c:noMultiLvlLbl val="0"/>
      </c:catAx>
      <c:valAx>
        <c:axId val="978382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Flexural Strength, MPa</a:t>
                </a:r>
                <a:endParaRPr lang="en-BE" sz="1200" b="1"/>
              </a:p>
            </c:rich>
          </c:tx>
          <c:layout>
            <c:manualLayout>
              <c:xMode val="edge"/>
              <c:yMode val="edge"/>
              <c:x val="1.0992764009567033E-2"/>
              <c:y val="0.16973311320838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73952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665257514975986"/>
          <c:y val="5.3783789743628671E-2"/>
          <c:w val="0.74146263949102642"/>
          <c:h val="0.82310020637965831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prog.'!$AW$53:$AW$54</c:f>
              <c:strCache>
                <c:ptCount val="2"/>
                <c:pt idx="0">
                  <c:v>M-0.5_0.25</c:v>
                </c:pt>
                <c:pt idx="1">
                  <c:v>M-0.7_0.25</c:v>
                </c:pt>
              </c:strCache>
            </c:strRef>
          </c:cat>
          <c:val>
            <c:numRef>
              <c:f>'Strength_3%CO2_full prog.'!$AZ$53:$AZ$54</c:f>
              <c:numCache>
                <c:formatCode>0.0</c:formatCode>
                <c:ptCount val="2"/>
                <c:pt idx="0">
                  <c:v>21.177486368109193</c:v>
                </c:pt>
                <c:pt idx="1">
                  <c:v>22.900667311577276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3-4839-B344-3DD37790965F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'Strength_3%CO2_full prog.'!$BA$53:$BA$54</c:f>
              <c:numCache>
                <c:formatCode>0.0</c:formatCode>
                <c:ptCount val="2"/>
                <c:pt idx="0">
                  <c:v>19.335782833025011</c:v>
                </c:pt>
                <c:pt idx="1">
                  <c:v>14.226689785898861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3-4839-B344-3DD377909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8373952"/>
        <c:axId val="978382112"/>
      </c:barChart>
      <c:catAx>
        <c:axId val="9783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82112"/>
        <c:crosses val="autoZero"/>
        <c:auto val="1"/>
        <c:lblAlgn val="ctr"/>
        <c:lblOffset val="100"/>
        <c:noMultiLvlLbl val="0"/>
      </c:catAx>
      <c:valAx>
        <c:axId val="978382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Compressive Strength, MPa</a:t>
                </a:r>
                <a:endParaRPr lang="en-BE" sz="1200" b="1"/>
              </a:p>
            </c:rich>
          </c:tx>
          <c:layout>
            <c:manualLayout>
              <c:xMode val="edge"/>
              <c:yMode val="edge"/>
              <c:x val="0"/>
              <c:y val="0.107285971931065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73952"/>
        <c:crosses val="autoZero"/>
        <c:crossBetween val="between"/>
        <c:majorUnit val="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prog.'!$AW$55:$AW$57</c:f>
              <c:strCache>
                <c:ptCount val="3"/>
                <c:pt idx="0">
                  <c:v>M-0.5_0.30</c:v>
                </c:pt>
                <c:pt idx="1">
                  <c:v>M-0.7_0.30</c:v>
                </c:pt>
                <c:pt idx="2">
                  <c:v>M-1.0_0.30</c:v>
                </c:pt>
              </c:strCache>
            </c:strRef>
          </c:cat>
          <c:val>
            <c:numRef>
              <c:f>'Strength_3%CO2_full prog.'!$AZ$55:$AZ$57</c:f>
              <c:numCache>
                <c:formatCode>0.0</c:formatCode>
                <c:ptCount val="3"/>
                <c:pt idx="0">
                  <c:v>16.026181774001525</c:v>
                </c:pt>
                <c:pt idx="1">
                  <c:v>15.319900318734042</c:v>
                </c:pt>
                <c:pt idx="2">
                  <c:v>10.82671633383136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7-49DA-97F6-4A0A29EBBD98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prog.'!$AW$55:$AW$57</c:f>
              <c:strCache>
                <c:ptCount val="3"/>
                <c:pt idx="0">
                  <c:v>M-0.5_0.30</c:v>
                </c:pt>
                <c:pt idx="1">
                  <c:v>M-0.7_0.30</c:v>
                </c:pt>
                <c:pt idx="2">
                  <c:v>M-1.0_0.30</c:v>
                </c:pt>
              </c:strCache>
            </c:strRef>
          </c:cat>
          <c:val>
            <c:numRef>
              <c:f>'Strength_3%CO2_full prog.'!$BA$55:$BA$57</c:f>
              <c:numCache>
                <c:formatCode>0.0</c:formatCode>
                <c:ptCount val="3"/>
                <c:pt idx="0">
                  <c:v>12.047866144363789</c:v>
                </c:pt>
                <c:pt idx="1">
                  <c:v>6.0578893442622954</c:v>
                </c:pt>
                <c:pt idx="2">
                  <c:v>8.3347694157397143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A7-49DA-97F6-4A0A29EBB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33"/>
        <c:axId val="978373952"/>
        <c:axId val="978382112"/>
      </c:barChart>
      <c:catAx>
        <c:axId val="9783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82112"/>
        <c:crosses val="autoZero"/>
        <c:auto val="1"/>
        <c:lblAlgn val="ctr"/>
        <c:lblOffset val="100"/>
        <c:noMultiLvlLbl val="0"/>
      </c:catAx>
      <c:valAx>
        <c:axId val="978382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Compressive Strength, MPa</a:t>
                </a:r>
                <a:endParaRPr lang="en-BE" sz="1200" b="1"/>
              </a:p>
            </c:rich>
          </c:tx>
          <c:layout>
            <c:manualLayout>
              <c:xMode val="edge"/>
              <c:yMode val="edge"/>
              <c:x val="1.0899560987791596E-2"/>
              <c:y val="0.118058303897361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73952"/>
        <c:crosses val="autoZero"/>
        <c:crossBetween val="between"/>
        <c:majorUnit val="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prog.'!$AW$58:$AW$60</c:f>
              <c:strCache>
                <c:ptCount val="3"/>
                <c:pt idx="0">
                  <c:v>M-0.5_0.35</c:v>
                </c:pt>
                <c:pt idx="1">
                  <c:v>M-0.7_0.35</c:v>
                </c:pt>
                <c:pt idx="2">
                  <c:v>M-1.0_0.35</c:v>
                </c:pt>
              </c:strCache>
            </c:strRef>
          </c:cat>
          <c:val>
            <c:numRef>
              <c:f>'Strength_3%CO2_full prog.'!$AZ$58:$AZ$60</c:f>
              <c:numCache>
                <c:formatCode>0.0</c:formatCode>
                <c:ptCount val="3"/>
                <c:pt idx="0">
                  <c:v>10.600128440031341</c:v>
                </c:pt>
                <c:pt idx="1">
                  <c:v>8.5042587691392963</c:v>
                </c:pt>
                <c:pt idx="2">
                  <c:v>8.128298995402691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6-42EE-9BCC-7AB37A17CB17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prog.'!$AW$58:$AW$60</c:f>
              <c:strCache>
                <c:ptCount val="3"/>
                <c:pt idx="0">
                  <c:v>M-0.5_0.35</c:v>
                </c:pt>
                <c:pt idx="1">
                  <c:v>M-0.7_0.35</c:v>
                </c:pt>
                <c:pt idx="2">
                  <c:v>M-1.0_0.35</c:v>
                </c:pt>
              </c:strCache>
            </c:strRef>
          </c:cat>
          <c:val>
            <c:numRef>
              <c:f>'Strength_3%CO2_full prog.'!$BA$58:$BA$60</c:f>
              <c:numCache>
                <c:formatCode>0.0</c:formatCode>
                <c:ptCount val="3"/>
                <c:pt idx="0">
                  <c:v>6.2592532249491803</c:v>
                </c:pt>
                <c:pt idx="1">
                  <c:v>6.964046362633681</c:v>
                </c:pt>
                <c:pt idx="2">
                  <c:v>7.8767266638760995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6-42EE-9BCC-7AB37A17C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33"/>
        <c:axId val="978373952"/>
        <c:axId val="978382112"/>
      </c:barChart>
      <c:catAx>
        <c:axId val="9783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82112"/>
        <c:crosses val="autoZero"/>
        <c:auto val="1"/>
        <c:lblAlgn val="ctr"/>
        <c:lblOffset val="100"/>
        <c:noMultiLvlLbl val="0"/>
      </c:catAx>
      <c:valAx>
        <c:axId val="978382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Compressive Strength</a:t>
                </a:r>
                <a:endParaRPr lang="en-BE" sz="1400"/>
              </a:p>
            </c:rich>
          </c:tx>
          <c:layout>
            <c:manualLayout>
              <c:xMode val="edge"/>
              <c:yMode val="edge"/>
              <c:x val="5.337887486859638E-3"/>
              <c:y val="0.180143444874263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73952"/>
        <c:crosses val="autoZero"/>
        <c:crossBetween val="between"/>
        <c:majorUnit val="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24338488248723"/>
          <c:y val="0.18449516889212034"/>
          <c:w val="0.74146263949102642"/>
          <c:h val="0.67586732409628536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8.2763374257218886E-2"/>
                  <c:y val="-1.86167694748292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74-4174-979D-62F1247232B9}"/>
                </c:ext>
              </c:extLst>
            </c:dLbl>
            <c:dLbl>
              <c:idx val="1"/>
              <c:layout>
                <c:manualLayout>
                  <c:x val="-8.4267022509911332E-2"/>
                  <c:y val="4.45310520811692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74-4174-979D-62F1247232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prog.'!$AW$53:$AW$54</c:f>
              <c:strCache>
                <c:ptCount val="2"/>
                <c:pt idx="0">
                  <c:v>M-0.5_0.25</c:v>
                </c:pt>
                <c:pt idx="1">
                  <c:v>M-0.7_0.25</c:v>
                </c:pt>
              </c:strCache>
            </c:strRef>
          </c:cat>
          <c:val>
            <c:numRef>
              <c:f>'Strength_3%CO2_full prog.'!$AZ$53:$AZ$54</c:f>
              <c:numCache>
                <c:formatCode>0.0</c:formatCode>
                <c:ptCount val="2"/>
                <c:pt idx="0">
                  <c:v>21.177486368109193</c:v>
                </c:pt>
                <c:pt idx="1">
                  <c:v>22.900667311577276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74-4174-979D-62F1247232B9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7452010004405033E-2"/>
                  <c:y val="-5.00974335913153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74-4174-979D-62F1247232B9}"/>
                </c:ext>
              </c:extLst>
            </c:dLbl>
            <c:dLbl>
              <c:idx val="1"/>
              <c:layout>
                <c:manualLayout>
                  <c:x val="5.617801500660755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74-4174-979D-62F1247232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'Strength_3%CO2_full prog.'!$BA$53:$BA$54</c:f>
              <c:numCache>
                <c:formatCode>0.0</c:formatCode>
                <c:ptCount val="2"/>
                <c:pt idx="0">
                  <c:v>19.335782833025011</c:v>
                </c:pt>
                <c:pt idx="1">
                  <c:v>14.226689785898861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74-4174-979D-62F1247232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33"/>
        <c:axId val="978373952"/>
        <c:axId val="978382112"/>
      </c:barChart>
      <c:catAx>
        <c:axId val="9783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82112"/>
        <c:crosses val="autoZero"/>
        <c:auto val="1"/>
        <c:lblAlgn val="ctr"/>
        <c:lblOffset val="100"/>
        <c:noMultiLvlLbl val="0"/>
      </c:catAx>
      <c:valAx>
        <c:axId val="97838211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/>
                  <a:t>Compressive Strength, MPa</a:t>
                </a:r>
                <a:endParaRPr lang="en-BE" sz="1000" b="1"/>
              </a:p>
            </c:rich>
          </c:tx>
          <c:layout>
            <c:manualLayout>
              <c:xMode val="edge"/>
              <c:yMode val="edge"/>
              <c:x val="1.1778482906669899E-2"/>
              <c:y val="0.1913148861934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73952"/>
        <c:crosses val="autoZero"/>
        <c:crossBetween val="between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1916164406599418"/>
          <c:y val="0.10481883069766006"/>
          <c:w val="0.61726441819445188"/>
          <c:h val="5.4273534617195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12700"/>
    </a:effectLst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111423201174032"/>
          <c:y val="0.10250700975893165"/>
          <c:w val="0.7028014296118269"/>
          <c:h val="0.64421848555526562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5346050416004843E-2"/>
                  <c:y val="-4.277426471207364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D4-4B69-ADB3-CB2E505F05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'Strength_3%CO2_full prog.'!$AW$53:$AW$54</c15:sqref>
                  </c15:fullRef>
                </c:ext>
              </c:extLst>
              <c:f>'Strength_3%CO2_full prog.'!$AW$53</c:f>
              <c:strCache>
                <c:ptCount val="1"/>
                <c:pt idx="0">
                  <c:v>M-0.5_0.25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'Strength_3%CO2_full prog.'!$AX$53:$AX$54</c15:sqref>
                  </c15:fullRef>
                </c:ext>
              </c:extLst>
              <c:f>'Strength_3%CO2_full prog.'!$AX$53</c:f>
              <c:numCache>
                <c:formatCode>0.0</c:formatCode>
                <c:ptCount val="1"/>
                <c:pt idx="0">
                  <c:v>5.943124145585772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D4-4B69-ADB3-CB2E505F05CD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2"/>
            </a:solidFill>
            <a:ln w="0">
              <a:solidFill>
                <a:schemeClr val="accent2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5346050416004843E-2"/>
                  <c:y val="-4.27742647120736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D4-4B69-ADB3-CB2E505F05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"/>
              <c:pt idx="0">
                <c:v>M-0.5_0.25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'Strength_3%CO2_full prog.'!$AY$53:$AY$54</c15:sqref>
                  </c15:fullRef>
                </c:ext>
              </c:extLst>
              <c:f>'Strength_3%CO2_full prog.'!$AY$53</c:f>
              <c:numCache>
                <c:formatCode>0.0</c:formatCode>
                <c:ptCount val="1"/>
                <c:pt idx="0">
                  <c:v>6.2057341621453528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D4-4B69-ADB3-CB2E505F05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33"/>
        <c:axId val="978373952"/>
        <c:axId val="978382112"/>
      </c:barChart>
      <c:catAx>
        <c:axId val="9783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82112"/>
        <c:crosses val="autoZero"/>
        <c:auto val="1"/>
        <c:lblAlgn val="ctr"/>
        <c:lblOffset val="100"/>
        <c:noMultiLvlLbl val="0"/>
      </c:catAx>
      <c:valAx>
        <c:axId val="97838211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/>
                  <a:t>Flexural Strength, MPa</a:t>
                </a:r>
                <a:endParaRPr lang="en-BE" sz="1000" b="1"/>
              </a:p>
            </c:rich>
          </c:tx>
          <c:layout>
            <c:manualLayout>
              <c:xMode val="edge"/>
              <c:yMode val="edge"/>
              <c:x val="5.2783163328497917E-2"/>
              <c:y val="0.21987959212886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978373952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2874774416079766"/>
          <c:y val="2.7870296304404567E-2"/>
          <c:w val="0.59697836153274553"/>
          <c:h val="7.37647247038218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12700"/>
    </a:effectLst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87415388865865"/>
          <c:y val="5.0925925925925923E-2"/>
          <c:w val="0.51890868904544829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3157894736842107E-2"/>
                  <c:y val="-2.780996523754345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79-4F3B-A7A3-45DA5E3FF7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prog.'!$AW$53</c:f>
              <c:strCache>
                <c:ptCount val="1"/>
                <c:pt idx="0">
                  <c:v>M-0.5_0.25</c:v>
                </c:pt>
              </c:strCache>
            </c:strRef>
          </c:cat>
          <c:val>
            <c:numRef>
              <c:f>'Strength_3%CO2_full prog.'!$AX$53</c:f>
              <c:numCache>
                <c:formatCode>0.0</c:formatCode>
                <c:ptCount val="1"/>
                <c:pt idx="0">
                  <c:v>5.943124145585772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79-4F3B-A7A3-45DA5E3FF707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6666666666666666E-2"/>
                  <c:y val="-3.24449594438006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79-4F3B-A7A3-45DA5E3FF7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prog.'!$AW$53</c:f>
              <c:strCache>
                <c:ptCount val="1"/>
                <c:pt idx="0">
                  <c:v>M-0.5_0.25</c:v>
                </c:pt>
              </c:strCache>
            </c:strRef>
          </c:cat>
          <c:val>
            <c:numRef>
              <c:f>'Strength_3%CO2_full prog.'!$AY$53</c:f>
              <c:numCache>
                <c:formatCode>0.0</c:formatCode>
                <c:ptCount val="1"/>
                <c:pt idx="0">
                  <c:v>6.2057341621453528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79-4F3B-A7A3-45DA5E3FF7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7917999"/>
        <c:axId val="1717909839"/>
      </c:barChart>
      <c:catAx>
        <c:axId val="171791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17909839"/>
        <c:crosses val="autoZero"/>
        <c:auto val="1"/>
        <c:lblAlgn val="ctr"/>
        <c:lblOffset val="100"/>
        <c:noMultiLvlLbl val="0"/>
      </c:catAx>
      <c:valAx>
        <c:axId val="1717909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Flexural Strength, MPa</a:t>
                </a:r>
                <a:endParaRPr lang="en-BE"/>
              </a:p>
            </c:rich>
          </c:tx>
          <c:layout>
            <c:manualLayout>
              <c:xMode val="edge"/>
              <c:yMode val="edge"/>
              <c:x val="2.7350739052355296E-2"/>
              <c:y val="0.26554064287734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17917999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379499930929691"/>
          <c:y val="0.38942418408591162"/>
          <c:w val="0.19857359386713214"/>
          <c:h val="0.197917760279964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87415388865865"/>
          <c:y val="5.0925925925925923E-2"/>
          <c:w val="0.51890868904544829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prog.'!$AW$53</c:f>
              <c:strCache>
                <c:ptCount val="1"/>
                <c:pt idx="0">
                  <c:v>M-0.5_0.25</c:v>
                </c:pt>
              </c:strCache>
            </c:strRef>
          </c:cat>
          <c:val>
            <c:numRef>
              <c:f>'Strength_3%CO2_full prog.'!$AZ$41</c:f>
              <c:numCache>
                <c:formatCode>0.0</c:formatCode>
                <c:ptCount val="1"/>
                <c:pt idx="0">
                  <c:v>21.177486368109193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2-42DD-ABC5-837F3CAED061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prog.'!$AW$53</c:f>
              <c:strCache>
                <c:ptCount val="1"/>
                <c:pt idx="0">
                  <c:v>M-0.5_0.25</c:v>
                </c:pt>
              </c:strCache>
            </c:strRef>
          </c:cat>
          <c:val>
            <c:numRef>
              <c:f>'Strength_3%CO2_full prog.'!$BA$41</c:f>
              <c:numCache>
                <c:formatCode>0.0</c:formatCode>
                <c:ptCount val="1"/>
                <c:pt idx="0">
                  <c:v>19.335782833025011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2-42DD-ABC5-837F3CAED0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7917999"/>
        <c:axId val="1717909839"/>
      </c:barChart>
      <c:catAx>
        <c:axId val="171791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17909839"/>
        <c:crosses val="autoZero"/>
        <c:auto val="1"/>
        <c:lblAlgn val="ctr"/>
        <c:lblOffset val="100"/>
        <c:noMultiLvlLbl val="0"/>
      </c:catAx>
      <c:valAx>
        <c:axId val="1717909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Compressive Strength, MPa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0345574141235851E-2"/>
              <c:y val="0.19593510787949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17917999"/>
        <c:crosses val="autoZero"/>
        <c:crossBetween val="between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87415388865865"/>
          <c:y val="5.0925925925925923E-2"/>
          <c:w val="0.51890868904544829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777549826842344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8F-4B50-910D-2D0734C839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d'!$I$35</c:f>
                <c:numCache>
                  <c:formatCode>General</c:formatCode>
                  <c:ptCount val="1"/>
                  <c:pt idx="0">
                    <c:v>3.3107705065154502</c:v>
                  </c:pt>
                </c:numCache>
              </c:numRef>
            </c:plus>
            <c:minus>
              <c:numRef>
                <c:f>'Strength_20%CO2_7 d'!$I$35</c:f>
                <c:numCache>
                  <c:formatCode>General</c:formatCode>
                  <c:ptCount val="1"/>
                  <c:pt idx="0">
                    <c:v>3.3107705065154502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prog.'!$AW$53</c:f>
              <c:strCache>
                <c:ptCount val="1"/>
                <c:pt idx="0">
                  <c:v>M-0.5_0.25</c:v>
                </c:pt>
              </c:strCache>
            </c:strRef>
          </c:cat>
          <c:val>
            <c:numRef>
              <c:f>'Strength_20%CO2_7 d'!$M$34</c:f>
              <c:numCache>
                <c:formatCode>0.0</c:formatCode>
                <c:ptCount val="1"/>
                <c:pt idx="0">
                  <c:v>33.803304816077627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8F-4B50-910D-2D0734C839F0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3028748819379627E-2"/>
                  <c:y val="-2.225755389833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8F-4B50-910D-2D0734C839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d'!$I$40</c:f>
                <c:numCache>
                  <c:formatCode>General</c:formatCode>
                  <c:ptCount val="1"/>
                  <c:pt idx="0">
                    <c:v>9.4051883578464253</c:v>
                  </c:pt>
                </c:numCache>
              </c:numRef>
            </c:plus>
            <c:minus>
              <c:numRef>
                <c:f>'Strength_20%CO2_7 d'!$I$40</c:f>
                <c:numCache>
                  <c:formatCode>General</c:formatCode>
                  <c:ptCount val="1"/>
                  <c:pt idx="0">
                    <c:v>9.4051883578464253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prog.'!$AW$53</c:f>
              <c:strCache>
                <c:ptCount val="1"/>
                <c:pt idx="0">
                  <c:v>M-0.5_0.25</c:v>
                </c:pt>
              </c:strCache>
            </c:strRef>
          </c:cat>
          <c:val>
            <c:numRef>
              <c:f>'Strength_20%CO2_7 d'!$M$35</c:f>
              <c:numCache>
                <c:formatCode>0.0</c:formatCode>
                <c:ptCount val="1"/>
                <c:pt idx="0">
                  <c:v>40.090672066096651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8F-4B50-910D-2D0734C839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7917999"/>
        <c:axId val="1717909839"/>
      </c:barChart>
      <c:catAx>
        <c:axId val="171791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17909839"/>
        <c:crosses val="autoZero"/>
        <c:auto val="1"/>
        <c:lblAlgn val="ctr"/>
        <c:lblOffset val="100"/>
        <c:noMultiLvlLbl val="0"/>
      </c:catAx>
      <c:valAx>
        <c:axId val="1717909839"/>
        <c:scaling>
          <c:orientation val="minMax"/>
          <c:max val="50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Compressive Strength, MPa</a:t>
                </a:r>
                <a:endParaRPr lang="en-BE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3275002637519134E-2"/>
              <c:y val="0.20038668556630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17917999"/>
        <c:crosses val="autoZero"/>
        <c:crossBetween val="between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87415388865865"/>
          <c:y val="5.0925925925925923E-2"/>
          <c:w val="0.50139553484010635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86-4579-9252-BF7463C10447}"/>
              </c:ext>
            </c:extLst>
          </c:dPt>
          <c:dLbls>
            <c:dLbl>
              <c:idx val="0"/>
              <c:layout>
                <c:manualLayout>
                  <c:x val="-8.0560420315236428E-2"/>
                  <c:y val="-4.1779705809462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86-4579-9252-BF7463C104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d'!$I$4</c:f>
                <c:numCache>
                  <c:formatCode>General</c:formatCode>
                  <c:ptCount val="1"/>
                  <c:pt idx="0">
                    <c:v>1.5485748410034552</c:v>
                  </c:pt>
                </c:numCache>
              </c:numRef>
            </c:plus>
            <c:minus>
              <c:numRef>
                <c:f>'Strength_20%CO2_7 d'!$I$4</c:f>
                <c:numCache>
                  <c:formatCode>General</c:formatCode>
                  <c:ptCount val="1"/>
                  <c:pt idx="0">
                    <c:v>1.5485748410034552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prog.'!$AW$53</c:f>
              <c:strCache>
                <c:ptCount val="1"/>
                <c:pt idx="0">
                  <c:v>M-0.5_0.25</c:v>
                </c:pt>
              </c:strCache>
            </c:strRef>
          </c:cat>
          <c:val>
            <c:numRef>
              <c:f>'Strength_20%CO2_7 d'!$N$34</c:f>
              <c:numCache>
                <c:formatCode>0.0</c:formatCode>
                <c:ptCount val="1"/>
                <c:pt idx="0">
                  <c:v>4.9553116021219354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86-4579-9252-BF7463C10447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6.6549912434325814E-2"/>
                  <c:y val="-3.24953267406931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86-4579-9252-BF7463C104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d'!$I$7</c:f>
                <c:numCache>
                  <c:formatCode>General</c:formatCode>
                  <c:ptCount val="1"/>
                  <c:pt idx="0">
                    <c:v>1.4193747973254112</c:v>
                  </c:pt>
                </c:numCache>
              </c:numRef>
            </c:plus>
            <c:minus>
              <c:numRef>
                <c:f>'Strength_20%CO2_7 d'!$I$7</c:f>
                <c:numCache>
                  <c:formatCode>General</c:formatCode>
                  <c:ptCount val="1"/>
                  <c:pt idx="0">
                    <c:v>1.4193747973254112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'Strength_3%CO2_full prog.'!$AW$53</c:f>
              <c:strCache>
                <c:ptCount val="1"/>
                <c:pt idx="0">
                  <c:v>M-0.5_0.25</c:v>
                </c:pt>
              </c:strCache>
            </c:strRef>
          </c:cat>
          <c:val>
            <c:numRef>
              <c:f>'Strength_20%CO2_7 d'!$N$35</c:f>
              <c:numCache>
                <c:formatCode>0.0</c:formatCode>
                <c:ptCount val="1"/>
                <c:pt idx="0">
                  <c:v>6.0530736484334033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86-4579-9252-BF7463C104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7917999"/>
        <c:axId val="1717909839"/>
      </c:barChart>
      <c:catAx>
        <c:axId val="171791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17909839"/>
        <c:crosses val="autoZero"/>
        <c:auto val="1"/>
        <c:lblAlgn val="ctr"/>
        <c:lblOffset val="100"/>
        <c:noMultiLvlLbl val="0"/>
      </c:catAx>
      <c:valAx>
        <c:axId val="1717909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Flexural Tensile Strength, MPa</a:t>
                </a:r>
                <a:endParaRPr lang="en-BE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50739052355296E-2"/>
              <c:y val="0.26554064287734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17917999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3062090498469279"/>
          <c:y val="0.42595287552188932"/>
          <c:w val="0.19382353585414153"/>
          <c:h val="0.148094248956221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76354330302939"/>
          <c:y val="5.1376916061078581E-2"/>
          <c:w val="0.84364244596617466"/>
          <c:h val="0.74160537232634083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7198960435751704E-2"/>
                  <c:y val="-2.26854483528419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50-46E8-84C4-AD48DDF5E5D7}"/>
                </c:ext>
              </c:extLst>
            </c:dLbl>
            <c:dLbl>
              <c:idx val="1"/>
              <c:layout>
                <c:manualLayout>
                  <c:x val="-4.1652697870155207E-2"/>
                  <c:y val="-2.26854483528419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50-46E8-84C4-AD48DDF5E5D7}"/>
                </c:ext>
              </c:extLst>
            </c:dLbl>
            <c:dLbl>
              <c:idx val="2"/>
              <c:layout>
                <c:manualLayout>
                  <c:x val="-4.9934389707768846E-2"/>
                  <c:y val="-3.2109181519499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50-46E8-84C4-AD48DDF5E5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d'!$Y$19:$Y$21</c:f>
                <c:numCache>
                  <c:formatCode>General</c:formatCode>
                  <c:ptCount val="3"/>
                  <c:pt idx="0">
                    <c:v>1.1203027301028807</c:v>
                  </c:pt>
                  <c:pt idx="1">
                    <c:v>0.9378215464618439</c:v>
                  </c:pt>
                  <c:pt idx="2">
                    <c:v>1.5485748410034552</c:v>
                  </c:pt>
                </c:numCache>
              </c:numRef>
            </c:plus>
            <c:minus>
              <c:numRef>
                <c:f>'Strength_20%CO2_7 d'!$Y$19:$Y$21</c:f>
                <c:numCache>
                  <c:formatCode>General</c:formatCode>
                  <c:ptCount val="3"/>
                  <c:pt idx="0">
                    <c:v>1.1203027301028807</c:v>
                  </c:pt>
                  <c:pt idx="1">
                    <c:v>0.9378215464618439</c:v>
                  </c:pt>
                  <c:pt idx="2">
                    <c:v>1.5485748410034552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'Strength_20%CO2_7 d'!$V$19:$V$21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7_URH</c:v>
                </c:pt>
              </c:strCache>
            </c:strRef>
          </c:cat>
          <c:val>
            <c:numRef>
              <c:f>'Strength_20%CO2_7 d'!$W$19:$W$21</c:f>
              <c:numCache>
                <c:formatCode>0.0</c:formatCode>
                <c:ptCount val="3"/>
                <c:pt idx="0">
                  <c:v>4.5999999999999996</c:v>
                </c:pt>
                <c:pt idx="1">
                  <c:v>4.5999999999999996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50-46E8-84C4-AD48DDF5E5D7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730819771070073E-2"/>
                  <c:y val="-1.8148295149868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50-46E8-84C4-AD48DDF5E5D7}"/>
                </c:ext>
              </c:extLst>
            </c:dLbl>
            <c:dLbl>
              <c:idx val="1"/>
              <c:layout>
                <c:manualLayout>
                  <c:x val="3.6106655141356157E-2"/>
                  <c:y val="-1.361105135677017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50-46E8-84C4-AD48DDF5E5D7}"/>
                </c:ext>
              </c:extLst>
            </c:dLbl>
            <c:dLbl>
              <c:idx val="2"/>
              <c:layout>
                <c:manualLayout>
                  <c:x val="6.1177503045289343E-2"/>
                  <c:y val="-2.75021520631692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50-46E8-84C4-AD48DDF5E5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d'!$Z$19:$Z$21</c:f>
                <c:numCache>
                  <c:formatCode>General</c:formatCode>
                  <c:ptCount val="3"/>
                  <c:pt idx="0">
                    <c:v>0.45915731945918709</c:v>
                  </c:pt>
                  <c:pt idx="1">
                    <c:v>0.81542645979320627</c:v>
                  </c:pt>
                  <c:pt idx="2">
                    <c:v>1.4193747973254112</c:v>
                  </c:pt>
                </c:numCache>
              </c:numRef>
            </c:plus>
            <c:minus>
              <c:numRef>
                <c:f>'Strength_20%CO2_7 d'!$Z$19:$Z$21</c:f>
                <c:numCache>
                  <c:formatCode>General</c:formatCode>
                  <c:ptCount val="3"/>
                  <c:pt idx="0">
                    <c:v>0.45915731945918709</c:v>
                  </c:pt>
                  <c:pt idx="1">
                    <c:v>0.81542645979320627</c:v>
                  </c:pt>
                  <c:pt idx="2">
                    <c:v>1.4193747973254112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'Strength_20%CO2_7 d'!$X$19:$X$21</c:f>
              <c:numCache>
                <c:formatCode>0.0</c:formatCode>
                <c:ptCount val="3"/>
                <c:pt idx="0">
                  <c:v>5.5</c:v>
                </c:pt>
                <c:pt idx="1">
                  <c:v>5</c:v>
                </c:pt>
                <c:pt idx="2">
                  <c:v>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50-46E8-84C4-AD48DDF5E5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5641823"/>
        <c:axId val="1215639423"/>
      </c:barChart>
      <c:catAx>
        <c:axId val="121564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curing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duration, d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15639423"/>
        <c:crosses val="autoZero"/>
        <c:auto val="1"/>
        <c:lblAlgn val="ctr"/>
        <c:lblOffset val="100"/>
        <c:noMultiLvlLbl val="0"/>
      </c:catAx>
      <c:valAx>
        <c:axId val="1215639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Flexural tensile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strenght, MPa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14326771653543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1564182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303632290333079"/>
          <c:y val="4.7532289858483623E-2"/>
          <c:w val="0.30045171868455928"/>
          <c:h val="9.69166495042513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51577712392999"/>
          <c:y val="5.1246365158047529E-2"/>
          <c:w val="0.83648329715444081"/>
          <c:h val="0.74226196393532462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3.6050065702391096E-2"/>
                  <c:y val="-2.2629368715450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C5-4BA2-8ED4-B2956D4B0783}"/>
                </c:ext>
              </c:extLst>
            </c:dLbl>
            <c:dLbl>
              <c:idx val="1"/>
              <c:layout>
                <c:manualLayout>
                  <c:x val="-5.2761337326453418E-2"/>
                  <c:y val="-4.52569475667071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C5-4BA2-8ED4-B2956D4B0783}"/>
                </c:ext>
              </c:extLst>
            </c:dLbl>
            <c:dLbl>
              <c:idx val="2"/>
              <c:layout>
                <c:manualLayout>
                  <c:x val="-4.7142393610819122E-2"/>
                  <c:y val="-4.525873743090024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C5-4BA2-8ED4-B2956D4B07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d'!$AH$19:$AH$21</c:f>
                <c:numCache>
                  <c:formatCode>General</c:formatCode>
                  <c:ptCount val="3"/>
                  <c:pt idx="0">
                    <c:v>5.4464233458187676</c:v>
                  </c:pt>
                  <c:pt idx="1">
                    <c:v>2.774893810473241</c:v>
                  </c:pt>
                  <c:pt idx="2">
                    <c:v>3.3107705065154502</c:v>
                  </c:pt>
                </c:numCache>
              </c:numRef>
            </c:plus>
            <c:minus>
              <c:numRef>
                <c:f>'Strength_20%CO2_7 d'!$AH$19:$AH$21</c:f>
                <c:numCache>
                  <c:formatCode>General</c:formatCode>
                  <c:ptCount val="3"/>
                  <c:pt idx="0">
                    <c:v>5.4464233458187676</c:v>
                  </c:pt>
                  <c:pt idx="1">
                    <c:v>2.774893810473241</c:v>
                  </c:pt>
                  <c:pt idx="2">
                    <c:v>3.3107705065154502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'Strength_20%CO2_7 d'!$V$19:$V$21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7_URH</c:v>
                </c:pt>
              </c:strCache>
            </c:strRef>
          </c:cat>
          <c:val>
            <c:numRef>
              <c:f>'Strength_20%CO2_7 d'!$AF$19:$AF$21</c:f>
              <c:numCache>
                <c:formatCode>0.0</c:formatCode>
                <c:ptCount val="3"/>
                <c:pt idx="0">
                  <c:v>23.4</c:v>
                </c:pt>
                <c:pt idx="1">
                  <c:v>32.799999999999997</c:v>
                </c:pt>
                <c:pt idx="2">
                  <c:v>33.799999999999997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C5-4BA2-8ED4-B2956D4B0783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2.4987380607650198E-2"/>
                  <c:y val="-1.37271228130729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C5-4BA2-8ED4-B2956D4B0783}"/>
                </c:ext>
              </c:extLst>
            </c:dLbl>
            <c:dLbl>
              <c:idx val="1"/>
              <c:layout>
                <c:manualLayout>
                  <c:x val="4.1596229656605109E-2"/>
                  <c:y val="-9.05174748618004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C5-4BA2-8ED4-B2956D4B0783}"/>
                </c:ext>
              </c:extLst>
            </c:dLbl>
            <c:dLbl>
              <c:idx val="2"/>
              <c:layout>
                <c:manualLayout>
                  <c:x val="3.3276983725283989E-2"/>
                  <c:y val="4.525873743090013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C5-4BA2-8ED4-B2956D4B07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d'!$AI$19:$AI$21</c:f>
                <c:numCache>
                  <c:formatCode>General</c:formatCode>
                  <c:ptCount val="3"/>
                  <c:pt idx="0">
                    <c:v>6.298393083743985</c:v>
                  </c:pt>
                  <c:pt idx="1">
                    <c:v>3.9856089690005549</c:v>
                  </c:pt>
                  <c:pt idx="2">
                    <c:v>9.4051883578464253</c:v>
                  </c:pt>
                </c:numCache>
              </c:numRef>
            </c:plus>
            <c:minus>
              <c:numRef>
                <c:f>'Strength_20%CO2_7 d'!$AI$19:$AI$21</c:f>
                <c:numCache>
                  <c:formatCode>General</c:formatCode>
                  <c:ptCount val="3"/>
                  <c:pt idx="0">
                    <c:v>6.298393083743985</c:v>
                  </c:pt>
                  <c:pt idx="1">
                    <c:v>3.9856089690005549</c:v>
                  </c:pt>
                  <c:pt idx="2">
                    <c:v>9.4051883578464253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'Strength_20%CO2_7 d'!$AG$19:$AG$21</c:f>
              <c:numCache>
                <c:formatCode>0.0</c:formatCode>
                <c:ptCount val="3"/>
                <c:pt idx="0">
                  <c:v>33.5</c:v>
                </c:pt>
                <c:pt idx="1">
                  <c:v>30.4</c:v>
                </c:pt>
                <c:pt idx="2">
                  <c:v>40.1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C5-4BA2-8ED4-B2956D4B07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5641823"/>
        <c:axId val="1215639423"/>
      </c:barChart>
      <c:catAx>
        <c:axId val="121564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curing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duration, d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15639423"/>
        <c:crosses val="autoZero"/>
        <c:auto val="1"/>
        <c:lblAlgn val="ctr"/>
        <c:lblOffset val="100"/>
        <c:noMultiLvlLbl val="0"/>
      </c:catAx>
      <c:valAx>
        <c:axId val="1215639423"/>
        <c:scaling>
          <c:orientation val="minMax"/>
          <c:max val="5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Flexural tensile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strenght, MPa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14326771653543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15641823"/>
        <c:crosses val="autoZero"/>
        <c:crossBetween val="between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862940791249774"/>
          <c:y val="4.4023085442033837E-2"/>
          <c:w val="0.32002751621664349"/>
          <c:h val="0.110646661631292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76354330302939"/>
          <c:y val="5.1376916061078581E-2"/>
          <c:w val="0.7141479359114915"/>
          <c:h val="0.74160537232634083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7198960435751704E-2"/>
                  <c:y val="-2.26854483528419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95-47D3-8637-09CB829E5C9E}"/>
                </c:ext>
              </c:extLst>
            </c:dLbl>
            <c:dLbl>
              <c:idx val="1"/>
              <c:layout>
                <c:manualLayout>
                  <c:x val="-4.1652697870155207E-2"/>
                  <c:y val="-2.26854483528419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95-47D3-8637-09CB829E5C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d'!$Y$19:$Y$21</c:f>
                <c:numCache>
                  <c:formatCode>General</c:formatCode>
                  <c:ptCount val="3"/>
                  <c:pt idx="0">
                    <c:v>1.1203027301028807</c:v>
                  </c:pt>
                  <c:pt idx="1">
                    <c:v>0.9378215464618439</c:v>
                  </c:pt>
                  <c:pt idx="2">
                    <c:v>1.5485748410034552</c:v>
                  </c:pt>
                </c:numCache>
              </c:numRef>
            </c:plus>
            <c:minus>
              <c:numRef>
                <c:f>'Strength_20%CO2_7 d'!$Y$19:$Y$21</c:f>
                <c:numCache>
                  <c:formatCode>General</c:formatCode>
                  <c:ptCount val="3"/>
                  <c:pt idx="0">
                    <c:v>1.1203027301028807</c:v>
                  </c:pt>
                  <c:pt idx="1">
                    <c:v>0.9378215464618439</c:v>
                  </c:pt>
                  <c:pt idx="2">
                    <c:v>1.5485748410034552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'Strength_20%CO2_7 d'!$V$19:$V$21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7_URH</c:v>
                </c:pt>
              </c:strCache>
            </c:strRef>
          </c:cat>
          <c:val>
            <c:numRef>
              <c:f>'Strength_20%CO2_7 d'!$W$19:$W$20</c:f>
              <c:numCache>
                <c:formatCode>0.0</c:formatCode>
                <c:ptCount val="2"/>
                <c:pt idx="0">
                  <c:v>4.5999999999999996</c:v>
                </c:pt>
                <c:pt idx="1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95-47D3-8637-09CB829E5C9E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730819771070073E-2"/>
                  <c:y val="-1.8148295149868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95-47D3-8637-09CB829E5C9E}"/>
                </c:ext>
              </c:extLst>
            </c:dLbl>
            <c:dLbl>
              <c:idx val="1"/>
              <c:layout>
                <c:manualLayout>
                  <c:x val="3.6106655141356157E-2"/>
                  <c:y val="-1.361105135677017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95-47D3-8637-09CB829E5C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d'!$Z$19:$Z$21</c:f>
                <c:numCache>
                  <c:formatCode>General</c:formatCode>
                  <c:ptCount val="3"/>
                  <c:pt idx="0">
                    <c:v>0.45915731945918709</c:v>
                  </c:pt>
                  <c:pt idx="1">
                    <c:v>0.81542645979320627</c:v>
                  </c:pt>
                  <c:pt idx="2">
                    <c:v>1.4193747973254112</c:v>
                  </c:pt>
                </c:numCache>
              </c:numRef>
            </c:plus>
            <c:minus>
              <c:numRef>
                <c:f>'Strength_20%CO2_7 d'!$Z$19:$Z$21</c:f>
                <c:numCache>
                  <c:formatCode>General</c:formatCode>
                  <c:ptCount val="3"/>
                  <c:pt idx="0">
                    <c:v>0.45915731945918709</c:v>
                  </c:pt>
                  <c:pt idx="1">
                    <c:v>0.81542645979320627</c:v>
                  </c:pt>
                  <c:pt idx="2">
                    <c:v>1.4193747973254112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'Strength_20%CO2_7 d'!$X$19:$X$20</c:f>
              <c:numCache>
                <c:formatCode>0.0</c:formatCode>
                <c:ptCount val="2"/>
                <c:pt idx="0">
                  <c:v>5.5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95-47D3-8637-09CB829E5C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5641823"/>
        <c:axId val="1215639423"/>
      </c:barChart>
      <c:catAx>
        <c:axId val="121564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curing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duration, d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15639423"/>
        <c:crosses val="autoZero"/>
        <c:auto val="1"/>
        <c:lblAlgn val="ctr"/>
        <c:lblOffset val="100"/>
        <c:noMultiLvlLbl val="0"/>
      </c:catAx>
      <c:valAx>
        <c:axId val="1215639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Flexural tensile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strenght, MPa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14326771653543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1564182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303632290333079"/>
          <c:y val="4.7532289858483623E-2"/>
          <c:w val="0.30045171868455928"/>
          <c:h val="9.69166495042513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51577712392999"/>
          <c:y val="5.1246365158047529E-2"/>
          <c:w val="0.68165282243638647"/>
          <c:h val="0.74226196393532462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3.6050065702391096E-2"/>
                  <c:y val="-2.2629368715450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69-40EA-81CD-F1F137D0C35F}"/>
                </c:ext>
              </c:extLst>
            </c:dLbl>
            <c:dLbl>
              <c:idx val="1"/>
              <c:layout>
                <c:manualLayout>
                  <c:x val="-5.2761337326453418E-2"/>
                  <c:y val="-4.52569475667071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69-40EA-81CD-F1F137D0C3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d'!$AH$19:$AH$21</c:f>
                <c:numCache>
                  <c:formatCode>General</c:formatCode>
                  <c:ptCount val="3"/>
                  <c:pt idx="0">
                    <c:v>5.4464233458187676</c:v>
                  </c:pt>
                  <c:pt idx="1">
                    <c:v>2.774893810473241</c:v>
                  </c:pt>
                  <c:pt idx="2">
                    <c:v>3.3107705065154502</c:v>
                  </c:pt>
                </c:numCache>
              </c:numRef>
            </c:plus>
            <c:minus>
              <c:numRef>
                <c:f>'Strength_20%CO2_7 d'!$AH$19:$AH$21</c:f>
                <c:numCache>
                  <c:formatCode>General</c:formatCode>
                  <c:ptCount val="3"/>
                  <c:pt idx="0">
                    <c:v>5.4464233458187676</c:v>
                  </c:pt>
                  <c:pt idx="1">
                    <c:v>2.774893810473241</c:v>
                  </c:pt>
                  <c:pt idx="2">
                    <c:v>3.3107705065154502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'Strength_20%CO2_7 d'!$V$19:$V$21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7_URH</c:v>
                </c:pt>
              </c:strCache>
            </c:strRef>
          </c:cat>
          <c:val>
            <c:numRef>
              <c:f>'Strength_20%CO2_7 d'!$AF$19:$AF$20</c:f>
              <c:numCache>
                <c:formatCode>0.0</c:formatCode>
                <c:ptCount val="2"/>
                <c:pt idx="0">
                  <c:v>23.4</c:v>
                </c:pt>
                <c:pt idx="1">
                  <c:v>32.799999999999997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69-40EA-81CD-F1F137D0C35F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2.4987380607650198E-2"/>
                  <c:y val="-1.37271228130729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69-40EA-81CD-F1F137D0C35F}"/>
                </c:ext>
              </c:extLst>
            </c:dLbl>
            <c:dLbl>
              <c:idx val="1"/>
              <c:layout>
                <c:manualLayout>
                  <c:x val="4.1596229656605109E-2"/>
                  <c:y val="-9.05174748618004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69-40EA-81CD-F1F137D0C3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d'!$AI$19:$AI$21</c:f>
                <c:numCache>
                  <c:formatCode>General</c:formatCode>
                  <c:ptCount val="3"/>
                  <c:pt idx="0">
                    <c:v>6.298393083743985</c:v>
                  </c:pt>
                  <c:pt idx="1">
                    <c:v>3.9856089690005549</c:v>
                  </c:pt>
                  <c:pt idx="2">
                    <c:v>9.4051883578464253</c:v>
                  </c:pt>
                </c:numCache>
              </c:numRef>
            </c:plus>
            <c:minus>
              <c:numRef>
                <c:f>'Strength_20%CO2_7 d'!$AI$19:$AI$21</c:f>
                <c:numCache>
                  <c:formatCode>General</c:formatCode>
                  <c:ptCount val="3"/>
                  <c:pt idx="0">
                    <c:v>6.298393083743985</c:v>
                  </c:pt>
                  <c:pt idx="1">
                    <c:v>3.9856089690005549</c:v>
                  </c:pt>
                  <c:pt idx="2">
                    <c:v>9.4051883578464253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'Strength_20%CO2_7 d'!$AG$19:$AG$20</c:f>
              <c:numCache>
                <c:formatCode>0.0</c:formatCode>
                <c:ptCount val="2"/>
                <c:pt idx="0">
                  <c:v>33.5</c:v>
                </c:pt>
                <c:pt idx="1">
                  <c:v>30.4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69-40EA-81CD-F1F137D0C3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5641823"/>
        <c:axId val="1215639423"/>
      </c:barChart>
      <c:catAx>
        <c:axId val="121564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curing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duration, d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15639423"/>
        <c:crosses val="autoZero"/>
        <c:auto val="1"/>
        <c:lblAlgn val="ctr"/>
        <c:lblOffset val="100"/>
        <c:noMultiLvlLbl val="0"/>
      </c:catAx>
      <c:valAx>
        <c:axId val="1215639423"/>
        <c:scaling>
          <c:orientation val="minMax"/>
          <c:max val="5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Flexural tensile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strenght, MPa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14326771653543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15641823"/>
        <c:crosses val="autoZero"/>
        <c:crossBetween val="between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862940791249774"/>
          <c:y val="4.4023085442033837E-2"/>
          <c:w val="0.32002751621664349"/>
          <c:h val="0.110646661631292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76354330302939"/>
          <c:y val="5.1376916061078581E-2"/>
          <c:w val="0.7141479359114915"/>
          <c:h val="0.74160537232634083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7198960435751704E-2"/>
                  <c:y val="-2.26854483528419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FD-4442-B5A8-E8E7594748B7}"/>
                </c:ext>
              </c:extLst>
            </c:dLbl>
            <c:dLbl>
              <c:idx val="1"/>
              <c:layout>
                <c:manualLayout>
                  <c:x val="-4.1652697870155207E-2"/>
                  <c:y val="-2.26854483528419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FD-4442-B5A8-E8E7594748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d'!$Y$19:$Y$21</c:f>
                <c:numCache>
                  <c:formatCode>General</c:formatCode>
                  <c:ptCount val="3"/>
                  <c:pt idx="0">
                    <c:v>1.1203027301028807</c:v>
                  </c:pt>
                  <c:pt idx="1">
                    <c:v>0.9378215464618439</c:v>
                  </c:pt>
                  <c:pt idx="2">
                    <c:v>1.5485748410034552</c:v>
                  </c:pt>
                </c:numCache>
              </c:numRef>
            </c:plus>
            <c:minus>
              <c:numRef>
                <c:f>'Strength_20%CO2_7 d'!$Y$19:$Y$21</c:f>
                <c:numCache>
                  <c:formatCode>General</c:formatCode>
                  <c:ptCount val="3"/>
                  <c:pt idx="0">
                    <c:v>1.1203027301028807</c:v>
                  </c:pt>
                  <c:pt idx="1">
                    <c:v>0.9378215464618439</c:v>
                  </c:pt>
                  <c:pt idx="2">
                    <c:v>1.5485748410034552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'Strength_20%CO2_7 d'!$V$19:$V$21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7_URH</c:v>
                </c:pt>
              </c:strCache>
            </c:strRef>
          </c:cat>
          <c:val>
            <c:numRef>
              <c:f>'Strength_20%CO2_7 d'!$W$19:$W$20</c:f>
              <c:numCache>
                <c:formatCode>0.0</c:formatCode>
                <c:ptCount val="2"/>
                <c:pt idx="0">
                  <c:v>4.5999999999999996</c:v>
                </c:pt>
                <c:pt idx="1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FD-4442-B5A8-E8E7594748B7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730819771070073E-2"/>
                  <c:y val="-1.8148295149868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FD-4442-B5A8-E8E7594748B7}"/>
                </c:ext>
              </c:extLst>
            </c:dLbl>
            <c:dLbl>
              <c:idx val="1"/>
              <c:layout>
                <c:manualLayout>
                  <c:x val="3.6106655141356157E-2"/>
                  <c:y val="-1.361105135677017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FD-4442-B5A8-E8E7594748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d'!$Z$19:$Z$21</c:f>
                <c:numCache>
                  <c:formatCode>General</c:formatCode>
                  <c:ptCount val="3"/>
                  <c:pt idx="0">
                    <c:v>0.45915731945918709</c:v>
                  </c:pt>
                  <c:pt idx="1">
                    <c:v>0.81542645979320627</c:v>
                  </c:pt>
                  <c:pt idx="2">
                    <c:v>1.4193747973254112</c:v>
                  </c:pt>
                </c:numCache>
              </c:numRef>
            </c:plus>
            <c:minus>
              <c:numRef>
                <c:f>'Strength_20%CO2_7 d'!$Z$19:$Z$21</c:f>
                <c:numCache>
                  <c:formatCode>General</c:formatCode>
                  <c:ptCount val="3"/>
                  <c:pt idx="0">
                    <c:v>0.45915731945918709</c:v>
                  </c:pt>
                  <c:pt idx="1">
                    <c:v>0.81542645979320627</c:v>
                  </c:pt>
                  <c:pt idx="2">
                    <c:v>1.4193747973254112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'Strength_20%CO2_7 d'!$X$19:$X$20</c:f>
              <c:numCache>
                <c:formatCode>0.0</c:formatCode>
                <c:ptCount val="2"/>
                <c:pt idx="0">
                  <c:v>5.5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FD-4442-B5A8-E8E7594748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5641823"/>
        <c:axId val="1215639423"/>
      </c:barChart>
      <c:catAx>
        <c:axId val="121564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curing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duration, d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15639423"/>
        <c:crosses val="autoZero"/>
        <c:auto val="1"/>
        <c:lblAlgn val="ctr"/>
        <c:lblOffset val="100"/>
        <c:noMultiLvlLbl val="0"/>
      </c:catAx>
      <c:valAx>
        <c:axId val="1215639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Flexural tensile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strenght, MPa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14326771653543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1564182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303632290333079"/>
          <c:y val="4.7532289858483623E-2"/>
          <c:w val="0.30045171868455928"/>
          <c:h val="9.69166495042513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51577712392999"/>
          <c:y val="5.1246365158047529E-2"/>
          <c:w val="0.68165282243638647"/>
          <c:h val="0.74226196393532462"/>
        </c:manualLayout>
      </c:layout>
      <c:barChart>
        <c:barDir val="col"/>
        <c:grouping val="clustered"/>
        <c:varyColors val="0"/>
        <c:ser>
          <c:idx val="0"/>
          <c:order val="0"/>
          <c:tx>
            <c:v>w-direction</c:v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3.6050065702391096E-2"/>
                  <c:y val="-2.2629368715450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1C-4345-A678-F1347856B8BE}"/>
                </c:ext>
              </c:extLst>
            </c:dLbl>
            <c:dLbl>
              <c:idx val="1"/>
              <c:layout>
                <c:manualLayout>
                  <c:x val="-5.2761337326453418E-2"/>
                  <c:y val="-4.52569475667071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1C-4345-A678-F1347856B8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d'!$AH$19:$AH$21</c:f>
                <c:numCache>
                  <c:formatCode>General</c:formatCode>
                  <c:ptCount val="3"/>
                  <c:pt idx="0">
                    <c:v>5.4464233458187676</c:v>
                  </c:pt>
                  <c:pt idx="1">
                    <c:v>2.774893810473241</c:v>
                  </c:pt>
                  <c:pt idx="2">
                    <c:v>3.3107705065154502</c:v>
                  </c:pt>
                </c:numCache>
              </c:numRef>
            </c:plus>
            <c:minus>
              <c:numRef>
                <c:f>'Strength_20%CO2_7 d'!$AH$19:$AH$21</c:f>
                <c:numCache>
                  <c:formatCode>General</c:formatCode>
                  <c:ptCount val="3"/>
                  <c:pt idx="0">
                    <c:v>5.4464233458187676</c:v>
                  </c:pt>
                  <c:pt idx="1">
                    <c:v>2.774893810473241</c:v>
                  </c:pt>
                  <c:pt idx="2">
                    <c:v>3.3107705065154502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'Strength_20%CO2_7 d'!$V$19:$V$21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7_URH</c:v>
                </c:pt>
              </c:strCache>
            </c:strRef>
          </c:cat>
          <c:val>
            <c:numRef>
              <c:f>'Strength_20%CO2_7 d'!$AF$19:$AF$20</c:f>
              <c:numCache>
                <c:formatCode>0.0</c:formatCode>
                <c:ptCount val="2"/>
                <c:pt idx="0">
                  <c:v>23.4</c:v>
                </c:pt>
                <c:pt idx="1">
                  <c:v>32.799999999999997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1C-4345-A678-F1347856B8BE}"/>
            </c:ext>
          </c:extLst>
        </c:ser>
        <c:ser>
          <c:idx val="1"/>
          <c:order val="1"/>
          <c:tx>
            <c:v>v-direction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2.4987380607650198E-2"/>
                  <c:y val="-1.37271228130729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1C-4345-A678-F1347856B8BE}"/>
                </c:ext>
              </c:extLst>
            </c:dLbl>
            <c:dLbl>
              <c:idx val="1"/>
              <c:layout>
                <c:manualLayout>
                  <c:x val="4.1596229656605109E-2"/>
                  <c:y val="-9.05174748618004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1C-4345-A678-F1347856B8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'Strength_20%CO2_7 d'!$AI$19:$AI$21</c:f>
                <c:numCache>
                  <c:formatCode>General</c:formatCode>
                  <c:ptCount val="3"/>
                  <c:pt idx="0">
                    <c:v>6.298393083743985</c:v>
                  </c:pt>
                  <c:pt idx="1">
                    <c:v>3.9856089690005549</c:v>
                  </c:pt>
                  <c:pt idx="2">
                    <c:v>9.4051883578464253</c:v>
                  </c:pt>
                </c:numCache>
              </c:numRef>
            </c:plus>
            <c:minus>
              <c:numRef>
                <c:f>'Strength_20%CO2_7 d'!$AI$19:$AI$21</c:f>
                <c:numCache>
                  <c:formatCode>General</c:formatCode>
                  <c:ptCount val="3"/>
                  <c:pt idx="0">
                    <c:v>6.298393083743985</c:v>
                  </c:pt>
                  <c:pt idx="1">
                    <c:v>3.9856089690005549</c:v>
                  </c:pt>
                  <c:pt idx="2">
                    <c:v>9.4051883578464253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'Strength_20%CO2_7 d'!$AG$19:$AG$20</c:f>
              <c:numCache>
                <c:formatCode>0.0</c:formatCode>
                <c:ptCount val="2"/>
                <c:pt idx="0">
                  <c:v>33.5</c:v>
                </c:pt>
                <c:pt idx="1">
                  <c:v>30.4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1C-4345-A678-F1347856B8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5641823"/>
        <c:axId val="1215639423"/>
      </c:barChart>
      <c:catAx>
        <c:axId val="121564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curing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duration, d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15639423"/>
        <c:crosses val="autoZero"/>
        <c:auto val="1"/>
        <c:lblAlgn val="ctr"/>
        <c:lblOffset val="100"/>
        <c:noMultiLvlLbl val="0"/>
      </c:catAx>
      <c:valAx>
        <c:axId val="1215639423"/>
        <c:scaling>
          <c:orientation val="minMax"/>
          <c:max val="5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Flexural tensile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strenght, MPa</a:t>
                </a:r>
                <a:endParaRPr lang="en-BE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14326771653543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215641823"/>
        <c:crosses val="autoZero"/>
        <c:crossBetween val="between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862940791249774"/>
          <c:y val="4.4023085442033837E-2"/>
          <c:w val="0.32002751621664349"/>
          <c:h val="0.110646661631292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38900422580466"/>
          <c:y val="5.0925737454560936E-2"/>
          <c:w val="0.7362260871213383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v>Block-scale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4907008146818236E-2"/>
                  <c:y val="-5.21757902092522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03-4F0A-AC17-FD414D40568B}"/>
                </c:ext>
              </c:extLst>
            </c:dLbl>
            <c:dLbl>
              <c:idx val="1"/>
              <c:layout>
                <c:manualLayout>
                  <c:x val="-5.2671996791286584E-2"/>
                  <c:y val="-2.34462389546616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03-4F0A-AC17-FD414D40568B}"/>
                </c:ext>
              </c:extLst>
            </c:dLbl>
            <c:dLbl>
              <c:idx val="2"/>
              <c:layout>
                <c:manualLayout>
                  <c:x val="4.4390393412046182E-2"/>
                  <c:y val="-1.78921560858161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03-4F0A-AC17-FD414D4056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'Block Strength_3% CO2_7d'!$T$18:$T$20</c:f>
                <c:numCache>
                  <c:formatCode>General</c:formatCode>
                  <c:ptCount val="3"/>
                  <c:pt idx="0">
                    <c:v>1.4</c:v>
                  </c:pt>
                  <c:pt idx="1">
                    <c:v>0.3</c:v>
                  </c:pt>
                  <c:pt idx="2">
                    <c:v>0.2</c:v>
                  </c:pt>
                </c:numCache>
              </c:numRef>
            </c:plus>
            <c:minus>
              <c:numRef>
                <c:f>'Block Strength_3% CO2_7d'!$T$18:$T$20</c:f>
                <c:numCache>
                  <c:formatCode>General</c:formatCode>
                  <c:ptCount val="3"/>
                  <c:pt idx="0">
                    <c:v>1.4</c:v>
                  </c:pt>
                  <c:pt idx="1">
                    <c:v>0.3</c:v>
                  </c:pt>
                  <c:pt idx="2">
                    <c:v>0.2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'Block Strength_3% CO2_7d'!$R$18:$R$20</c:f>
              <c:strCache>
                <c:ptCount val="3"/>
                <c:pt idx="0">
                  <c:v>w</c:v>
                </c:pt>
                <c:pt idx="1">
                  <c:v>v</c:v>
                </c:pt>
                <c:pt idx="2">
                  <c:v>u</c:v>
                </c:pt>
              </c:strCache>
            </c:strRef>
          </c:cat>
          <c:val>
            <c:numRef>
              <c:f>'Block Strength_3% CO2_7d'!$S$18:$S$20</c:f>
              <c:numCache>
                <c:formatCode>General</c:formatCode>
                <c:ptCount val="3"/>
                <c:pt idx="0">
                  <c:v>1.8</c:v>
                </c:pt>
                <c:pt idx="1">
                  <c:v>3.5</c:v>
                </c:pt>
                <c:pt idx="2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03-4F0A-AC17-FD414D40568B}"/>
            </c:ext>
          </c:extLst>
        </c:ser>
        <c:ser>
          <c:idx val="1"/>
          <c:order val="1"/>
          <c:tx>
            <c:v>Small-scale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2119909155747027E-2"/>
                  <c:y val="-2.8459521932319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03-4F0A-AC17-FD414D40568B}"/>
                </c:ext>
              </c:extLst>
            </c:dLbl>
            <c:dLbl>
              <c:idx val="1"/>
              <c:layout>
                <c:manualLayout>
                  <c:x val="6.6002403477981211E-2"/>
                  <c:y val="-3.79460292430924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03-4F0A-AC17-FD414D4056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'Block Strength_3% CO2_7d'!$W$23:$W$25</c:f>
                <c:numCache>
                  <c:formatCode>General</c:formatCode>
                  <c:ptCount val="3"/>
                  <c:pt idx="0">
                    <c:v>1</c:v>
                  </c:pt>
                  <c:pt idx="1">
                    <c:v>1.3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'Block Strength_3% CO2_7d'!$V$23:$V$25</c:f>
              <c:numCache>
                <c:formatCode>General</c:formatCode>
                <c:ptCount val="3"/>
                <c:pt idx="0">
                  <c:v>5.9</c:v>
                </c:pt>
                <c:pt idx="1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03-4F0A-AC17-FD414D4056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5"/>
        <c:axId val="894093615"/>
        <c:axId val="894090735"/>
      </c:barChart>
      <c:catAx>
        <c:axId val="894093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94090735"/>
        <c:crosses val="autoZero"/>
        <c:auto val="1"/>
        <c:lblAlgn val="ctr"/>
        <c:lblOffset val="25"/>
        <c:tickLblSkip val="1"/>
        <c:noMultiLvlLbl val="0"/>
      </c:catAx>
      <c:valAx>
        <c:axId val="8940907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Flexural tensile strength, MPa</a:t>
                </a:r>
                <a:endParaRPr lang="en-BE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8013245114094894E-2"/>
              <c:y val="0.180202555605312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94093615"/>
        <c:crosses val="autoZero"/>
        <c:crossBetween val="between"/>
        <c:majorUnit val="2"/>
      </c:valAx>
      <c:spPr>
        <a:noFill/>
        <a:ln>
          <a:solidFill>
            <a:schemeClr val="bg2">
              <a:lumMod val="5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6468119371720724"/>
          <c:y val="5.9469569786893446E-2"/>
          <c:w val="0.23375275481314656"/>
          <c:h val="0.16008593132291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432143299692967"/>
          <c:y val="5.0925737454560936E-2"/>
          <c:w val="0.71017046859258193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v>Block-scale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269107753127336E-2"/>
                  <c:y val="-5.66038229130524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BE-4E7A-9BDF-333ADBE6267B}"/>
                </c:ext>
              </c:extLst>
            </c:dLbl>
            <c:dLbl>
              <c:idx val="1"/>
              <c:layout>
                <c:manualLayout>
                  <c:x val="-7.3577398080709344E-2"/>
                  <c:y val="-5.163498459563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BE-4E7A-9BDF-333ADBE6267B}"/>
                </c:ext>
              </c:extLst>
            </c:dLbl>
            <c:dLbl>
              <c:idx val="2"/>
              <c:layout>
                <c:manualLayout>
                  <c:x val="5.8447710337793682E-2"/>
                  <c:y val="-4.69820158762219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BE-4E7A-9BDF-333ADBE626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'Block Strength_3% CO2_7d'!$T$23:$T$25</c:f>
                <c:numCache>
                  <c:formatCode>General</c:formatCode>
                  <c:ptCount val="3"/>
                  <c:pt idx="0">
                    <c:v>0.5</c:v>
                  </c:pt>
                  <c:pt idx="1">
                    <c:v>3.2</c:v>
                  </c:pt>
                  <c:pt idx="2">
                    <c:v>1.2</c:v>
                  </c:pt>
                </c:numCache>
              </c:numRef>
            </c:plus>
            <c:minus>
              <c:numRef>
                <c:f>'Block Strength_3% CO2_7d'!$T$23:$T$25</c:f>
                <c:numCache>
                  <c:formatCode>General</c:formatCode>
                  <c:ptCount val="3"/>
                  <c:pt idx="0">
                    <c:v>0.5</c:v>
                  </c:pt>
                  <c:pt idx="1">
                    <c:v>3.2</c:v>
                  </c:pt>
                  <c:pt idx="2">
                    <c:v>1.2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'Block Strength_3% CO2_7d'!$R$18:$R$20</c:f>
              <c:strCache>
                <c:ptCount val="3"/>
                <c:pt idx="0">
                  <c:v>w</c:v>
                </c:pt>
                <c:pt idx="1">
                  <c:v>v</c:v>
                </c:pt>
                <c:pt idx="2">
                  <c:v>u</c:v>
                </c:pt>
              </c:strCache>
            </c:strRef>
          </c:cat>
          <c:val>
            <c:numRef>
              <c:f>'Block Strength_3% CO2_7d'!$S$23:$S$25</c:f>
              <c:numCache>
                <c:formatCode>General</c:formatCode>
                <c:ptCount val="3"/>
                <c:pt idx="0">
                  <c:v>14.1</c:v>
                </c:pt>
                <c:pt idx="1">
                  <c:v>12.8</c:v>
                </c:pt>
                <c:pt idx="2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BE-4E7A-9BDF-333ADBE6267B}"/>
            </c:ext>
          </c:extLst>
        </c:ser>
        <c:ser>
          <c:idx val="1"/>
          <c:order val="1"/>
          <c:tx>
            <c:v>Small-scale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9.12294606507102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BE-4E7A-9BDF-333ADBE6267B}"/>
                </c:ext>
              </c:extLst>
            </c:dLbl>
            <c:dLbl>
              <c:idx val="1"/>
              <c:layout>
                <c:manualLayout>
                  <c:x val="5.7018412906693933E-2"/>
                  <c:y val="-3.79460292430924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BE-4E7A-9BDF-333ADBE626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'Block Strength_3% CO2_7d'!$W$18:$W$19</c:f>
                <c:numCache>
                  <c:formatCode>General</c:formatCode>
                  <c:ptCount val="2"/>
                  <c:pt idx="0">
                    <c:v>0.9</c:v>
                  </c:pt>
                  <c:pt idx="1">
                    <c:v>1.3</c:v>
                  </c:pt>
                </c:numCache>
              </c:numRef>
            </c:plus>
            <c:minus>
              <c:numRef>
                <c:f>'Block Strength_3% CO2_7d'!$W$18:$W$19</c:f>
                <c:numCache>
                  <c:formatCode>General</c:formatCode>
                  <c:ptCount val="2"/>
                  <c:pt idx="0">
                    <c:v>0.9</c:v>
                  </c:pt>
                  <c:pt idx="1">
                    <c:v>1.3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'Block Strength_3% CO2_7d'!$V$18:$V$20</c:f>
              <c:numCache>
                <c:formatCode>General</c:formatCode>
                <c:ptCount val="3"/>
                <c:pt idx="0">
                  <c:v>21.9</c:v>
                </c:pt>
                <c:pt idx="1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BE-4E7A-9BDF-333ADBE626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70"/>
        <c:overlap val="-5"/>
        <c:axId val="894093615"/>
        <c:axId val="894090735"/>
      </c:barChart>
      <c:catAx>
        <c:axId val="894093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94090735"/>
        <c:crosses val="autoZero"/>
        <c:auto val="1"/>
        <c:lblAlgn val="ctr"/>
        <c:lblOffset val="25"/>
        <c:tickLblSkip val="1"/>
        <c:noMultiLvlLbl val="0"/>
      </c:catAx>
      <c:valAx>
        <c:axId val="8940907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Compressive strength, MPa</a:t>
                </a:r>
                <a:endParaRPr lang="en-BE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5.5533839006341158E-2"/>
              <c:y val="0.222761492399402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94093615"/>
        <c:crosses val="autoZero"/>
        <c:crossBetween val="between"/>
        <c:majorUnit val="5"/>
      </c:valAx>
      <c:spPr>
        <a:noFill/>
        <a:ln>
          <a:solidFill>
            <a:schemeClr val="bg2">
              <a:lumMod val="5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7211159087058886"/>
          <c:y val="5.4726316131506893E-2"/>
          <c:w val="0.22885993703730531"/>
          <c:h val="0.16008593132291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282864</xdr:colOff>
      <xdr:row>54</xdr:row>
      <xdr:rowOff>66964</xdr:rowOff>
    </xdr:from>
    <xdr:to>
      <xdr:col>67</xdr:col>
      <xdr:colOff>12989</xdr:colOff>
      <xdr:row>70</xdr:row>
      <xdr:rowOff>66964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8E84441-C3D9-48C6-BE23-7349358FA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297006</xdr:colOff>
      <xdr:row>37</xdr:row>
      <xdr:rowOff>478627</xdr:rowOff>
    </xdr:from>
    <xdr:to>
      <xdr:col>67</xdr:col>
      <xdr:colOff>30306</xdr:colOff>
      <xdr:row>52</xdr:row>
      <xdr:rowOff>168069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06AFCDE-B57B-4C03-9BC4-B00E58184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33329</xdr:colOff>
      <xdr:row>71</xdr:row>
      <xdr:rowOff>445704</xdr:rowOff>
    </xdr:from>
    <xdr:to>
      <xdr:col>49</xdr:col>
      <xdr:colOff>606191</xdr:colOff>
      <xdr:row>87</xdr:row>
      <xdr:rowOff>10431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47918DD-BB07-4847-B953-53D307460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337677</xdr:colOff>
      <xdr:row>71</xdr:row>
      <xdr:rowOff>502784</xdr:rowOff>
    </xdr:from>
    <xdr:to>
      <xdr:col>57</xdr:col>
      <xdr:colOff>98401</xdr:colOff>
      <xdr:row>87</xdr:row>
      <xdr:rowOff>9954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C726F75-7B97-4161-9772-435D3E2DC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57</xdr:col>
      <xdr:colOff>595538</xdr:colOff>
      <xdr:row>71</xdr:row>
      <xdr:rowOff>500289</xdr:rowOff>
    </xdr:from>
    <xdr:to>
      <xdr:col>65</xdr:col>
      <xdr:colOff>314986</xdr:colOff>
      <xdr:row>87</xdr:row>
      <xdr:rowOff>7459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358F63F-0F6F-4330-9B55-AD6DDF0C0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134299</xdr:colOff>
      <xdr:row>91</xdr:row>
      <xdr:rowOff>3545</xdr:rowOff>
    </xdr:from>
    <xdr:to>
      <xdr:col>55</xdr:col>
      <xdr:colOff>608962</xdr:colOff>
      <xdr:row>106</xdr:row>
      <xdr:rowOff>79469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D749D3C-D40C-4F99-8075-7ED555340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56</xdr:col>
      <xdr:colOff>280536</xdr:colOff>
      <xdr:row>91</xdr:row>
      <xdr:rowOff>57080</xdr:rowOff>
    </xdr:from>
    <xdr:to>
      <xdr:col>63</xdr:col>
      <xdr:colOff>592122</xdr:colOff>
      <xdr:row>106</xdr:row>
      <xdr:rowOff>57963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EBC238D-603A-4BD6-A1B8-8AB556E41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64</xdr:col>
      <xdr:colOff>473309</xdr:colOff>
      <xdr:row>91</xdr:row>
      <xdr:rowOff>54585</xdr:rowOff>
    </xdr:from>
    <xdr:to>
      <xdr:col>72</xdr:col>
      <xdr:colOff>186407</xdr:colOff>
      <xdr:row>106</xdr:row>
      <xdr:rowOff>61818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F03F273-D4BC-43AA-9A24-8B1EB06E8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77</xdr:col>
      <xdr:colOff>0</xdr:colOff>
      <xdr:row>71</xdr:row>
      <xdr:rowOff>0</xdr:rowOff>
    </xdr:from>
    <xdr:to>
      <xdr:col>82</xdr:col>
      <xdr:colOff>173105</xdr:colOff>
      <xdr:row>84</xdr:row>
      <xdr:rowOff>39887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48980BA-30E3-4930-9D6D-AB16C81A7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78</xdr:col>
      <xdr:colOff>0</xdr:colOff>
      <xdr:row>88</xdr:row>
      <xdr:rowOff>0</xdr:rowOff>
    </xdr:from>
    <xdr:to>
      <xdr:col>83</xdr:col>
      <xdr:colOff>248690</xdr:colOff>
      <xdr:row>104</xdr:row>
      <xdr:rowOff>81186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A76AB68-4D1D-4367-ADDE-1D077CA25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70</xdr:col>
      <xdr:colOff>588283</xdr:colOff>
      <xdr:row>44</xdr:row>
      <xdr:rowOff>38058</xdr:rowOff>
    </xdr:from>
    <xdr:to>
      <xdr:col>76</xdr:col>
      <xdr:colOff>533854</xdr:colOff>
      <xdr:row>59</xdr:row>
      <xdr:rowOff>11586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BD54904-17D6-4C26-AE6D-1639255D3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77</xdr:col>
      <xdr:colOff>448869</xdr:colOff>
      <xdr:row>44</xdr:row>
      <xdr:rowOff>27050</xdr:rowOff>
    </xdr:from>
    <xdr:to>
      <xdr:col>83</xdr:col>
      <xdr:colOff>407141</xdr:colOff>
      <xdr:row>58</xdr:row>
      <xdr:rowOff>170584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169F56F-698A-4CC0-9ABB-50AA2153C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197393</xdr:colOff>
      <xdr:row>29</xdr:row>
      <xdr:rowOff>150769</xdr:rowOff>
    </xdr:from>
    <xdr:to>
      <xdr:col>24</xdr:col>
      <xdr:colOff>159078</xdr:colOff>
      <xdr:row>43</xdr:row>
      <xdr:rowOff>123821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15542-628B-4417-820D-94065227D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445060</xdr:colOff>
      <xdr:row>29</xdr:row>
      <xdr:rowOff>97678</xdr:rowOff>
    </xdr:from>
    <xdr:to>
      <xdr:col>30</xdr:col>
      <xdr:colOff>515471</xdr:colOff>
      <xdr:row>43</xdr:row>
      <xdr:rowOff>112058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60D242-F72B-4261-AEE1-CD1D4674A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353291</xdr:colOff>
      <xdr:row>56</xdr:row>
      <xdr:rowOff>75045</xdr:rowOff>
    </xdr:from>
    <xdr:to>
      <xdr:col>21</xdr:col>
      <xdr:colOff>32327</xdr:colOff>
      <xdr:row>71</xdr:row>
      <xdr:rowOff>72736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923155-B5FF-42C2-BA3C-5A300AC66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431800</xdr:colOff>
      <xdr:row>56</xdr:row>
      <xdr:rowOff>50800</xdr:rowOff>
    </xdr:from>
    <xdr:to>
      <xdr:col>29</xdr:col>
      <xdr:colOff>110836</xdr:colOff>
      <xdr:row>71</xdr:row>
      <xdr:rowOff>55418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2C67B0-B49D-4468-8350-3406B101D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83</xdr:row>
      <xdr:rowOff>24245</xdr:rowOff>
    </xdr:from>
    <xdr:to>
      <xdr:col>22</xdr:col>
      <xdr:colOff>412750</xdr:colOff>
      <xdr:row>98</xdr:row>
      <xdr:rowOff>21936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C4B960-9F1E-4413-A677-BC5DEA52F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78509</xdr:colOff>
      <xdr:row>83</xdr:row>
      <xdr:rowOff>0</xdr:rowOff>
    </xdr:from>
    <xdr:to>
      <xdr:col>31</xdr:col>
      <xdr:colOff>367145</xdr:colOff>
      <xdr:row>98</xdr:row>
      <xdr:rowOff>4618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559E5A-8BE1-40CB-881A-00A9C3A8C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598713</xdr:colOff>
      <xdr:row>15</xdr:row>
      <xdr:rowOff>69602</xdr:rowOff>
    </xdr:from>
    <xdr:to>
      <xdr:col>18</xdr:col>
      <xdr:colOff>432492</xdr:colOff>
      <xdr:row>28</xdr:row>
      <xdr:rowOff>138263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27B5A-622F-4351-94BA-51CE46A9F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107857</xdr:colOff>
      <xdr:row>15</xdr:row>
      <xdr:rowOff>45357</xdr:rowOff>
    </xdr:from>
    <xdr:to>
      <xdr:col>27</xdr:col>
      <xdr:colOff>430110</xdr:colOff>
      <xdr:row>28</xdr:row>
      <xdr:rowOff>120945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B8D012-28E3-4FC2-8218-F159BA046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287304</xdr:colOff>
      <xdr:row>25</xdr:row>
      <xdr:rowOff>132244</xdr:rowOff>
    </xdr:from>
    <xdr:to>
      <xdr:col>15</xdr:col>
      <xdr:colOff>503208</xdr:colOff>
      <xdr:row>40</xdr:row>
      <xdr:rowOff>113977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9E44BE-5F3C-43EA-8220-700E2F5D4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181428</xdr:colOff>
      <xdr:row>25</xdr:row>
      <xdr:rowOff>145143</xdr:rowOff>
    </xdr:from>
    <xdr:to>
      <xdr:col>23</xdr:col>
      <xdr:colOff>467265</xdr:colOff>
      <xdr:row>40</xdr:row>
      <xdr:rowOff>126876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31EDC6-0840-48B6-A857-D0FEDEB8E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9497-A282-4C58-86E2-257150C24117}">
  <dimension ref="A2:G15"/>
  <sheetViews>
    <sheetView zoomScale="94" zoomScaleNormal="100" workbookViewId="0">
      <selection activeCell="F36" sqref="F36"/>
    </sheetView>
  </sheetViews>
  <sheetFormatPr defaultRowHeight="14.5" x14ac:dyDescent="0.35"/>
  <cols>
    <col min="4" max="4" width="9.36328125" bestFit="1" customWidth="1"/>
  </cols>
  <sheetData>
    <row r="2" spans="1:7" x14ac:dyDescent="0.35">
      <c r="A2" s="146" t="s">
        <v>0</v>
      </c>
      <c r="B2" s="146"/>
      <c r="C2" s="146"/>
      <c r="D2" s="146"/>
      <c r="E2" s="146"/>
      <c r="F2" s="146"/>
      <c r="G2" s="146"/>
    </row>
    <row r="4" spans="1:7" ht="16.5" x14ac:dyDescent="0.45">
      <c r="A4" t="s">
        <v>1</v>
      </c>
      <c r="B4" t="s">
        <v>127</v>
      </c>
      <c r="C4" t="s">
        <v>126</v>
      </c>
      <c r="D4" t="s">
        <v>2</v>
      </c>
    </row>
    <row r="5" spans="1:7" x14ac:dyDescent="0.35">
      <c r="A5" s="1">
        <v>3</v>
      </c>
      <c r="B5" s="85">
        <v>124</v>
      </c>
      <c r="C5">
        <v>121.5</v>
      </c>
      <c r="D5" s="2">
        <f>(B5-C5)*100/C5</f>
        <v>2.0576131687242798</v>
      </c>
    </row>
    <row r="6" spans="1:7" x14ac:dyDescent="0.35">
      <c r="A6" s="1">
        <v>30</v>
      </c>
      <c r="B6" s="85">
        <v>127.55</v>
      </c>
      <c r="C6">
        <v>124.9</v>
      </c>
      <c r="D6" s="2">
        <f t="shared" ref="D6:D10" si="0">(B6-C6)*100/C6</f>
        <v>2.1216973578863021</v>
      </c>
    </row>
    <row r="7" spans="1:7" x14ac:dyDescent="0.35">
      <c r="A7" s="1">
        <v>60</v>
      </c>
      <c r="B7" s="85">
        <v>97.9</v>
      </c>
      <c r="C7">
        <v>95.6</v>
      </c>
      <c r="D7" s="2">
        <f t="shared" si="0"/>
        <v>2.4058577405857862</v>
      </c>
    </row>
    <row r="8" spans="1:7" x14ac:dyDescent="0.35">
      <c r="A8" s="1">
        <v>90</v>
      </c>
      <c r="B8" s="85">
        <v>124.25</v>
      </c>
      <c r="C8">
        <v>120.9</v>
      </c>
      <c r="D8" s="2">
        <f t="shared" si="0"/>
        <v>2.7708850289495404</v>
      </c>
    </row>
    <row r="9" spans="1:7" x14ac:dyDescent="0.35">
      <c r="A9" s="59">
        <v>120</v>
      </c>
      <c r="B9" s="190">
        <v>111.1</v>
      </c>
      <c r="C9" s="9">
        <v>107.6</v>
      </c>
      <c r="D9" s="189">
        <f t="shared" si="0"/>
        <v>3.2527881040892197</v>
      </c>
      <c r="E9" s="147">
        <f>AVERAGE(D9:D10)</f>
        <v>3.0760981940564474</v>
      </c>
      <c r="F9" s="148" t="s">
        <v>3</v>
      </c>
    </row>
    <row r="10" spans="1:7" x14ac:dyDescent="0.35">
      <c r="A10" s="59">
        <v>120</v>
      </c>
      <c r="B10" s="190">
        <v>121.73</v>
      </c>
      <c r="C10" s="9">
        <v>118.3</v>
      </c>
      <c r="D10" s="189">
        <f t="shared" si="0"/>
        <v>2.8994082840236746</v>
      </c>
      <c r="E10" s="147"/>
      <c r="F10" s="148"/>
    </row>
    <row r="12" spans="1:7" x14ac:dyDescent="0.35">
      <c r="B12" t="s">
        <v>133</v>
      </c>
      <c r="C12" t="s">
        <v>134</v>
      </c>
    </row>
    <row r="13" spans="1:7" ht="16.5" x14ac:dyDescent="0.45">
      <c r="B13" s="4" t="s">
        <v>128</v>
      </c>
      <c r="C13" t="s">
        <v>130</v>
      </c>
    </row>
    <row r="14" spans="1:7" ht="16.5" x14ac:dyDescent="0.45">
      <c r="B14" s="4" t="s">
        <v>129</v>
      </c>
      <c r="C14" t="s">
        <v>131</v>
      </c>
    </row>
    <row r="15" spans="1:7" x14ac:dyDescent="0.35">
      <c r="B15" s="4" t="s">
        <v>4</v>
      </c>
      <c r="C15" t="s">
        <v>5</v>
      </c>
    </row>
  </sheetData>
  <mergeCells count="3">
    <mergeCell ref="A2:G2"/>
    <mergeCell ref="E9:E10"/>
    <mergeCell ref="F9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4A60-CE4E-4535-9069-4DFB075C2C48}">
  <dimension ref="C2:AP87"/>
  <sheetViews>
    <sheetView topLeftCell="R49" zoomScale="69" zoomScaleNormal="70" workbookViewId="0">
      <selection activeCell="AJ55" sqref="AJ55"/>
    </sheetView>
  </sheetViews>
  <sheetFormatPr defaultRowHeight="14.5" x14ac:dyDescent="0.35"/>
  <cols>
    <col min="2" max="2" width="10.26953125" bestFit="1" customWidth="1"/>
    <col min="3" max="3" width="11.26953125" bestFit="1" customWidth="1"/>
    <col min="4" max="4" width="8.6328125" bestFit="1" customWidth="1"/>
    <col min="5" max="5" width="11.90625" bestFit="1" customWidth="1"/>
    <col min="6" max="6" width="10.90625" bestFit="1" customWidth="1"/>
    <col min="7" max="7" width="9.7265625" bestFit="1" customWidth="1"/>
    <col min="8" max="8" width="12.90625" customWidth="1"/>
    <col min="9" max="9" width="11.90625" bestFit="1" customWidth="1"/>
    <col min="10" max="10" width="12.453125" customWidth="1"/>
    <col min="11" max="11" width="6.54296875" customWidth="1"/>
    <col min="12" max="12" width="7.81640625" customWidth="1"/>
    <col min="13" max="13" width="11.26953125" bestFit="1" customWidth="1"/>
    <col min="14" max="14" width="8.1796875" bestFit="1" customWidth="1"/>
    <col min="15" max="15" width="8.90625" bestFit="1" customWidth="1"/>
    <col min="16" max="16" width="12.453125" bestFit="1" customWidth="1"/>
    <col min="17" max="17" width="10.453125" bestFit="1" customWidth="1"/>
    <col min="18" max="18" width="10.1796875" bestFit="1" customWidth="1"/>
    <col min="19" max="19" width="9.81640625" customWidth="1"/>
    <col min="20" max="20" width="11.08984375" customWidth="1"/>
    <col min="21" max="21" width="9.54296875" bestFit="1" customWidth="1"/>
    <col min="22" max="22" width="9.26953125" customWidth="1"/>
    <col min="27" max="27" width="11.54296875" bestFit="1" customWidth="1"/>
    <col min="28" max="28" width="8.1796875" bestFit="1" customWidth="1"/>
    <col min="29" max="29" width="8.81640625" bestFit="1" customWidth="1"/>
    <col min="30" max="30" width="12.453125" bestFit="1" customWidth="1"/>
    <col min="31" max="32" width="10.453125" bestFit="1" customWidth="1"/>
    <col min="33" max="33" width="8.54296875" bestFit="1" customWidth="1"/>
    <col min="34" max="34" width="12.08984375" bestFit="1" customWidth="1"/>
    <col min="35" max="35" width="9.81640625" bestFit="1" customWidth="1"/>
    <col min="36" max="36" width="9.08984375" customWidth="1"/>
    <col min="37" max="37" width="7.36328125" customWidth="1"/>
    <col min="39" max="39" width="13.90625" bestFit="1" customWidth="1"/>
  </cols>
  <sheetData>
    <row r="2" spans="3:12" x14ac:dyDescent="0.35">
      <c r="I2" s="156" t="s">
        <v>79</v>
      </c>
      <c r="J2" s="156"/>
      <c r="K2" s="114">
        <v>7.0000000000000001E-3</v>
      </c>
    </row>
    <row r="3" spans="3:12" x14ac:dyDescent="0.35">
      <c r="I3" s="9"/>
      <c r="J3" s="9"/>
    </row>
    <row r="4" spans="3:12" x14ac:dyDescent="0.35">
      <c r="I4" s="9"/>
      <c r="J4" s="9"/>
      <c r="K4" s="9"/>
      <c r="L4" s="9"/>
    </row>
    <row r="5" spans="3:12" x14ac:dyDescent="0.35">
      <c r="I5" s="9"/>
      <c r="J5" s="9"/>
      <c r="K5" s="9"/>
      <c r="L5" s="9"/>
    </row>
    <row r="6" spans="3:12" x14ac:dyDescent="0.35">
      <c r="I6" s="157" t="s">
        <v>80</v>
      </c>
      <c r="J6" s="158"/>
      <c r="K6" s="158"/>
      <c r="L6" s="115">
        <v>4.3999999999999997E-2</v>
      </c>
    </row>
    <row r="7" spans="3:12" x14ac:dyDescent="0.35">
      <c r="I7" s="157" t="s">
        <v>81</v>
      </c>
      <c r="J7" s="158"/>
      <c r="K7" s="158"/>
      <c r="L7" s="116">
        <v>5.0999999999999997E-2</v>
      </c>
    </row>
    <row r="9" spans="3:12" x14ac:dyDescent="0.35">
      <c r="K9" s="113" t="s">
        <v>82</v>
      </c>
      <c r="L9" s="117">
        <f>(L7+L6)/2</f>
        <v>4.7500000000000001E-2</v>
      </c>
    </row>
    <row r="11" spans="3:12" ht="29" x14ac:dyDescent="0.35">
      <c r="C11" s="29" t="s">
        <v>9</v>
      </c>
      <c r="D11" s="29" t="s">
        <v>10</v>
      </c>
      <c r="E11" s="29" t="s">
        <v>11</v>
      </c>
      <c r="F11" s="29" t="s">
        <v>83</v>
      </c>
      <c r="G11" s="29" t="s">
        <v>84</v>
      </c>
      <c r="H11" s="29" t="s">
        <v>85</v>
      </c>
      <c r="I11" s="30" t="s">
        <v>86</v>
      </c>
      <c r="J11" s="118" t="s">
        <v>87</v>
      </c>
    </row>
    <row r="12" spans="3:12" x14ac:dyDescent="0.35">
      <c r="C12" s="119" t="s">
        <v>88</v>
      </c>
      <c r="D12" s="120">
        <v>1</v>
      </c>
      <c r="E12" s="121">
        <v>0.25</v>
      </c>
      <c r="F12" s="122">
        <f>0.5*800</f>
        <v>400</v>
      </c>
      <c r="G12" s="122">
        <f>0.5*800</f>
        <v>400</v>
      </c>
      <c r="H12" s="122">
        <f>0.25*F12</f>
        <v>100</v>
      </c>
      <c r="I12" s="122">
        <f>H12+$K$2*G12</f>
        <v>102.8</v>
      </c>
      <c r="J12" s="102">
        <f>I12-H12</f>
        <v>2.7999999999999972</v>
      </c>
    </row>
    <row r="13" spans="3:12" x14ac:dyDescent="0.35">
      <c r="C13" s="119" t="s">
        <v>49</v>
      </c>
      <c r="D13" s="120">
        <v>1</v>
      </c>
      <c r="E13" s="121">
        <v>0.3</v>
      </c>
      <c r="F13" s="122">
        <f t="shared" ref="F13:G14" si="0">0.5*800</f>
        <v>400</v>
      </c>
      <c r="G13" s="122">
        <f t="shared" si="0"/>
        <v>400</v>
      </c>
      <c r="H13" s="122">
        <f>0.3*F13</f>
        <v>120</v>
      </c>
      <c r="I13" s="122">
        <f t="shared" ref="I13:I20" si="1">H13+$K$2*G13</f>
        <v>122.8</v>
      </c>
      <c r="J13" s="102">
        <f t="shared" ref="J13:J20" si="2">I13-H13</f>
        <v>2.7999999999999972</v>
      </c>
    </row>
    <row r="14" spans="3:12" x14ac:dyDescent="0.35">
      <c r="C14" s="119" t="s">
        <v>40</v>
      </c>
      <c r="D14" s="120">
        <v>1</v>
      </c>
      <c r="E14" s="121">
        <v>0.35</v>
      </c>
      <c r="F14" s="122">
        <f t="shared" si="0"/>
        <v>400</v>
      </c>
      <c r="G14" s="122">
        <f t="shared" si="0"/>
        <v>400</v>
      </c>
      <c r="H14" s="122">
        <f>0.35*F14</f>
        <v>140</v>
      </c>
      <c r="I14" s="122">
        <f t="shared" si="1"/>
        <v>142.80000000000001</v>
      </c>
      <c r="J14" s="102">
        <f t="shared" si="2"/>
        <v>2.8000000000000114</v>
      </c>
    </row>
    <row r="15" spans="3:12" x14ac:dyDescent="0.35">
      <c r="C15" s="123" t="s">
        <v>89</v>
      </c>
      <c r="D15" s="124">
        <v>1.5</v>
      </c>
      <c r="E15" s="125">
        <v>0.25</v>
      </c>
      <c r="F15" s="126">
        <f>(1/2.5)*800</f>
        <v>320</v>
      </c>
      <c r="G15" s="126">
        <f>(1.5/2.5)*800</f>
        <v>480</v>
      </c>
      <c r="H15" s="126">
        <f t="shared" ref="H15" si="3">0.25*F15</f>
        <v>80</v>
      </c>
      <c r="I15" s="126">
        <f t="shared" si="1"/>
        <v>83.36</v>
      </c>
      <c r="J15" s="102">
        <f t="shared" si="2"/>
        <v>3.3599999999999994</v>
      </c>
    </row>
    <row r="16" spans="3:12" x14ac:dyDescent="0.35">
      <c r="C16" s="123" t="s">
        <v>90</v>
      </c>
      <c r="D16" s="124">
        <v>1.5</v>
      </c>
      <c r="E16" s="125">
        <v>0.3</v>
      </c>
      <c r="F16" s="126">
        <f t="shared" ref="F16:F17" si="4">(1/2.5)*800</f>
        <v>320</v>
      </c>
      <c r="G16" s="126">
        <f t="shared" ref="G16:G17" si="5">(1.5/2.5)*800</f>
        <v>480</v>
      </c>
      <c r="H16" s="126">
        <f>0.3*F16</f>
        <v>96</v>
      </c>
      <c r="I16" s="126">
        <f t="shared" si="1"/>
        <v>99.36</v>
      </c>
      <c r="J16" s="102">
        <f t="shared" si="2"/>
        <v>3.3599999999999994</v>
      </c>
      <c r="K16" s="9"/>
    </row>
    <row r="17" spans="3:23" x14ac:dyDescent="0.35">
      <c r="C17" s="123" t="s">
        <v>91</v>
      </c>
      <c r="D17" s="124">
        <v>1.5</v>
      </c>
      <c r="E17" s="125">
        <v>0.35</v>
      </c>
      <c r="F17" s="126">
        <f t="shared" si="4"/>
        <v>320</v>
      </c>
      <c r="G17" s="126">
        <f t="shared" si="5"/>
        <v>480</v>
      </c>
      <c r="H17" s="126">
        <f>0.35*F17</f>
        <v>112</v>
      </c>
      <c r="I17" s="126">
        <f t="shared" si="1"/>
        <v>115.36</v>
      </c>
      <c r="J17" s="102">
        <f t="shared" si="2"/>
        <v>3.3599999999999994</v>
      </c>
      <c r="K17" s="85"/>
      <c r="V17" t="s">
        <v>92</v>
      </c>
    </row>
    <row r="18" spans="3:23" ht="16.5" x14ac:dyDescent="0.45">
      <c r="C18" s="127" t="s">
        <v>93</v>
      </c>
      <c r="D18" s="128">
        <v>2</v>
      </c>
      <c r="E18" s="129">
        <v>0.25</v>
      </c>
      <c r="F18" s="130">
        <f>(1/3)*800</f>
        <v>266.66666666666663</v>
      </c>
      <c r="G18" s="130">
        <f>(2/3)*800</f>
        <v>533.33333333333326</v>
      </c>
      <c r="H18" s="130">
        <f t="shared" ref="H18" si="6">0.25*F18</f>
        <v>66.666666666666657</v>
      </c>
      <c r="I18" s="130">
        <f t="shared" si="1"/>
        <v>70.399999999999991</v>
      </c>
      <c r="J18" s="102">
        <f t="shared" si="2"/>
        <v>3.7333333333333343</v>
      </c>
      <c r="K18" s="85"/>
      <c r="V18" s="4" t="s">
        <v>94</v>
      </c>
      <c r="W18" s="87">
        <v>2527.1</v>
      </c>
    </row>
    <row r="19" spans="3:23" ht="16.5" x14ac:dyDescent="0.45">
      <c r="C19" s="127" t="s">
        <v>95</v>
      </c>
      <c r="D19" s="128">
        <v>2</v>
      </c>
      <c r="E19" s="129">
        <v>0.3</v>
      </c>
      <c r="F19" s="130">
        <f t="shared" ref="F19:F20" si="7">(1/3)*800</f>
        <v>266.66666666666663</v>
      </c>
      <c r="G19" s="130">
        <f t="shared" ref="G19:G20" si="8">(2/3)*800</f>
        <v>533.33333333333326</v>
      </c>
      <c r="H19" s="130">
        <f>0.3*F19</f>
        <v>79.999999999999986</v>
      </c>
      <c r="I19" s="130">
        <f t="shared" si="1"/>
        <v>83.73333333333332</v>
      </c>
      <c r="J19" s="102">
        <f t="shared" si="2"/>
        <v>3.7333333333333343</v>
      </c>
      <c r="K19" s="85"/>
      <c r="V19" s="4" t="s">
        <v>96</v>
      </c>
      <c r="W19" s="87">
        <v>1774.51</v>
      </c>
    </row>
    <row r="20" spans="3:23" x14ac:dyDescent="0.35">
      <c r="C20" s="127" t="s">
        <v>97</v>
      </c>
      <c r="D20" s="128">
        <v>2</v>
      </c>
      <c r="E20" s="129">
        <v>0.35</v>
      </c>
      <c r="F20" s="130">
        <f t="shared" si="7"/>
        <v>266.66666666666663</v>
      </c>
      <c r="G20" s="130">
        <f t="shared" si="8"/>
        <v>533.33333333333326</v>
      </c>
      <c r="H20" s="130">
        <f>0.35*F20</f>
        <v>93.333333333333314</v>
      </c>
      <c r="I20" s="130">
        <f t="shared" si="1"/>
        <v>97.066666666666649</v>
      </c>
      <c r="J20" s="102">
        <f t="shared" si="2"/>
        <v>3.7333333333333343</v>
      </c>
      <c r="K20" s="85"/>
    </row>
    <row r="21" spans="3:23" x14ac:dyDescent="0.35">
      <c r="I21" s="85"/>
      <c r="K21" s="85"/>
    </row>
    <row r="22" spans="3:23" x14ac:dyDescent="0.35">
      <c r="I22" s="85"/>
      <c r="K22" s="85"/>
    </row>
    <row r="23" spans="3:23" x14ac:dyDescent="0.35">
      <c r="I23" s="85"/>
      <c r="J23" s="85"/>
      <c r="K23" s="85"/>
    </row>
    <row r="24" spans="3:23" ht="29" x14ac:dyDescent="0.35">
      <c r="C24" s="29" t="s">
        <v>9</v>
      </c>
      <c r="D24" s="29" t="s">
        <v>10</v>
      </c>
      <c r="E24" s="29" t="s">
        <v>11</v>
      </c>
      <c r="F24" s="29" t="s">
        <v>83</v>
      </c>
      <c r="G24" s="29" t="s">
        <v>84</v>
      </c>
      <c r="H24" s="29" t="s">
        <v>85</v>
      </c>
      <c r="I24" s="30" t="s">
        <v>86</v>
      </c>
      <c r="J24" s="30" t="s">
        <v>98</v>
      </c>
      <c r="K24" s="85"/>
      <c r="M24" s="29" t="s">
        <v>9</v>
      </c>
      <c r="N24" s="29" t="s">
        <v>10</v>
      </c>
      <c r="O24" s="29" t="s">
        <v>11</v>
      </c>
      <c r="P24" s="29" t="s">
        <v>83</v>
      </c>
      <c r="Q24" s="29" t="s">
        <v>84</v>
      </c>
      <c r="R24" s="29" t="s">
        <v>85</v>
      </c>
      <c r="S24" s="30" t="s">
        <v>86</v>
      </c>
      <c r="T24" s="30" t="s">
        <v>98</v>
      </c>
    </row>
    <row r="25" spans="3:23" x14ac:dyDescent="0.35">
      <c r="C25" s="119" t="s">
        <v>7</v>
      </c>
      <c r="D25" s="120">
        <v>1</v>
      </c>
      <c r="E25" s="121">
        <v>0.25</v>
      </c>
      <c r="F25" s="122">
        <f>0.5*800</f>
        <v>400</v>
      </c>
      <c r="G25" s="122">
        <f>0.5*800</f>
        <v>400</v>
      </c>
      <c r="H25" s="122">
        <f>0.25*F25</f>
        <v>100</v>
      </c>
      <c r="I25" s="122">
        <f>H25+0.031*G25</f>
        <v>112.4</v>
      </c>
      <c r="J25" s="122">
        <f>I25-H25</f>
        <v>12.400000000000006</v>
      </c>
      <c r="K25" s="85"/>
      <c r="M25" s="119" t="s">
        <v>99</v>
      </c>
      <c r="N25" s="120" t="s">
        <v>100</v>
      </c>
      <c r="O25" s="121">
        <v>0.25</v>
      </c>
      <c r="P25" s="122">
        <f>(1/1.5)*800</f>
        <v>533.33333333333326</v>
      </c>
      <c r="Q25" s="122">
        <f>(0.5/1.5)*800</f>
        <v>266.66666666666663</v>
      </c>
      <c r="R25" s="122">
        <f>0.25*P25</f>
        <v>133.33333333333331</v>
      </c>
      <c r="S25" s="122">
        <f>R25+0.031*Q25</f>
        <v>141.59999999999997</v>
      </c>
      <c r="T25" s="122">
        <f>S25-R25</f>
        <v>8.2666666666666515</v>
      </c>
    </row>
    <row r="26" spans="3:23" x14ac:dyDescent="0.35">
      <c r="C26" s="119" t="s">
        <v>8</v>
      </c>
      <c r="D26" s="120">
        <v>1</v>
      </c>
      <c r="E26" s="121">
        <v>0.3</v>
      </c>
      <c r="F26" s="122">
        <f t="shared" ref="F26:G27" si="9">0.5*800</f>
        <v>400</v>
      </c>
      <c r="G26" s="122">
        <f t="shared" si="9"/>
        <v>400</v>
      </c>
      <c r="H26" s="122">
        <f>0.3*F26</f>
        <v>120</v>
      </c>
      <c r="I26" s="122">
        <f t="shared" ref="I26:I33" si="10">H26+0.031*G26</f>
        <v>132.4</v>
      </c>
      <c r="J26" s="122">
        <f t="shared" ref="J26:J33" si="11">I26-H26</f>
        <v>12.400000000000006</v>
      </c>
      <c r="M26" s="119" t="s">
        <v>101</v>
      </c>
      <c r="N26" s="120" t="s">
        <v>100</v>
      </c>
      <c r="O26" s="121">
        <v>0.3</v>
      </c>
      <c r="P26" s="122">
        <f t="shared" ref="P26:P27" si="12">(1/1.5)*800</f>
        <v>533.33333333333326</v>
      </c>
      <c r="Q26" s="122">
        <f t="shared" ref="Q26:Q27" si="13">(0.5/1.5)*800</f>
        <v>266.66666666666663</v>
      </c>
      <c r="R26" s="122">
        <f>0.3*P26</f>
        <v>159.99999999999997</v>
      </c>
      <c r="S26" s="122">
        <f t="shared" ref="S26:S33" si="14">R26+0.031*Q26</f>
        <v>168.26666666666665</v>
      </c>
      <c r="T26" s="122">
        <f t="shared" ref="T26:T33" si="15">S26-R26</f>
        <v>8.2666666666666799</v>
      </c>
    </row>
    <row r="27" spans="3:23" x14ac:dyDescent="0.35">
      <c r="C27" s="119" t="s">
        <v>12</v>
      </c>
      <c r="D27" s="120">
        <v>1</v>
      </c>
      <c r="E27" s="121">
        <v>0.35</v>
      </c>
      <c r="F27" s="122">
        <f t="shared" si="9"/>
        <v>400</v>
      </c>
      <c r="G27" s="122">
        <f t="shared" si="9"/>
        <v>400</v>
      </c>
      <c r="H27" s="122">
        <f>0.35*F27</f>
        <v>140</v>
      </c>
      <c r="I27" s="122">
        <f t="shared" si="10"/>
        <v>152.4</v>
      </c>
      <c r="J27" s="122">
        <f t="shared" si="11"/>
        <v>12.400000000000006</v>
      </c>
      <c r="M27" s="119" t="s">
        <v>102</v>
      </c>
      <c r="N27" s="120" t="s">
        <v>100</v>
      </c>
      <c r="O27" s="121">
        <v>0.35</v>
      </c>
      <c r="P27" s="122">
        <f t="shared" si="12"/>
        <v>533.33333333333326</v>
      </c>
      <c r="Q27" s="122">
        <f t="shared" si="13"/>
        <v>266.66666666666663</v>
      </c>
      <c r="R27" s="122">
        <f>0.35*P27</f>
        <v>186.66666666666663</v>
      </c>
      <c r="S27" s="122">
        <f t="shared" si="14"/>
        <v>194.93333333333328</v>
      </c>
      <c r="T27" s="122">
        <f t="shared" si="15"/>
        <v>8.2666666666666515</v>
      </c>
    </row>
    <row r="28" spans="3:23" x14ac:dyDescent="0.35">
      <c r="C28" s="123" t="s">
        <v>13</v>
      </c>
      <c r="D28" s="124">
        <v>1.5</v>
      </c>
      <c r="E28" s="125">
        <v>0.25</v>
      </c>
      <c r="F28" s="126">
        <f>(1/2.5)*800</f>
        <v>320</v>
      </c>
      <c r="G28" s="126">
        <f>(1.5/2.5)*800</f>
        <v>480</v>
      </c>
      <c r="H28" s="126">
        <f t="shared" ref="H28" si="16">0.25*F28</f>
        <v>80</v>
      </c>
      <c r="I28" s="126">
        <f t="shared" si="10"/>
        <v>94.88</v>
      </c>
      <c r="J28" s="126">
        <f t="shared" si="11"/>
        <v>14.879999999999995</v>
      </c>
      <c r="M28" s="123" t="s">
        <v>103</v>
      </c>
      <c r="N28" s="124" t="s">
        <v>104</v>
      </c>
      <c r="O28" s="125">
        <v>0.25</v>
      </c>
      <c r="P28" s="126">
        <f>(1/1.7)*800</f>
        <v>470.58823529411768</v>
      </c>
      <c r="Q28" s="126">
        <f>(0.7/1.7)*800</f>
        <v>329.41176470588232</v>
      </c>
      <c r="R28" s="126">
        <f t="shared" ref="R28" si="17">0.25*P28</f>
        <v>117.64705882352942</v>
      </c>
      <c r="S28" s="126">
        <f t="shared" si="14"/>
        <v>127.85882352941178</v>
      </c>
      <c r="T28" s="126">
        <f t="shared" si="15"/>
        <v>10.211764705882359</v>
      </c>
    </row>
    <row r="29" spans="3:23" x14ac:dyDescent="0.35">
      <c r="C29" s="123" t="s">
        <v>14</v>
      </c>
      <c r="D29" s="124">
        <v>1.5</v>
      </c>
      <c r="E29" s="125">
        <v>0.3</v>
      </c>
      <c r="F29" s="126">
        <f t="shared" ref="F29:F30" si="18">(1/2.5)*800</f>
        <v>320</v>
      </c>
      <c r="G29" s="126">
        <f t="shared" ref="G29:G30" si="19">(1.5/2.5)*800</f>
        <v>480</v>
      </c>
      <c r="H29" s="126">
        <f>0.3*F29</f>
        <v>96</v>
      </c>
      <c r="I29" s="126">
        <f t="shared" si="10"/>
        <v>110.88</v>
      </c>
      <c r="J29" s="126">
        <f t="shared" si="11"/>
        <v>14.879999999999995</v>
      </c>
      <c r="M29" s="123" t="s">
        <v>105</v>
      </c>
      <c r="N29" s="124" t="s">
        <v>104</v>
      </c>
      <c r="O29" s="125">
        <v>0.3</v>
      </c>
      <c r="P29" s="126">
        <f t="shared" ref="P29:P30" si="20">(1/1.7)*800</f>
        <v>470.58823529411768</v>
      </c>
      <c r="Q29" s="126">
        <f t="shared" ref="Q29:Q30" si="21">(0.7/1.7)*800</f>
        <v>329.41176470588232</v>
      </c>
      <c r="R29" s="126">
        <f>0.3*P29</f>
        <v>141.1764705882353</v>
      </c>
      <c r="S29" s="126">
        <f t="shared" si="14"/>
        <v>151.38823529411766</v>
      </c>
      <c r="T29" s="126">
        <f t="shared" si="15"/>
        <v>10.211764705882359</v>
      </c>
    </row>
    <row r="30" spans="3:23" x14ac:dyDescent="0.35">
      <c r="C30" s="123" t="s">
        <v>15</v>
      </c>
      <c r="D30" s="124">
        <v>1.5</v>
      </c>
      <c r="E30" s="125">
        <v>0.35</v>
      </c>
      <c r="F30" s="126">
        <f t="shared" si="18"/>
        <v>320</v>
      </c>
      <c r="G30" s="126">
        <f t="shared" si="19"/>
        <v>480</v>
      </c>
      <c r="H30" s="126">
        <f>0.35*F30</f>
        <v>112</v>
      </c>
      <c r="I30" s="126">
        <f t="shared" si="10"/>
        <v>126.88</v>
      </c>
      <c r="J30" s="126">
        <f t="shared" si="11"/>
        <v>14.879999999999995</v>
      </c>
      <c r="M30" s="123" t="s">
        <v>30</v>
      </c>
      <c r="N30" s="124" t="s">
        <v>104</v>
      </c>
      <c r="O30" s="125">
        <v>0.35</v>
      </c>
      <c r="P30" s="126">
        <f t="shared" si="20"/>
        <v>470.58823529411768</v>
      </c>
      <c r="Q30" s="126">
        <f t="shared" si="21"/>
        <v>329.41176470588232</v>
      </c>
      <c r="R30" s="126">
        <f>0.35*P30</f>
        <v>164.70588235294119</v>
      </c>
      <c r="S30" s="126">
        <f t="shared" si="14"/>
        <v>174.91764705882355</v>
      </c>
      <c r="T30" s="126">
        <f t="shared" si="15"/>
        <v>10.211764705882359</v>
      </c>
    </row>
    <row r="31" spans="3:23" x14ac:dyDescent="0.35">
      <c r="C31" s="127" t="s">
        <v>16</v>
      </c>
      <c r="D31" s="128">
        <v>2</v>
      </c>
      <c r="E31" s="129">
        <v>0.25</v>
      </c>
      <c r="F31" s="130">
        <f>(1/3)*800</f>
        <v>266.66666666666663</v>
      </c>
      <c r="G31" s="130">
        <f>(2/3)*800</f>
        <v>533.33333333333326</v>
      </c>
      <c r="H31" s="130">
        <f t="shared" ref="H31" si="22">0.25*F31</f>
        <v>66.666666666666657</v>
      </c>
      <c r="I31" s="130">
        <f t="shared" si="10"/>
        <v>83.199999999999989</v>
      </c>
      <c r="J31" s="130">
        <f t="shared" si="11"/>
        <v>16.533333333333331</v>
      </c>
      <c r="M31" s="127" t="s">
        <v>7</v>
      </c>
      <c r="N31" s="128">
        <v>2</v>
      </c>
      <c r="O31" s="129">
        <v>0.25</v>
      </c>
      <c r="P31" s="130">
        <f>(1/2)*800</f>
        <v>400</v>
      </c>
      <c r="Q31" s="130">
        <f>(1/2)*800</f>
        <v>400</v>
      </c>
      <c r="R31" s="130">
        <f t="shared" ref="R31" si="23">0.25*P31</f>
        <v>100</v>
      </c>
      <c r="S31" s="130">
        <f t="shared" si="14"/>
        <v>112.4</v>
      </c>
      <c r="T31" s="130">
        <f t="shared" si="15"/>
        <v>12.400000000000006</v>
      </c>
    </row>
    <row r="32" spans="3:23" x14ac:dyDescent="0.35">
      <c r="C32" s="127" t="s">
        <v>17</v>
      </c>
      <c r="D32" s="128">
        <v>2</v>
      </c>
      <c r="E32" s="129">
        <v>0.3</v>
      </c>
      <c r="F32" s="130">
        <f t="shared" ref="F32:F33" si="24">(1/3)*800</f>
        <v>266.66666666666663</v>
      </c>
      <c r="G32" s="130">
        <f t="shared" ref="G32:G33" si="25">(2/3)*800</f>
        <v>533.33333333333326</v>
      </c>
      <c r="H32" s="130">
        <f>0.3*F32</f>
        <v>79.999999999999986</v>
      </c>
      <c r="I32" s="130">
        <f t="shared" si="10"/>
        <v>96.533333333333317</v>
      </c>
      <c r="J32" s="130">
        <f t="shared" si="11"/>
        <v>16.533333333333331</v>
      </c>
      <c r="M32" s="127" t="s">
        <v>8</v>
      </c>
      <c r="N32" s="128">
        <v>2</v>
      </c>
      <c r="O32" s="129">
        <v>0.3</v>
      </c>
      <c r="P32" s="130">
        <f t="shared" ref="P32:Q33" si="26">(1/2)*800</f>
        <v>400</v>
      </c>
      <c r="Q32" s="130">
        <f t="shared" si="26"/>
        <v>400</v>
      </c>
      <c r="R32" s="130">
        <f>0.3*P32</f>
        <v>120</v>
      </c>
      <c r="S32" s="130">
        <f t="shared" si="14"/>
        <v>132.4</v>
      </c>
      <c r="T32" s="130">
        <f t="shared" si="15"/>
        <v>12.400000000000006</v>
      </c>
    </row>
    <row r="33" spans="3:32" x14ac:dyDescent="0.35">
      <c r="C33" s="127" t="s">
        <v>18</v>
      </c>
      <c r="D33" s="128">
        <v>2</v>
      </c>
      <c r="E33" s="129">
        <v>0.35</v>
      </c>
      <c r="F33" s="130">
        <f t="shared" si="24"/>
        <v>266.66666666666663</v>
      </c>
      <c r="G33" s="130">
        <f t="shared" si="25"/>
        <v>533.33333333333326</v>
      </c>
      <c r="H33" s="130">
        <f>0.35*F33</f>
        <v>93.333333333333314</v>
      </c>
      <c r="I33" s="130">
        <f t="shared" si="10"/>
        <v>109.86666666666665</v>
      </c>
      <c r="J33" s="130">
        <f t="shared" si="11"/>
        <v>16.533333333333331</v>
      </c>
      <c r="M33" s="127" t="s">
        <v>12</v>
      </c>
      <c r="N33" s="128">
        <v>2</v>
      </c>
      <c r="O33" s="129">
        <v>0.35</v>
      </c>
      <c r="P33" s="130">
        <f t="shared" si="26"/>
        <v>400</v>
      </c>
      <c r="Q33" s="130">
        <f t="shared" si="26"/>
        <v>400</v>
      </c>
      <c r="R33" s="130">
        <f>0.35*P33</f>
        <v>140</v>
      </c>
      <c r="S33" s="130">
        <f t="shared" si="14"/>
        <v>152.4</v>
      </c>
      <c r="T33" s="130">
        <f t="shared" si="15"/>
        <v>12.400000000000006</v>
      </c>
    </row>
    <row r="36" spans="3:32" x14ac:dyDescent="0.35">
      <c r="AF36">
        <f>1.379/1060</f>
        <v>1.3009433962264151E-3</v>
      </c>
    </row>
    <row r="38" spans="3:32" ht="29" x14ac:dyDescent="0.35">
      <c r="M38" s="29" t="s">
        <v>9</v>
      </c>
      <c r="N38" s="29" t="s">
        <v>10</v>
      </c>
      <c r="O38" s="29" t="s">
        <v>11</v>
      </c>
      <c r="P38" s="29" t="s">
        <v>83</v>
      </c>
      <c r="Q38" s="29" t="s">
        <v>84</v>
      </c>
      <c r="R38" s="29" t="s">
        <v>85</v>
      </c>
      <c r="S38" s="30" t="s">
        <v>86</v>
      </c>
      <c r="T38" s="30" t="s">
        <v>106</v>
      </c>
      <c r="U38" s="29" t="s">
        <v>107</v>
      </c>
      <c r="V38" s="29" t="s">
        <v>108</v>
      </c>
      <c r="W38" s="29" t="s">
        <v>109</v>
      </c>
      <c r="X38" s="29" t="s">
        <v>110</v>
      </c>
    </row>
    <row r="39" spans="3:32" x14ac:dyDescent="0.35">
      <c r="M39" s="119" t="s">
        <v>99</v>
      </c>
      <c r="N39" s="120" t="s">
        <v>100</v>
      </c>
      <c r="O39" s="121">
        <v>0.25</v>
      </c>
      <c r="P39" s="122">
        <f>(1/1.5)*2068</f>
        <v>1378.6666666666665</v>
      </c>
      <c r="Q39" s="122">
        <f>(0.5/1.5)*2068</f>
        <v>689.33333333333326</v>
      </c>
      <c r="R39" s="122">
        <f>0.25*P39</f>
        <v>344.66666666666663</v>
      </c>
      <c r="S39" s="122">
        <f>R39+0.031*Q39</f>
        <v>366.03599999999994</v>
      </c>
      <c r="T39" s="121">
        <f>(0.008*P39)</f>
        <v>11.029333333333332</v>
      </c>
      <c r="U39" s="121">
        <f>0.00056*P39</f>
        <v>0.77205333333333315</v>
      </c>
      <c r="V39" s="119">
        <v>165</v>
      </c>
      <c r="W39" s="119">
        <v>165</v>
      </c>
      <c r="X39" s="131">
        <f>(V39+W39)/2</f>
        <v>165</v>
      </c>
      <c r="Y39" s="64">
        <f>100*T39/P39</f>
        <v>0.79999999999999993</v>
      </c>
      <c r="Z39" s="33">
        <f>100*U39/P39</f>
        <v>5.5999999999999994E-2</v>
      </c>
      <c r="AA39">
        <v>1</v>
      </c>
      <c r="AC39">
        <f>100*AA39/P39</f>
        <v>7.2533849129593819E-2</v>
      </c>
    </row>
    <row r="40" spans="3:32" x14ac:dyDescent="0.35">
      <c r="M40" s="119" t="s">
        <v>101</v>
      </c>
      <c r="N40" s="120" t="s">
        <v>100</v>
      </c>
      <c r="O40" s="121">
        <v>0.3</v>
      </c>
      <c r="P40" s="122">
        <f>(1/1.5)*2068</f>
        <v>1378.6666666666665</v>
      </c>
      <c r="Q40" s="122">
        <f>(0.5/1.5)*2068</f>
        <v>689.33333333333326</v>
      </c>
      <c r="R40" s="122">
        <f>0.3*P40</f>
        <v>413.59999999999997</v>
      </c>
      <c r="S40" s="122">
        <f t="shared" ref="S40:S47" si="27">R40+0.031*Q40</f>
        <v>434.96933333333328</v>
      </c>
      <c r="T40" s="121">
        <f>(0.0025*P40)</f>
        <v>3.4466666666666663</v>
      </c>
      <c r="U40" s="121">
        <f>0.00056*P40</f>
        <v>0.77205333333333315</v>
      </c>
      <c r="V40" s="119">
        <v>155</v>
      </c>
      <c r="W40" s="119">
        <v>160</v>
      </c>
      <c r="X40" s="131">
        <f t="shared" ref="X40:X47" si="28">(V40+W40)/2</f>
        <v>157.5</v>
      </c>
      <c r="Y40" s="64">
        <f t="shared" ref="Y40:Y47" si="29">100*T40/P40</f>
        <v>0.25</v>
      </c>
      <c r="Z40" s="33">
        <f t="shared" ref="Z40:Z47" si="30">100*U40/P40</f>
        <v>5.5999999999999994E-2</v>
      </c>
    </row>
    <row r="41" spans="3:32" x14ac:dyDescent="0.35">
      <c r="M41" s="119" t="s">
        <v>102</v>
      </c>
      <c r="N41" s="120" t="s">
        <v>100</v>
      </c>
      <c r="O41" s="121">
        <v>0.35</v>
      </c>
      <c r="P41" s="122">
        <f>(1/1.5)*2068</f>
        <v>1378.6666666666665</v>
      </c>
      <c r="Q41" s="122">
        <f>(0.5/1.5)*2068</f>
        <v>689.33333333333326</v>
      </c>
      <c r="R41" s="122">
        <f>0.35*P41</f>
        <v>482.53333333333325</v>
      </c>
      <c r="S41" s="122">
        <f t="shared" si="27"/>
        <v>503.90266666666656</v>
      </c>
      <c r="T41" s="121">
        <f>(0*P41)</f>
        <v>0</v>
      </c>
      <c r="U41" s="121">
        <f>0.00075*P41</f>
        <v>1.0339999999999998</v>
      </c>
      <c r="V41" s="119">
        <v>170</v>
      </c>
      <c r="W41" s="119">
        <v>165</v>
      </c>
      <c r="X41" s="131">
        <f t="shared" si="28"/>
        <v>167.5</v>
      </c>
      <c r="Y41" s="64">
        <f t="shared" si="29"/>
        <v>0</v>
      </c>
      <c r="Z41" s="33">
        <f t="shared" si="30"/>
        <v>7.4999999999999997E-2</v>
      </c>
    </row>
    <row r="42" spans="3:32" x14ac:dyDescent="0.35">
      <c r="M42" s="123" t="s">
        <v>103</v>
      </c>
      <c r="N42" s="124" t="s">
        <v>104</v>
      </c>
      <c r="O42" s="125">
        <v>0.25</v>
      </c>
      <c r="P42" s="126">
        <f>(1/1.7)*2068</f>
        <v>1216.4705882352941</v>
      </c>
      <c r="Q42" s="126">
        <f>(0.7/1.7)*2068</f>
        <v>851.52941176470586</v>
      </c>
      <c r="R42" s="126">
        <f t="shared" ref="R42" si="31">0.25*P42</f>
        <v>304.11764705882354</v>
      </c>
      <c r="S42" s="126">
        <f t="shared" si="27"/>
        <v>330.51505882352944</v>
      </c>
      <c r="T42" s="125">
        <f>(0.01*P42)</f>
        <v>12.164705882352942</v>
      </c>
      <c r="U42" s="125">
        <f>0.0008*P42</f>
        <v>0.97317647058823531</v>
      </c>
      <c r="V42" s="123">
        <v>155</v>
      </c>
      <c r="W42" s="123">
        <v>150</v>
      </c>
      <c r="X42" s="132">
        <f t="shared" si="28"/>
        <v>152.5</v>
      </c>
      <c r="Y42" s="64">
        <f t="shared" si="29"/>
        <v>1</v>
      </c>
      <c r="Z42" s="33">
        <f t="shared" si="30"/>
        <v>7.9999999999999988E-2</v>
      </c>
    </row>
    <row r="43" spans="3:32" x14ac:dyDescent="0.35">
      <c r="M43" s="123" t="s">
        <v>105</v>
      </c>
      <c r="N43" s="124" t="s">
        <v>104</v>
      </c>
      <c r="O43" s="125">
        <v>0.3</v>
      </c>
      <c r="P43" s="126">
        <f t="shared" ref="P43:P44" si="32">(1/1.7)*2068</f>
        <v>1216.4705882352941</v>
      </c>
      <c r="Q43" s="126">
        <f t="shared" ref="Q43:Q44" si="33">(0.7/1.7)*2068</f>
        <v>851.52941176470586</v>
      </c>
      <c r="R43" s="126">
        <f>0.3*P43</f>
        <v>364.94117647058823</v>
      </c>
      <c r="S43" s="126">
        <f t="shared" si="27"/>
        <v>391.33858823529414</v>
      </c>
      <c r="T43" s="125">
        <f>(0.005*P43)</f>
        <v>6.0823529411764712</v>
      </c>
      <c r="U43" s="125">
        <f>0.0008*P43</f>
        <v>0.97317647058823531</v>
      </c>
      <c r="V43" s="123">
        <v>165</v>
      </c>
      <c r="W43" s="123">
        <v>160</v>
      </c>
      <c r="X43" s="132">
        <f t="shared" si="28"/>
        <v>162.5</v>
      </c>
      <c r="Y43" s="64">
        <f t="shared" si="29"/>
        <v>0.5</v>
      </c>
      <c r="Z43" s="33">
        <f t="shared" si="30"/>
        <v>7.9999999999999988E-2</v>
      </c>
    </row>
    <row r="44" spans="3:32" x14ac:dyDescent="0.35">
      <c r="M44" s="123" t="s">
        <v>30</v>
      </c>
      <c r="N44" s="124" t="s">
        <v>104</v>
      </c>
      <c r="O44" s="125">
        <v>0.35</v>
      </c>
      <c r="P44" s="126">
        <f t="shared" si="32"/>
        <v>1216.4705882352941</v>
      </c>
      <c r="Q44" s="126">
        <f t="shared" si="33"/>
        <v>851.52941176470586</v>
      </c>
      <c r="R44" s="126">
        <f>0.35*P44</f>
        <v>425.76470588235293</v>
      </c>
      <c r="S44" s="126">
        <f t="shared" si="27"/>
        <v>452.16211764705884</v>
      </c>
      <c r="T44" s="125">
        <f>(0*P44)</f>
        <v>0</v>
      </c>
      <c r="U44" s="125">
        <f>0.00045*P44</f>
        <v>0.54741176470588238</v>
      </c>
      <c r="V44" s="123">
        <v>155</v>
      </c>
      <c r="W44" s="123">
        <v>155</v>
      </c>
      <c r="X44" s="132">
        <f t="shared" si="28"/>
        <v>155</v>
      </c>
      <c r="Y44" s="64">
        <f t="shared" si="29"/>
        <v>0</v>
      </c>
      <c r="Z44" s="33">
        <f t="shared" si="30"/>
        <v>4.4999999999999998E-2</v>
      </c>
    </row>
    <row r="45" spans="3:32" x14ac:dyDescent="0.35">
      <c r="M45" s="127" t="s">
        <v>7</v>
      </c>
      <c r="N45" s="128">
        <v>2</v>
      </c>
      <c r="O45" s="129">
        <v>0.25</v>
      </c>
      <c r="P45" s="130">
        <f>(1/2)*2068</f>
        <v>1034</v>
      </c>
      <c r="Q45" s="130">
        <f>(1/2)*2068</f>
        <v>1034</v>
      </c>
      <c r="R45" s="130">
        <f t="shared" ref="R45" si="34">0.25*P45</f>
        <v>258.5</v>
      </c>
      <c r="S45" s="130">
        <f t="shared" si="27"/>
        <v>290.55399999999997</v>
      </c>
      <c r="T45" s="129">
        <v>18.100000000000001</v>
      </c>
      <c r="U45" s="129">
        <v>0.93</v>
      </c>
      <c r="V45" s="127"/>
      <c r="W45" s="127"/>
      <c r="X45" s="133"/>
      <c r="Y45" s="64">
        <f t="shared" si="29"/>
        <v>1.7504835589941976</v>
      </c>
      <c r="Z45" s="33">
        <f t="shared" si="30"/>
        <v>8.994197292069632E-2</v>
      </c>
    </row>
    <row r="46" spans="3:32" x14ac:dyDescent="0.35">
      <c r="M46" s="127" t="s">
        <v>8</v>
      </c>
      <c r="N46" s="128">
        <v>2</v>
      </c>
      <c r="O46" s="129">
        <v>0.3</v>
      </c>
      <c r="P46" s="130">
        <f t="shared" ref="P46:Q47" si="35">(1/2)*2068</f>
        <v>1034</v>
      </c>
      <c r="Q46" s="130">
        <f t="shared" si="35"/>
        <v>1034</v>
      </c>
      <c r="R46" s="130">
        <f>0.3*P46</f>
        <v>310.2</v>
      </c>
      <c r="S46" s="130">
        <f t="shared" si="27"/>
        <v>342.25400000000002</v>
      </c>
      <c r="T46" s="129">
        <f>(0.01*P46)</f>
        <v>10.34</v>
      </c>
      <c r="U46" s="129">
        <f>0.0009*P46</f>
        <v>0.93059999999999998</v>
      </c>
      <c r="V46" s="127">
        <v>150</v>
      </c>
      <c r="W46" s="127">
        <v>155</v>
      </c>
      <c r="X46" s="133">
        <f t="shared" si="28"/>
        <v>152.5</v>
      </c>
      <c r="Y46" s="64">
        <f t="shared" si="29"/>
        <v>1</v>
      </c>
      <c r="Z46" s="33">
        <f t="shared" si="30"/>
        <v>0.09</v>
      </c>
    </row>
    <row r="47" spans="3:32" x14ac:dyDescent="0.35">
      <c r="M47" s="127" t="s">
        <v>12</v>
      </c>
      <c r="N47" s="128">
        <v>2</v>
      </c>
      <c r="O47" s="129">
        <v>0.35</v>
      </c>
      <c r="P47" s="130">
        <f t="shared" si="35"/>
        <v>1034</v>
      </c>
      <c r="Q47" s="130">
        <f t="shared" si="35"/>
        <v>1034</v>
      </c>
      <c r="R47" s="130">
        <f>0.35*P47</f>
        <v>361.9</v>
      </c>
      <c r="S47" s="130">
        <f t="shared" si="27"/>
        <v>393.95399999999995</v>
      </c>
      <c r="T47" s="129">
        <f>(0.005*P47)</f>
        <v>5.17</v>
      </c>
      <c r="U47" s="129">
        <f>0.0009*P47</f>
        <v>0.93059999999999998</v>
      </c>
      <c r="V47" s="127">
        <v>160</v>
      </c>
      <c r="W47" s="127">
        <v>160</v>
      </c>
      <c r="X47" s="133">
        <f t="shared" si="28"/>
        <v>160</v>
      </c>
      <c r="Y47" s="64">
        <f t="shared" si="29"/>
        <v>0.5</v>
      </c>
      <c r="Z47" s="33">
        <f t="shared" si="30"/>
        <v>0.09</v>
      </c>
    </row>
    <row r="51" spans="13:42" x14ac:dyDescent="0.35">
      <c r="M51" s="119" t="s">
        <v>99</v>
      </c>
      <c r="N51" s="120" t="s">
        <v>100</v>
      </c>
      <c r="O51" s="121">
        <v>0.25</v>
      </c>
      <c r="P51" s="122">
        <f>P39*0.6</f>
        <v>827.19999999999993</v>
      </c>
      <c r="Q51" s="122">
        <f>Q39*0.6</f>
        <v>413.59999999999997</v>
      </c>
      <c r="R51" s="122">
        <f>0.25*P51</f>
        <v>206.79999999999998</v>
      </c>
      <c r="S51" s="122">
        <f>R51+0.031*Q51</f>
        <v>219.62159999999997</v>
      </c>
      <c r="T51" s="121">
        <f>(0.008*P51)</f>
        <v>6.6175999999999995</v>
      </c>
      <c r="U51" s="121">
        <f>0.00056*P51</f>
        <v>0.46323199999999992</v>
      </c>
      <c r="V51" s="119">
        <v>165</v>
      </c>
      <c r="W51" s="119">
        <v>165</v>
      </c>
      <c r="X51" s="131">
        <f>(V51+W51)/2</f>
        <v>165</v>
      </c>
    </row>
    <row r="54" spans="13:42" ht="16.5" x14ac:dyDescent="0.35">
      <c r="AB54" s="159" t="s">
        <v>111</v>
      </c>
      <c r="AC54" s="159"/>
      <c r="AD54" s="159"/>
      <c r="AE54" s="159"/>
      <c r="AF54" s="159"/>
      <c r="AG54" s="134"/>
      <c r="AH54" s="159" t="s">
        <v>112</v>
      </c>
      <c r="AI54" s="159"/>
      <c r="AJ54" s="159"/>
      <c r="AK54" s="159"/>
      <c r="AL54" s="159"/>
    </row>
    <row r="55" spans="13:42" ht="45.5" x14ac:dyDescent="0.35">
      <c r="AA55" s="54" t="s">
        <v>9</v>
      </c>
      <c r="AB55" s="54" t="s">
        <v>10</v>
      </c>
      <c r="AC55" s="54" t="s">
        <v>11</v>
      </c>
      <c r="AD55" s="54" t="s">
        <v>113</v>
      </c>
      <c r="AE55" s="54" t="s">
        <v>114</v>
      </c>
      <c r="AF55" s="54" t="s">
        <v>115</v>
      </c>
      <c r="AG55" s="135" t="s">
        <v>116</v>
      </c>
      <c r="AH55" s="54" t="s">
        <v>117</v>
      </c>
      <c r="AI55" s="54" t="s">
        <v>118</v>
      </c>
      <c r="AJ55" s="60" t="s">
        <v>119</v>
      </c>
      <c r="AK55" s="60" t="s">
        <v>120</v>
      </c>
      <c r="AL55" s="54" t="s">
        <v>121</v>
      </c>
      <c r="AM55" s="54" t="s">
        <v>64</v>
      </c>
      <c r="AO55" s="84" t="s">
        <v>122</v>
      </c>
      <c r="AP55" s="84" t="s">
        <v>123</v>
      </c>
    </row>
    <row r="56" spans="13:42" x14ac:dyDescent="0.35">
      <c r="Z56" s="85"/>
      <c r="AA56" s="136" t="s">
        <v>33</v>
      </c>
      <c r="AB56" s="20" t="s">
        <v>100</v>
      </c>
      <c r="AC56" s="19">
        <v>0.25</v>
      </c>
      <c r="AD56" s="137">
        <f t="shared" ref="AD56:AD64" si="36">P39/(1000*$W$18)</f>
        <v>5.4555287351773431E-4</v>
      </c>
      <c r="AE56" s="137">
        <f t="shared" ref="AE56:AE64" si="37">Q39/(1000*$W$19)</f>
        <v>3.8846404547358609E-4</v>
      </c>
      <c r="AF56" s="138">
        <f t="shared" ref="AF56:AF64" si="38">S39/(1000*1000)</f>
        <v>3.6603599999999992E-4</v>
      </c>
      <c r="AG56" s="139">
        <f>1/SUM(AD56:AF56)</f>
        <v>769.19945749275792</v>
      </c>
      <c r="AH56" s="26">
        <f t="shared" ref="AH56:AH64" si="39">AG56*P39/1000</f>
        <v>1060.4696520633488</v>
      </c>
      <c r="AI56" s="26">
        <f t="shared" ref="AI56:AI64" si="40">AG56*Q39/1000</f>
        <v>530.2348260316744</v>
      </c>
      <c r="AJ56" s="26">
        <f t="shared" ref="AJ56:AJ64" si="41">AG56*S39/1000</f>
        <v>281.55469262281912</v>
      </c>
      <c r="AK56" s="20">
        <f t="shared" ref="AK56:AK64" si="42">Y39*AH56/100</f>
        <v>8.48375721650679</v>
      </c>
      <c r="AL56" s="20">
        <f t="shared" ref="AL56:AL64" si="43">Z39*AH56/100</f>
        <v>0.5938630051554753</v>
      </c>
      <c r="AM56" s="140">
        <f>SUM(AH56:AL56)</f>
        <v>1881.3367909395047</v>
      </c>
      <c r="AO56" s="89">
        <f>AK56*100/AH56</f>
        <v>0.79999999999999993</v>
      </c>
      <c r="AP56" s="141">
        <f>AL56*100/AH56</f>
        <v>5.6000000000000001E-2</v>
      </c>
    </row>
    <row r="57" spans="13:42" x14ac:dyDescent="0.35">
      <c r="Z57" s="85"/>
      <c r="AA57" s="136" t="s">
        <v>46</v>
      </c>
      <c r="AB57" s="20" t="s">
        <v>100</v>
      </c>
      <c r="AC57" s="19">
        <v>0.3</v>
      </c>
      <c r="AD57" s="137">
        <f t="shared" si="36"/>
        <v>5.4555287351773431E-4</v>
      </c>
      <c r="AE57" s="137">
        <f t="shared" si="37"/>
        <v>3.8846404547358609E-4</v>
      </c>
      <c r="AF57" s="138">
        <f t="shared" si="38"/>
        <v>4.3496933333333327E-4</v>
      </c>
      <c r="AG57" s="139">
        <f t="shared" ref="AG57:AG64" si="44">1/SUM(AD57:AF57)</f>
        <v>730.46752536916711</v>
      </c>
      <c r="AH57" s="26">
        <f t="shared" si="39"/>
        <v>1007.0712283089582</v>
      </c>
      <c r="AI57" s="26">
        <f t="shared" si="40"/>
        <v>503.53561415447911</v>
      </c>
      <c r="AJ57" s="26">
        <f t="shared" si="41"/>
        <v>317.73097253147637</v>
      </c>
      <c r="AK57" s="20">
        <f t="shared" si="42"/>
        <v>2.5176780707723956</v>
      </c>
      <c r="AL57" s="20">
        <f t="shared" si="43"/>
        <v>0.56395988785301654</v>
      </c>
      <c r="AM57" s="140">
        <f t="shared" ref="AM57:AM64" si="45">SUM(AH57:AL57)</f>
        <v>1831.4194529535391</v>
      </c>
      <c r="AO57" s="89">
        <f t="shared" ref="AO57:AO64" si="46">AK57*100/AH57</f>
        <v>0.25</v>
      </c>
      <c r="AP57" s="141">
        <f t="shared" ref="AP57:AP64" si="47">AL57*100/AH57</f>
        <v>5.5999999999999994E-2</v>
      </c>
    </row>
    <row r="58" spans="13:42" x14ac:dyDescent="0.35">
      <c r="Z58" s="85"/>
      <c r="AA58" s="136" t="s">
        <v>35</v>
      </c>
      <c r="AB58" s="20" t="s">
        <v>100</v>
      </c>
      <c r="AC58" s="19">
        <v>0.35</v>
      </c>
      <c r="AD58" s="137">
        <f t="shared" si="36"/>
        <v>5.4555287351773431E-4</v>
      </c>
      <c r="AE58" s="137">
        <f t="shared" si="37"/>
        <v>3.8846404547358609E-4</v>
      </c>
      <c r="AF58" s="138">
        <f t="shared" si="38"/>
        <v>5.0390266666666662E-4</v>
      </c>
      <c r="AG58" s="139">
        <f t="shared" si="44"/>
        <v>695.44918225896708</v>
      </c>
      <c r="AH58" s="26">
        <f t="shared" si="39"/>
        <v>958.79260594102914</v>
      </c>
      <c r="AI58" s="26">
        <f t="shared" si="40"/>
        <v>479.39630297051457</v>
      </c>
      <c r="AJ58" s="26">
        <f t="shared" si="41"/>
        <v>350.43869747144612</v>
      </c>
      <c r="AK58" s="20">
        <f t="shared" si="42"/>
        <v>0</v>
      </c>
      <c r="AL58" s="20">
        <f t="shared" si="43"/>
        <v>0.7190944544557718</v>
      </c>
      <c r="AM58" s="140">
        <f t="shared" si="45"/>
        <v>1789.3467008374455</v>
      </c>
      <c r="AO58" s="89">
        <f t="shared" si="46"/>
        <v>0</v>
      </c>
      <c r="AP58" s="141">
        <f t="shared" si="47"/>
        <v>7.4999999999999997E-2</v>
      </c>
    </row>
    <row r="59" spans="13:42" x14ac:dyDescent="0.35">
      <c r="Z59" s="85"/>
      <c r="AA59" s="68" t="s">
        <v>36</v>
      </c>
      <c r="AB59" s="11" t="s">
        <v>104</v>
      </c>
      <c r="AC59" s="12">
        <v>0.25</v>
      </c>
      <c r="AD59" s="142">
        <f t="shared" si="36"/>
        <v>4.8137018251564806E-4</v>
      </c>
      <c r="AE59" s="142">
        <f t="shared" si="37"/>
        <v>4.7986735029090048E-4</v>
      </c>
      <c r="AF59" s="143">
        <f t="shared" si="38"/>
        <v>3.3051505882352946E-4</v>
      </c>
      <c r="AG59" s="139">
        <f t="shared" si="44"/>
        <v>774.14205048204167</v>
      </c>
      <c r="AH59" s="21">
        <f t="shared" si="39"/>
        <v>941.72103552756596</v>
      </c>
      <c r="AI59" s="21">
        <f t="shared" si="40"/>
        <v>659.20472486929623</v>
      </c>
      <c r="AJ59" s="21">
        <f t="shared" si="41"/>
        <v>255.86560535283968</v>
      </c>
      <c r="AK59" s="11">
        <f t="shared" si="42"/>
        <v>9.4172103552756603</v>
      </c>
      <c r="AL59" s="11">
        <f t="shared" si="43"/>
        <v>0.75337682842205267</v>
      </c>
      <c r="AM59" s="140">
        <f t="shared" si="45"/>
        <v>1866.9619529333997</v>
      </c>
      <c r="AO59" s="89">
        <f t="shared" si="46"/>
        <v>1.0000000000000002</v>
      </c>
      <c r="AP59" s="141">
        <f t="shared" si="47"/>
        <v>7.9999999999999988E-2</v>
      </c>
    </row>
    <row r="60" spans="13:42" x14ac:dyDescent="0.35">
      <c r="Z60" s="85"/>
      <c r="AA60" s="68" t="s">
        <v>48</v>
      </c>
      <c r="AB60" s="11" t="s">
        <v>104</v>
      </c>
      <c r="AC60" s="12">
        <v>0.3</v>
      </c>
      <c r="AD60" s="142">
        <f t="shared" si="36"/>
        <v>4.8137018251564806E-4</v>
      </c>
      <c r="AE60" s="142">
        <f t="shared" si="37"/>
        <v>4.7986735029090048E-4</v>
      </c>
      <c r="AF60" s="143">
        <f t="shared" si="38"/>
        <v>3.9133858823529416E-4</v>
      </c>
      <c r="AG60" s="139">
        <f t="shared" si="44"/>
        <v>739.32992342769921</v>
      </c>
      <c r="AH60" s="21">
        <f t="shared" si="39"/>
        <v>899.37310685204818</v>
      </c>
      <c r="AI60" s="21">
        <f t="shared" si="40"/>
        <v>629.56117479643376</v>
      </c>
      <c r="AJ60" s="21">
        <f t="shared" si="41"/>
        <v>289.32832847430393</v>
      </c>
      <c r="AK60" s="11">
        <f t="shared" si="42"/>
        <v>4.496865534260241</v>
      </c>
      <c r="AL60" s="11">
        <f t="shared" si="43"/>
        <v>0.71949848548163842</v>
      </c>
      <c r="AM60" s="140">
        <f t="shared" si="45"/>
        <v>1823.4789741425275</v>
      </c>
      <c r="AO60" s="89">
        <f t="shared" si="46"/>
        <v>0.5</v>
      </c>
      <c r="AP60" s="141">
        <f t="shared" si="47"/>
        <v>7.9999999999999988E-2</v>
      </c>
    </row>
    <row r="61" spans="13:42" x14ac:dyDescent="0.35">
      <c r="Z61" s="85"/>
      <c r="AA61" s="68" t="s">
        <v>38</v>
      </c>
      <c r="AB61" s="11" t="s">
        <v>104</v>
      </c>
      <c r="AC61" s="12">
        <v>0.35</v>
      </c>
      <c r="AD61" s="142">
        <f t="shared" si="36"/>
        <v>4.8137018251564806E-4</v>
      </c>
      <c r="AE61" s="142">
        <f t="shared" si="37"/>
        <v>4.7986735029090048E-4</v>
      </c>
      <c r="AF61" s="143">
        <f t="shared" si="38"/>
        <v>4.5216211764705885E-4</v>
      </c>
      <c r="AG61" s="139">
        <f t="shared" si="44"/>
        <v>707.5139714935309</v>
      </c>
      <c r="AH61" s="21">
        <f t="shared" si="39"/>
        <v>860.66993708742473</v>
      </c>
      <c r="AI61" s="21">
        <f t="shared" si="40"/>
        <v>602.46895596119725</v>
      </c>
      <c r="AJ61" s="21">
        <f t="shared" si="41"/>
        <v>319.91101561539574</v>
      </c>
      <c r="AK61" s="11">
        <f t="shared" si="42"/>
        <v>0</v>
      </c>
      <c r="AL61" s="11">
        <f t="shared" si="43"/>
        <v>0.38730147168934109</v>
      </c>
      <c r="AM61" s="140">
        <f t="shared" si="45"/>
        <v>1783.4372101357069</v>
      </c>
      <c r="AO61" s="89">
        <f t="shared" si="46"/>
        <v>0</v>
      </c>
      <c r="AP61" s="141">
        <f t="shared" si="47"/>
        <v>4.4999999999999998E-2</v>
      </c>
    </row>
    <row r="62" spans="13:42" x14ac:dyDescent="0.35">
      <c r="Z62" s="85"/>
      <c r="AA62" s="70" t="s">
        <v>88</v>
      </c>
      <c r="AB62" s="71">
        <v>1</v>
      </c>
      <c r="AC62" s="23">
        <v>0.25</v>
      </c>
      <c r="AD62" s="144">
        <f t="shared" si="36"/>
        <v>4.0916465513830082E-4</v>
      </c>
      <c r="AE62" s="144">
        <f t="shared" si="37"/>
        <v>5.8269606821037925E-4</v>
      </c>
      <c r="AF62" s="145">
        <f t="shared" si="38"/>
        <v>2.90554E-4</v>
      </c>
      <c r="AG62" s="139">
        <f t="shared" si="44"/>
        <v>779.77894498027115</v>
      </c>
      <c r="AH62" s="24">
        <f t="shared" si="39"/>
        <v>806.29142910960036</v>
      </c>
      <c r="AI62" s="24">
        <f t="shared" si="40"/>
        <v>806.29142910960036</v>
      </c>
      <c r="AJ62" s="24">
        <f t="shared" si="41"/>
        <v>226.5678915797977</v>
      </c>
      <c r="AK62" s="71">
        <f t="shared" si="42"/>
        <v>14.11399890414291</v>
      </c>
      <c r="AL62" s="71">
        <f t="shared" si="43"/>
        <v>0.72519441883165214</v>
      </c>
      <c r="AM62" s="140">
        <f t="shared" si="45"/>
        <v>1853.9899431219731</v>
      </c>
      <c r="AO62" s="89">
        <f t="shared" si="46"/>
        <v>1.7504835589941978</v>
      </c>
      <c r="AP62" s="141">
        <f t="shared" si="47"/>
        <v>8.994197292069632E-2</v>
      </c>
    </row>
    <row r="63" spans="13:42" x14ac:dyDescent="0.35">
      <c r="Z63" s="85"/>
      <c r="AA63" s="70" t="s">
        <v>49</v>
      </c>
      <c r="AB63" s="71">
        <v>1</v>
      </c>
      <c r="AC63" s="23">
        <v>0.3</v>
      </c>
      <c r="AD63" s="144">
        <f t="shared" si="36"/>
        <v>4.0916465513830082E-4</v>
      </c>
      <c r="AE63" s="144">
        <f t="shared" si="37"/>
        <v>5.8269606821037925E-4</v>
      </c>
      <c r="AF63" s="145">
        <f t="shared" si="38"/>
        <v>3.4225400000000001E-4</v>
      </c>
      <c r="AG63" s="139">
        <f t="shared" si="44"/>
        <v>749.56072554986952</v>
      </c>
      <c r="AH63" s="24">
        <f t="shared" si="39"/>
        <v>775.045790218565</v>
      </c>
      <c r="AI63" s="24">
        <f t="shared" si="40"/>
        <v>775.045790218565</v>
      </c>
      <c r="AJ63" s="24">
        <f t="shared" si="41"/>
        <v>256.54015656234503</v>
      </c>
      <c r="AK63" s="71">
        <f t="shared" si="42"/>
        <v>7.7504579021856497</v>
      </c>
      <c r="AL63" s="71">
        <f t="shared" si="43"/>
        <v>0.69754121119670842</v>
      </c>
      <c r="AM63" s="140">
        <f t="shared" si="45"/>
        <v>1815.0797361128573</v>
      </c>
      <c r="AO63" s="89">
        <f t="shared" si="46"/>
        <v>1</v>
      </c>
      <c r="AP63" s="141">
        <f t="shared" si="47"/>
        <v>8.9999999999999983E-2</v>
      </c>
    </row>
    <row r="64" spans="13:42" x14ac:dyDescent="0.35">
      <c r="N64" s="33"/>
      <c r="O64" s="33"/>
      <c r="T64" s="102"/>
      <c r="U64" s="102"/>
      <c r="V64" s="102"/>
      <c r="X64" s="64"/>
      <c r="Z64" s="85"/>
      <c r="AA64" s="70" t="s">
        <v>40</v>
      </c>
      <c r="AB64" s="71">
        <v>1</v>
      </c>
      <c r="AC64" s="23">
        <v>0.35</v>
      </c>
      <c r="AD64" s="144">
        <f t="shared" si="36"/>
        <v>4.0916465513830082E-4</v>
      </c>
      <c r="AE64" s="144">
        <f t="shared" si="37"/>
        <v>5.8269606821037925E-4</v>
      </c>
      <c r="AF64" s="145">
        <f t="shared" si="38"/>
        <v>3.9395399999999996E-4</v>
      </c>
      <c r="AG64" s="139">
        <f t="shared" si="44"/>
        <v>721.5971826187573</v>
      </c>
      <c r="AH64" s="24">
        <f t="shared" si="39"/>
        <v>746.13148682779502</v>
      </c>
      <c r="AI64" s="24">
        <f t="shared" si="40"/>
        <v>746.13148682779502</v>
      </c>
      <c r="AJ64" s="24">
        <f t="shared" si="41"/>
        <v>284.27609648138991</v>
      </c>
      <c r="AK64" s="71">
        <f t="shared" si="42"/>
        <v>3.7306574341389749</v>
      </c>
      <c r="AL64" s="71">
        <f t="shared" si="43"/>
        <v>0.67151833814501538</v>
      </c>
      <c r="AM64" s="140">
        <f t="shared" si="45"/>
        <v>1780.9412459092639</v>
      </c>
      <c r="AO64" s="89">
        <f t="shared" si="46"/>
        <v>0.5</v>
      </c>
      <c r="AP64" s="141">
        <f t="shared" si="47"/>
        <v>8.9999999999999983E-2</v>
      </c>
    </row>
    <row r="66" spans="14:35" x14ac:dyDescent="0.35">
      <c r="N66" s="33"/>
      <c r="O66" s="33"/>
      <c r="T66" s="102"/>
      <c r="U66" s="102"/>
      <c r="V66" s="102"/>
      <c r="Y66" s="85"/>
    </row>
    <row r="67" spans="14:35" ht="23.5" x14ac:dyDescent="0.5">
      <c r="N67" s="33"/>
      <c r="O67" s="33"/>
      <c r="T67" s="102"/>
      <c r="U67" s="102"/>
      <c r="V67" s="102"/>
      <c r="Y67" s="85"/>
      <c r="AD67" s="160" t="s">
        <v>124</v>
      </c>
      <c r="AE67" s="160"/>
      <c r="AF67" s="160"/>
      <c r="AG67" s="160"/>
      <c r="AH67" s="160"/>
    </row>
    <row r="68" spans="14:35" x14ac:dyDescent="0.35">
      <c r="N68" s="33"/>
      <c r="O68" s="33"/>
      <c r="T68" s="102"/>
      <c r="U68" s="102"/>
      <c r="V68" s="102"/>
      <c r="Y68" s="85"/>
      <c r="AA68" s="54" t="s">
        <v>9</v>
      </c>
      <c r="AB68" s="54" t="s">
        <v>10</v>
      </c>
      <c r="AC68" s="54" t="s">
        <v>11</v>
      </c>
      <c r="AD68" s="101" t="s">
        <v>117</v>
      </c>
      <c r="AE68" s="101" t="s">
        <v>118</v>
      </c>
      <c r="AF68" s="101" t="s">
        <v>125</v>
      </c>
      <c r="AG68" s="101" t="s">
        <v>120</v>
      </c>
      <c r="AH68" s="101" t="s">
        <v>121</v>
      </c>
    </row>
    <row r="69" spans="14:35" x14ac:dyDescent="0.35">
      <c r="N69" s="33"/>
      <c r="O69" s="33"/>
      <c r="T69" s="102"/>
      <c r="U69" s="102"/>
      <c r="V69" s="102"/>
      <c r="Y69" s="85"/>
      <c r="AA69" s="136" t="s">
        <v>33</v>
      </c>
      <c r="AB69" s="20" t="s">
        <v>100</v>
      </c>
      <c r="AC69" s="19">
        <v>0.25</v>
      </c>
      <c r="AD69" s="108">
        <v>1060.4696520633488</v>
      </c>
      <c r="AE69" s="108">
        <f>AD69*0.5</f>
        <v>530.2348260316744</v>
      </c>
      <c r="AF69" s="108">
        <f t="shared" ref="AF69:AF77" si="48">AD69*AC69+0.031*AE69</f>
        <v>281.55469262281912</v>
      </c>
      <c r="AG69" s="89">
        <v>8.48375721650679</v>
      </c>
      <c r="AH69" s="89">
        <v>0.5938630051554753</v>
      </c>
      <c r="AI69" s="85"/>
    </row>
    <row r="70" spans="14:35" x14ac:dyDescent="0.35">
      <c r="N70" s="33"/>
      <c r="O70" s="33"/>
      <c r="T70" s="102"/>
      <c r="U70" s="102"/>
      <c r="V70" s="102"/>
      <c r="Y70" s="85"/>
      <c r="AA70" s="136" t="s">
        <v>46</v>
      </c>
      <c r="AB70" s="20" t="s">
        <v>100</v>
      </c>
      <c r="AC70" s="19">
        <v>0.3</v>
      </c>
      <c r="AD70" s="108">
        <v>1007.0712283089582</v>
      </c>
      <c r="AE70" s="108">
        <f t="shared" ref="AE70:AE71" si="49">AD70*0.5</f>
        <v>503.53561415447911</v>
      </c>
      <c r="AF70" s="108">
        <f t="shared" si="48"/>
        <v>317.73097253147631</v>
      </c>
      <c r="AG70" s="89">
        <v>2.5176780707723956</v>
      </c>
      <c r="AH70" s="89">
        <v>0.56395988785301654</v>
      </c>
      <c r="AI70" s="85"/>
    </row>
    <row r="71" spans="14:35" x14ac:dyDescent="0.35">
      <c r="N71" s="33"/>
      <c r="O71" s="33"/>
      <c r="T71" s="102"/>
      <c r="U71" s="102"/>
      <c r="V71" s="102"/>
      <c r="X71">
        <f>233-0.031*806</f>
        <v>208.01400000000001</v>
      </c>
      <c r="Y71" s="85"/>
      <c r="AA71" s="136" t="s">
        <v>35</v>
      </c>
      <c r="AB71" s="20" t="s">
        <v>100</v>
      </c>
      <c r="AC71" s="19">
        <v>0.35</v>
      </c>
      <c r="AD71" s="108">
        <v>958.79260594102914</v>
      </c>
      <c r="AE71" s="108">
        <f t="shared" si="49"/>
        <v>479.39630297051457</v>
      </c>
      <c r="AF71" s="108">
        <f t="shared" si="48"/>
        <v>350.43869747144612</v>
      </c>
      <c r="AG71" s="89">
        <v>0</v>
      </c>
      <c r="AH71" s="89">
        <v>0.7190944544557718</v>
      </c>
      <c r="AI71" s="85"/>
    </row>
    <row r="72" spans="14:35" x14ac:dyDescent="0.35">
      <c r="N72" s="33"/>
      <c r="O72" s="33"/>
      <c r="T72" s="102"/>
      <c r="U72" s="102"/>
      <c r="V72" s="102"/>
      <c r="Y72" s="85"/>
      <c r="AA72" s="68" t="s">
        <v>36</v>
      </c>
      <c r="AB72" s="11" t="s">
        <v>104</v>
      </c>
      <c r="AC72" s="12">
        <v>0.25</v>
      </c>
      <c r="AD72" s="108">
        <v>941.72103552756596</v>
      </c>
      <c r="AE72" s="108">
        <f>AD72*0.7</f>
        <v>659.20472486929611</v>
      </c>
      <c r="AF72" s="108">
        <f t="shared" si="48"/>
        <v>255.86560535283968</v>
      </c>
      <c r="AG72" s="89">
        <v>9.4172103552756603</v>
      </c>
      <c r="AH72" s="89">
        <v>0.75337682842205267</v>
      </c>
      <c r="AI72" s="85"/>
    </row>
    <row r="73" spans="14:35" x14ac:dyDescent="0.35">
      <c r="N73" s="33"/>
      <c r="O73" s="33"/>
      <c r="T73" s="102"/>
      <c r="U73" s="102"/>
      <c r="V73" s="102"/>
      <c r="Y73" s="85"/>
      <c r="AA73" s="68" t="s">
        <v>48</v>
      </c>
      <c r="AB73" s="11" t="s">
        <v>104</v>
      </c>
      <c r="AC73" s="12">
        <v>0.3</v>
      </c>
      <c r="AD73" s="108">
        <v>899.37310685204818</v>
      </c>
      <c r="AE73" s="108">
        <f t="shared" ref="AE73:AE74" si="50">AD73*0.7</f>
        <v>629.56117479643365</v>
      </c>
      <c r="AF73" s="108">
        <f t="shared" si="48"/>
        <v>289.32832847430387</v>
      </c>
      <c r="AG73" s="89">
        <v>4.496865534260241</v>
      </c>
      <c r="AH73" s="89">
        <v>0.71949848548163842</v>
      </c>
      <c r="AI73" s="85"/>
    </row>
    <row r="74" spans="14:35" x14ac:dyDescent="0.35">
      <c r="N74" s="33"/>
      <c r="O74" s="33"/>
      <c r="T74" s="102"/>
      <c r="U74" s="102"/>
      <c r="V74" s="102"/>
      <c r="Y74" s="85"/>
      <c r="AA74" s="68" t="s">
        <v>38</v>
      </c>
      <c r="AB74" s="11" t="s">
        <v>104</v>
      </c>
      <c r="AC74" s="12">
        <v>0.35</v>
      </c>
      <c r="AD74" s="108">
        <v>860.66993708742473</v>
      </c>
      <c r="AE74" s="108">
        <f t="shared" si="50"/>
        <v>602.46895596119725</v>
      </c>
      <c r="AF74" s="108">
        <f t="shared" si="48"/>
        <v>319.91101561539574</v>
      </c>
      <c r="AG74" s="89">
        <v>0</v>
      </c>
      <c r="AH74" s="89">
        <v>0.38730147168934109</v>
      </c>
      <c r="AI74" s="85"/>
    </row>
    <row r="75" spans="14:35" x14ac:dyDescent="0.35">
      <c r="N75" s="33"/>
      <c r="O75" s="33"/>
      <c r="AA75" s="70" t="s">
        <v>88</v>
      </c>
      <c r="AB75" s="71">
        <v>1</v>
      </c>
      <c r="AC75" s="23">
        <v>0.25</v>
      </c>
      <c r="AD75" s="108">
        <v>806.29142910960036</v>
      </c>
      <c r="AE75" s="108">
        <f>AD75</f>
        <v>806.29142910960036</v>
      </c>
      <c r="AF75" s="108">
        <f t="shared" si="48"/>
        <v>226.5678915797977</v>
      </c>
      <c r="AG75" s="89">
        <v>14.11399890414291</v>
      </c>
      <c r="AH75" s="89">
        <v>0.72519441883165214</v>
      </c>
      <c r="AI75" s="85"/>
    </row>
    <row r="76" spans="14:35" x14ac:dyDescent="0.35">
      <c r="N76" s="33"/>
      <c r="O76" s="33"/>
      <c r="AA76" s="70" t="s">
        <v>49</v>
      </c>
      <c r="AB76" s="71">
        <v>1</v>
      </c>
      <c r="AC76" s="23">
        <v>0.3</v>
      </c>
      <c r="AD76" s="108">
        <v>775.045790218565</v>
      </c>
      <c r="AE76" s="108">
        <f t="shared" ref="AE76:AE77" si="51">AD76</f>
        <v>775.045790218565</v>
      </c>
      <c r="AF76" s="108">
        <f t="shared" si="48"/>
        <v>256.54015656234503</v>
      </c>
      <c r="AG76" s="89">
        <v>7.7504579021856497</v>
      </c>
      <c r="AH76" s="89">
        <v>0.69754121119670842</v>
      </c>
      <c r="AI76" s="85"/>
    </row>
    <row r="77" spans="14:35" x14ac:dyDescent="0.35">
      <c r="N77" s="33"/>
      <c r="O77" s="33"/>
      <c r="U77" s="102">
        <f>U66+V66+W66</f>
        <v>0</v>
      </c>
      <c r="AA77" s="70" t="s">
        <v>40</v>
      </c>
      <c r="AB77" s="71">
        <v>1</v>
      </c>
      <c r="AC77" s="23">
        <v>0.35</v>
      </c>
      <c r="AD77" s="108">
        <v>746.13148682779502</v>
      </c>
      <c r="AE77" s="108">
        <f t="shared" si="51"/>
        <v>746.13148682779502</v>
      </c>
      <c r="AF77" s="108">
        <f t="shared" si="48"/>
        <v>284.27609648138986</v>
      </c>
      <c r="AG77" s="89">
        <v>3.7306574341389749</v>
      </c>
      <c r="AH77" s="89">
        <v>0.67151833814501538</v>
      </c>
      <c r="AI77" s="85"/>
    </row>
    <row r="78" spans="14:35" x14ac:dyDescent="0.35">
      <c r="N78" s="33"/>
      <c r="O78" s="33"/>
      <c r="U78" s="102">
        <f t="shared" ref="U78:U85" si="52">U67+V67+W67</f>
        <v>0</v>
      </c>
    </row>
    <row r="79" spans="14:35" x14ac:dyDescent="0.35">
      <c r="U79" s="102">
        <f t="shared" si="52"/>
        <v>0</v>
      </c>
      <c r="AD79" s="102">
        <f t="shared" ref="AD79:AH87" si="53">1000*AD69*0.0013</f>
        <v>1378.6105476823534</v>
      </c>
      <c r="AE79" s="102">
        <f t="shared" si="53"/>
        <v>689.3052738411767</v>
      </c>
      <c r="AF79" s="102">
        <f t="shared" si="53"/>
        <v>366.02110040966483</v>
      </c>
      <c r="AG79" s="64">
        <f t="shared" si="53"/>
        <v>11.028884381458827</v>
      </c>
      <c r="AH79" s="64">
        <f t="shared" si="53"/>
        <v>0.7720219067021179</v>
      </c>
    </row>
    <row r="80" spans="14:35" x14ac:dyDescent="0.35">
      <c r="U80" s="102">
        <f t="shared" si="52"/>
        <v>0</v>
      </c>
      <c r="AD80" s="102">
        <f t="shared" si="53"/>
        <v>1309.1925968016455</v>
      </c>
      <c r="AE80" s="102">
        <f t="shared" si="53"/>
        <v>654.59629840082277</v>
      </c>
      <c r="AF80" s="102">
        <f t="shared" si="53"/>
        <v>413.05026429091913</v>
      </c>
      <c r="AG80" s="64">
        <f t="shared" si="53"/>
        <v>3.272981492004114</v>
      </c>
      <c r="AH80" s="64">
        <f t="shared" si="53"/>
        <v>0.73314785420892148</v>
      </c>
    </row>
    <row r="81" spans="21:34" x14ac:dyDescent="0.35">
      <c r="U81" s="102">
        <f t="shared" si="52"/>
        <v>0</v>
      </c>
      <c r="AD81" s="102">
        <f t="shared" si="53"/>
        <v>1246.4303877233378</v>
      </c>
      <c r="AE81" s="102">
        <f t="shared" si="53"/>
        <v>623.21519386166892</v>
      </c>
      <c r="AF81" s="102">
        <f t="shared" si="53"/>
        <v>455.57030671287993</v>
      </c>
      <c r="AG81" s="64">
        <f t="shared" si="53"/>
        <v>0</v>
      </c>
      <c r="AH81" s="64">
        <f t="shared" si="53"/>
        <v>0.9348227907925033</v>
      </c>
    </row>
    <row r="82" spans="21:34" x14ac:dyDescent="0.35">
      <c r="U82" s="102">
        <f t="shared" si="52"/>
        <v>0</v>
      </c>
      <c r="AD82" s="102">
        <f t="shared" si="53"/>
        <v>1224.2373461858358</v>
      </c>
      <c r="AE82" s="102">
        <f t="shared" si="53"/>
        <v>856.96614233008484</v>
      </c>
      <c r="AF82" s="102">
        <f t="shared" si="53"/>
        <v>332.62528695869156</v>
      </c>
      <c r="AG82" s="64">
        <f t="shared" si="53"/>
        <v>12.242373461858357</v>
      </c>
      <c r="AH82" s="64">
        <f t="shared" si="53"/>
        <v>0.97938987694866841</v>
      </c>
    </row>
    <row r="83" spans="21:34" x14ac:dyDescent="0.35">
      <c r="U83" s="102">
        <f t="shared" si="52"/>
        <v>0</v>
      </c>
      <c r="AD83" s="102">
        <f t="shared" si="53"/>
        <v>1169.1850389076626</v>
      </c>
      <c r="AE83" s="102">
        <f t="shared" si="53"/>
        <v>818.42952723536371</v>
      </c>
      <c r="AF83" s="102">
        <f t="shared" si="53"/>
        <v>376.12682701659503</v>
      </c>
      <c r="AG83" s="64">
        <f t="shared" si="53"/>
        <v>5.8459251945383137</v>
      </c>
      <c r="AH83" s="64">
        <f t="shared" si="53"/>
        <v>0.93534803112612996</v>
      </c>
    </row>
    <row r="84" spans="21:34" x14ac:dyDescent="0.35">
      <c r="U84" s="102">
        <f>U73+V73+W73</f>
        <v>0</v>
      </c>
      <c r="AD84" s="102">
        <f t="shared" si="53"/>
        <v>1118.870918213652</v>
      </c>
      <c r="AE84" s="102">
        <f t="shared" si="53"/>
        <v>783.20964274955645</v>
      </c>
      <c r="AF84" s="102">
        <f t="shared" si="53"/>
        <v>415.88432030001445</v>
      </c>
      <c r="AG84" s="64">
        <f t="shared" si="53"/>
        <v>0</v>
      </c>
      <c r="AH84" s="64">
        <f t="shared" si="53"/>
        <v>0.50349191319614339</v>
      </c>
    </row>
    <row r="85" spans="21:34" x14ac:dyDescent="0.35">
      <c r="U85" s="102">
        <f t="shared" si="52"/>
        <v>0</v>
      </c>
      <c r="AD85" s="102">
        <f t="shared" si="53"/>
        <v>1048.1788578424805</v>
      </c>
      <c r="AE85" s="102">
        <f t="shared" si="53"/>
        <v>1048.1788578424805</v>
      </c>
      <c r="AF85" s="102">
        <f t="shared" si="53"/>
        <v>294.53825905373697</v>
      </c>
      <c r="AG85" s="64">
        <f t="shared" si="53"/>
        <v>18.348198575385783</v>
      </c>
      <c r="AH85" s="64">
        <f t="shared" si="53"/>
        <v>0.94275274448114765</v>
      </c>
    </row>
    <row r="86" spans="21:34" x14ac:dyDescent="0.35">
      <c r="U86" s="102"/>
      <c r="AD86" s="102">
        <f t="shared" si="53"/>
        <v>1007.5595272841344</v>
      </c>
      <c r="AE86" s="102">
        <f t="shared" si="53"/>
        <v>1007.5595272841344</v>
      </c>
      <c r="AF86" s="102">
        <f t="shared" si="53"/>
        <v>333.50220353104856</v>
      </c>
      <c r="AG86" s="64">
        <f t="shared" si="53"/>
        <v>10.075595272841344</v>
      </c>
      <c r="AH86" s="64">
        <f t="shared" si="53"/>
        <v>0.90680357455572091</v>
      </c>
    </row>
    <row r="87" spans="21:34" x14ac:dyDescent="0.35">
      <c r="AD87" s="102">
        <f t="shared" si="53"/>
        <v>969.97093287613347</v>
      </c>
      <c r="AE87" s="102">
        <f t="shared" si="53"/>
        <v>969.97093287613347</v>
      </c>
      <c r="AF87" s="102">
        <f t="shared" si="53"/>
        <v>369.55892542580676</v>
      </c>
      <c r="AG87" s="64">
        <f t="shared" si="53"/>
        <v>4.8498546643806675</v>
      </c>
      <c r="AH87" s="64">
        <f t="shared" si="53"/>
        <v>0.87297383958851993</v>
      </c>
    </row>
  </sheetData>
  <mergeCells count="6">
    <mergeCell ref="AD67:AH67"/>
    <mergeCell ref="I2:J2"/>
    <mergeCell ref="I6:K6"/>
    <mergeCell ref="I7:K7"/>
    <mergeCell ref="AB54:AF54"/>
    <mergeCell ref="AH54:AL5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FDF1-6EE8-4EA3-BAF3-964444797D70}">
  <dimension ref="B2:BA134"/>
  <sheetViews>
    <sheetView tabSelected="1" topLeftCell="A72" zoomScale="130" zoomScaleNormal="130" workbookViewId="0">
      <selection activeCell="M80" sqref="M80"/>
    </sheetView>
  </sheetViews>
  <sheetFormatPr defaultRowHeight="14.5" x14ac:dyDescent="0.35"/>
  <cols>
    <col min="2" max="2" width="11.54296875" bestFit="1" customWidth="1"/>
    <col min="11" max="11" width="10.453125" customWidth="1"/>
    <col min="12" max="12" width="9.36328125" bestFit="1" customWidth="1"/>
    <col min="13" max="13" width="8.81640625" bestFit="1" customWidth="1"/>
    <col min="14" max="14" width="9.36328125" customWidth="1"/>
    <col min="15" max="15" width="8.81640625" customWidth="1"/>
    <col min="16" max="16" width="9.36328125" bestFit="1" customWidth="1"/>
    <col min="17" max="17" width="10.36328125" bestFit="1" customWidth="1"/>
    <col min="18" max="18" width="9.36328125" bestFit="1" customWidth="1"/>
    <col min="19" max="19" width="8.90625" bestFit="1" customWidth="1"/>
    <col min="31" max="31" width="8.1796875" bestFit="1" customWidth="1"/>
    <col min="32" max="32" width="9.26953125" bestFit="1" customWidth="1"/>
    <col min="35" max="35" width="8.7265625" customWidth="1"/>
    <col min="49" max="49" width="13.26953125" bestFit="1" customWidth="1"/>
    <col min="50" max="50" width="10.1796875" customWidth="1"/>
    <col min="51" max="51" width="10.453125" customWidth="1"/>
    <col min="52" max="52" width="11.1796875" customWidth="1"/>
    <col min="53" max="53" width="12.6328125" customWidth="1"/>
  </cols>
  <sheetData>
    <row r="2" spans="2:11" x14ac:dyDescent="0.35">
      <c r="D2" s="181" t="s">
        <v>32</v>
      </c>
      <c r="E2" s="181"/>
      <c r="F2" s="181"/>
      <c r="G2" s="181"/>
      <c r="H2" s="181"/>
      <c r="I2" s="181"/>
      <c r="J2" s="181"/>
      <c r="K2" s="181"/>
    </row>
    <row r="3" spans="2:11" ht="16.5" x14ac:dyDescent="0.35">
      <c r="B3" s="29" t="s">
        <v>6</v>
      </c>
      <c r="C3" s="32" t="s">
        <v>20</v>
      </c>
      <c r="D3" s="29" t="s">
        <v>137</v>
      </c>
      <c r="E3" s="29" t="s">
        <v>138</v>
      </c>
      <c r="F3" s="29" t="s">
        <v>135</v>
      </c>
      <c r="G3" s="29" t="s">
        <v>136</v>
      </c>
      <c r="H3" s="29" t="s">
        <v>139</v>
      </c>
      <c r="I3" s="29" t="s">
        <v>140</v>
      </c>
      <c r="J3" s="29" t="s">
        <v>21</v>
      </c>
      <c r="K3" s="29" t="s">
        <v>22</v>
      </c>
    </row>
    <row r="4" spans="2:11" x14ac:dyDescent="0.35">
      <c r="B4" s="151" t="s">
        <v>33</v>
      </c>
      <c r="C4" s="5">
        <v>1</v>
      </c>
      <c r="D4" s="6">
        <v>39.5</v>
      </c>
      <c r="E4" s="6">
        <v>41</v>
      </c>
      <c r="F4" s="6">
        <v>41.3</v>
      </c>
      <c r="G4" s="6">
        <v>40.1</v>
      </c>
      <c r="H4" s="6">
        <v>39.93</v>
      </c>
      <c r="I4" s="6">
        <v>39.85</v>
      </c>
      <c r="J4" s="8">
        <f>AVERAGE(D4:I4)</f>
        <v>40.28</v>
      </c>
      <c r="K4" s="8">
        <f>AVERAGE(G4:I4)</f>
        <v>39.96</v>
      </c>
    </row>
    <row r="5" spans="2:11" x14ac:dyDescent="0.35">
      <c r="B5" s="151"/>
      <c r="C5" s="5">
        <v>2</v>
      </c>
      <c r="D5" s="6">
        <v>37</v>
      </c>
      <c r="E5" s="6">
        <v>36.450000000000003</v>
      </c>
      <c r="F5" s="6">
        <v>35.5</v>
      </c>
      <c r="G5" s="6">
        <v>39.46</v>
      </c>
      <c r="H5" s="6">
        <v>39.51</v>
      </c>
      <c r="I5" s="6">
        <v>39.46</v>
      </c>
      <c r="J5" s="8">
        <f t="shared" ref="J5:J33" si="0">AVERAGE(D5:I5)</f>
        <v>37.896666666666668</v>
      </c>
      <c r="K5" s="8">
        <f t="shared" ref="K5:K33" si="1">AVERAGE(G5:I5)</f>
        <v>39.476666666666667</v>
      </c>
    </row>
    <row r="6" spans="2:11" x14ac:dyDescent="0.35">
      <c r="B6" s="151"/>
      <c r="C6" s="5">
        <v>3</v>
      </c>
      <c r="D6" s="6">
        <v>40.5</v>
      </c>
      <c r="E6" s="6">
        <v>40.94</v>
      </c>
      <c r="F6" s="6">
        <v>41.15</v>
      </c>
      <c r="G6" s="6">
        <v>39.700000000000003</v>
      </c>
      <c r="H6" s="6">
        <v>39.869999999999997</v>
      </c>
      <c r="I6" s="6">
        <v>39.9</v>
      </c>
      <c r="J6" s="8">
        <f t="shared" si="0"/>
        <v>40.343333333333341</v>
      </c>
      <c r="K6" s="8">
        <f t="shared" si="1"/>
        <v>39.823333333333331</v>
      </c>
    </row>
    <row r="7" spans="2:11" x14ac:dyDescent="0.35">
      <c r="B7" s="151"/>
      <c r="C7" s="5">
        <v>4</v>
      </c>
      <c r="D7" s="6">
        <v>37.200000000000003</v>
      </c>
      <c r="E7" s="6">
        <v>37.85</v>
      </c>
      <c r="F7" s="6">
        <v>39.46</v>
      </c>
      <c r="G7" s="6">
        <v>39.729999999999997</v>
      </c>
      <c r="H7" s="6">
        <v>39.04</v>
      </c>
      <c r="I7" s="6">
        <v>39.119999999999997</v>
      </c>
      <c r="J7" s="8">
        <f t="shared" si="0"/>
        <v>38.733333333333334</v>
      </c>
      <c r="K7" s="8">
        <f t="shared" si="1"/>
        <v>39.29666666666666</v>
      </c>
    </row>
    <row r="8" spans="2:11" x14ac:dyDescent="0.35">
      <c r="B8" s="170" t="s">
        <v>34</v>
      </c>
      <c r="C8" s="34">
        <v>1</v>
      </c>
      <c r="D8" s="35">
        <v>37.25</v>
      </c>
      <c r="E8" s="35">
        <v>36.06</v>
      </c>
      <c r="F8" s="35">
        <v>34.26</v>
      </c>
      <c r="G8" s="35">
        <v>39.4</v>
      </c>
      <c r="H8" s="35">
        <v>39.44</v>
      </c>
      <c r="I8" s="35">
        <v>39.57</v>
      </c>
      <c r="J8" s="36">
        <f t="shared" si="0"/>
        <v>37.663333333333334</v>
      </c>
      <c r="K8" s="36">
        <f t="shared" si="1"/>
        <v>39.47</v>
      </c>
    </row>
    <row r="9" spans="2:11" x14ac:dyDescent="0.35">
      <c r="B9" s="170"/>
      <c r="C9" s="37">
        <v>2</v>
      </c>
      <c r="D9" s="38">
        <v>34.5</v>
      </c>
      <c r="E9" s="38">
        <v>34.24</v>
      </c>
      <c r="F9" s="38">
        <v>36.840000000000003</v>
      </c>
      <c r="G9" s="38">
        <v>39.28</v>
      </c>
      <c r="H9" s="38">
        <v>39.26</v>
      </c>
      <c r="I9" s="38">
        <v>38.96</v>
      </c>
      <c r="J9" s="39">
        <f t="shared" si="0"/>
        <v>37.18</v>
      </c>
      <c r="K9" s="39">
        <f t="shared" si="1"/>
        <v>39.166666666666664</v>
      </c>
    </row>
    <row r="10" spans="2:11" x14ac:dyDescent="0.35">
      <c r="B10" s="170"/>
      <c r="C10" s="37">
        <v>3</v>
      </c>
      <c r="D10" s="38">
        <v>34.96</v>
      </c>
      <c r="E10" s="38">
        <v>34.26</v>
      </c>
      <c r="F10" s="38">
        <v>35.26</v>
      </c>
      <c r="G10" s="38">
        <v>39.380000000000003</v>
      </c>
      <c r="H10" s="38">
        <v>39.65</v>
      </c>
      <c r="I10" s="38">
        <v>39.94</v>
      </c>
      <c r="J10" s="39">
        <f t="shared" si="0"/>
        <v>37.241666666666667</v>
      </c>
      <c r="K10" s="39">
        <f t="shared" si="1"/>
        <v>39.656666666666666</v>
      </c>
    </row>
    <row r="11" spans="2:11" x14ac:dyDescent="0.35">
      <c r="B11" s="170"/>
      <c r="C11" s="37">
        <v>4</v>
      </c>
      <c r="D11" s="38">
        <v>36.1</v>
      </c>
      <c r="E11" s="38">
        <v>35.119999999999997</v>
      </c>
      <c r="F11" s="38">
        <v>35.36</v>
      </c>
      <c r="G11" s="38">
        <v>39.07</v>
      </c>
      <c r="H11" s="38">
        <v>39.130000000000003</v>
      </c>
      <c r="I11" s="38">
        <v>39.26</v>
      </c>
      <c r="J11" s="39">
        <f t="shared" si="0"/>
        <v>37.339999999999996</v>
      </c>
      <c r="K11" s="39">
        <f t="shared" si="1"/>
        <v>39.153333333333336</v>
      </c>
    </row>
    <row r="12" spans="2:11" x14ac:dyDescent="0.35">
      <c r="B12" s="153" t="s">
        <v>35</v>
      </c>
      <c r="C12" s="40">
        <v>1</v>
      </c>
      <c r="D12" s="41">
        <v>30.55</v>
      </c>
      <c r="E12" s="41">
        <v>32.380000000000003</v>
      </c>
      <c r="F12" s="41">
        <v>30.63</v>
      </c>
      <c r="G12" s="41">
        <v>39.25</v>
      </c>
      <c r="H12" s="41">
        <v>39.49</v>
      </c>
      <c r="I12" s="41">
        <v>39.51</v>
      </c>
      <c r="J12" s="42">
        <f t="shared" si="0"/>
        <v>35.301666666666669</v>
      </c>
      <c r="K12" s="42">
        <f t="shared" si="1"/>
        <v>39.416666666666664</v>
      </c>
    </row>
    <row r="13" spans="2:11" x14ac:dyDescent="0.35">
      <c r="B13" s="153"/>
      <c r="C13" s="40">
        <v>2</v>
      </c>
      <c r="D13" s="41">
        <v>34.89</v>
      </c>
      <c r="E13" s="41">
        <v>35.43</v>
      </c>
      <c r="F13" s="41">
        <v>35.96</v>
      </c>
      <c r="G13" s="41">
        <v>39.57</v>
      </c>
      <c r="H13" s="41">
        <v>39.49</v>
      </c>
      <c r="I13" s="41">
        <v>39.520000000000003</v>
      </c>
      <c r="J13" s="42">
        <f t="shared" si="0"/>
        <v>37.476666666666667</v>
      </c>
      <c r="K13" s="42">
        <f t="shared" si="1"/>
        <v>39.526666666666671</v>
      </c>
    </row>
    <row r="14" spans="2:11" x14ac:dyDescent="0.35">
      <c r="B14" s="153"/>
      <c r="C14" s="40">
        <v>3</v>
      </c>
      <c r="D14" s="41">
        <v>34.770000000000003</v>
      </c>
      <c r="E14" s="41">
        <v>36.299999999999997</v>
      </c>
      <c r="F14" s="41">
        <v>39.049999999999997</v>
      </c>
      <c r="G14" s="41">
        <v>39.299999999999997</v>
      </c>
      <c r="H14" s="41">
        <v>39.700000000000003</v>
      </c>
      <c r="I14" s="41">
        <v>39.42</v>
      </c>
      <c r="J14" s="42">
        <f t="shared" si="0"/>
        <v>38.090000000000003</v>
      </c>
      <c r="K14" s="42">
        <f t="shared" si="1"/>
        <v>39.473333333333336</v>
      </c>
    </row>
    <row r="15" spans="2:11" x14ac:dyDescent="0.35">
      <c r="B15" s="153"/>
      <c r="C15" s="40">
        <v>4</v>
      </c>
      <c r="D15" s="41">
        <v>36.799999999999997</v>
      </c>
      <c r="E15" s="41">
        <v>37.79</v>
      </c>
      <c r="F15" s="41">
        <v>37.07</v>
      </c>
      <c r="G15" s="41">
        <v>39.159999999999997</v>
      </c>
      <c r="H15" s="41">
        <v>39.35</v>
      </c>
      <c r="I15" s="41">
        <v>39.4</v>
      </c>
      <c r="J15" s="42">
        <f t="shared" si="0"/>
        <v>38.261666666666663</v>
      </c>
      <c r="K15" s="42">
        <f t="shared" si="1"/>
        <v>39.303333333333335</v>
      </c>
    </row>
    <row r="16" spans="2:11" x14ac:dyDescent="0.35">
      <c r="B16" s="154" t="s">
        <v>36</v>
      </c>
      <c r="C16" s="15">
        <v>1</v>
      </c>
      <c r="D16" s="43">
        <v>37.67</v>
      </c>
      <c r="E16" s="43">
        <v>37.32</v>
      </c>
      <c r="F16" s="43">
        <v>40.28</v>
      </c>
      <c r="G16" s="43">
        <v>40.29</v>
      </c>
      <c r="H16" s="43">
        <v>39.83</v>
      </c>
      <c r="I16" s="43">
        <v>39.729999999999997</v>
      </c>
      <c r="J16" s="44">
        <f t="shared" si="0"/>
        <v>39.18666666666666</v>
      </c>
      <c r="K16" s="44">
        <f t="shared" si="1"/>
        <v>39.949999999999996</v>
      </c>
    </row>
    <row r="17" spans="2:11" x14ac:dyDescent="0.35">
      <c r="B17" s="154"/>
      <c r="C17" s="15">
        <v>2</v>
      </c>
      <c r="D17" s="43">
        <v>39.21</v>
      </c>
      <c r="E17" s="43">
        <v>39.81</v>
      </c>
      <c r="F17" s="43">
        <v>40.15</v>
      </c>
      <c r="G17" s="43">
        <v>40.770000000000003</v>
      </c>
      <c r="H17" s="43">
        <v>40.51</v>
      </c>
      <c r="I17" s="43">
        <v>40.450000000000003</v>
      </c>
      <c r="J17" s="44">
        <f t="shared" si="0"/>
        <v>40.150000000000006</v>
      </c>
      <c r="K17" s="44">
        <f t="shared" si="1"/>
        <v>40.576666666666668</v>
      </c>
    </row>
    <row r="18" spans="2:11" x14ac:dyDescent="0.35">
      <c r="B18" s="154"/>
      <c r="C18" s="15">
        <v>3</v>
      </c>
      <c r="D18" s="43">
        <v>35.700000000000003</v>
      </c>
      <c r="E18" s="43">
        <v>36.31</v>
      </c>
      <c r="F18" s="43">
        <v>37.35</v>
      </c>
      <c r="G18" s="43">
        <v>39.83</v>
      </c>
      <c r="H18" s="43">
        <v>40.36</v>
      </c>
      <c r="I18" s="43">
        <v>40.31</v>
      </c>
      <c r="J18" s="44">
        <f t="shared" si="0"/>
        <v>38.31</v>
      </c>
      <c r="K18" s="44">
        <f t="shared" si="1"/>
        <v>40.166666666666664</v>
      </c>
    </row>
    <row r="19" spans="2:11" x14ac:dyDescent="0.35">
      <c r="B19" s="154"/>
      <c r="C19" s="15">
        <v>4</v>
      </c>
      <c r="D19" s="15">
        <v>36.47</v>
      </c>
      <c r="E19" s="15">
        <v>35.51</v>
      </c>
      <c r="F19" s="15">
        <v>37.450000000000003</v>
      </c>
      <c r="G19" s="15">
        <v>39.06</v>
      </c>
      <c r="H19" s="15">
        <v>39.53</v>
      </c>
      <c r="I19" s="15">
        <v>39.53</v>
      </c>
      <c r="J19" s="44">
        <f t="shared" si="0"/>
        <v>37.925000000000004</v>
      </c>
      <c r="K19" s="44">
        <f t="shared" si="1"/>
        <v>39.373333333333335</v>
      </c>
    </row>
    <row r="20" spans="2:11" x14ac:dyDescent="0.35">
      <c r="B20" s="149" t="s">
        <v>37</v>
      </c>
      <c r="C20" s="45">
        <v>1</v>
      </c>
      <c r="D20" s="46">
        <v>38.29</v>
      </c>
      <c r="E20" s="46">
        <v>38.700000000000003</v>
      </c>
      <c r="F20" s="46">
        <v>34.65</v>
      </c>
      <c r="G20" s="46">
        <v>39.85</v>
      </c>
      <c r="H20" s="46">
        <v>39.71</v>
      </c>
      <c r="I20" s="46">
        <v>40.020000000000003</v>
      </c>
      <c r="J20" s="47">
        <f t="shared" si="0"/>
        <v>38.536666666666669</v>
      </c>
      <c r="K20" s="47">
        <f t="shared" si="1"/>
        <v>39.860000000000007</v>
      </c>
    </row>
    <row r="21" spans="2:11" x14ac:dyDescent="0.35">
      <c r="B21" s="149"/>
      <c r="C21" s="45">
        <v>2</v>
      </c>
      <c r="D21" s="46">
        <v>38.85</v>
      </c>
      <c r="E21" s="46">
        <v>38.36</v>
      </c>
      <c r="F21" s="46">
        <v>37.03</v>
      </c>
      <c r="G21" s="46">
        <v>38.369999999999997</v>
      </c>
      <c r="H21" s="46">
        <v>38.409999999999997</v>
      </c>
      <c r="I21" s="46">
        <v>38.409999999999997</v>
      </c>
      <c r="J21" s="47">
        <f t="shared" si="0"/>
        <v>38.238333333333337</v>
      </c>
      <c r="K21" s="47">
        <f t="shared" si="1"/>
        <v>38.396666666666668</v>
      </c>
    </row>
    <row r="22" spans="2:11" x14ac:dyDescent="0.35">
      <c r="B22" s="149"/>
      <c r="C22" s="45">
        <v>3</v>
      </c>
      <c r="D22" s="46">
        <v>33.979999999999997</v>
      </c>
      <c r="E22" s="46">
        <v>35.450000000000003</v>
      </c>
      <c r="F22" s="46">
        <v>37.08</v>
      </c>
      <c r="G22" s="46">
        <v>39.21</v>
      </c>
      <c r="H22" s="46">
        <v>39.049999999999997</v>
      </c>
      <c r="I22" s="46">
        <v>38.86</v>
      </c>
      <c r="J22" s="47">
        <f t="shared" si="0"/>
        <v>37.271666666666668</v>
      </c>
      <c r="K22" s="47">
        <f t="shared" si="1"/>
        <v>39.04</v>
      </c>
    </row>
    <row r="23" spans="2:11" x14ac:dyDescent="0.35">
      <c r="B23" s="149"/>
      <c r="C23" s="45">
        <v>4</v>
      </c>
      <c r="D23" s="45">
        <v>34.39</v>
      </c>
      <c r="E23" s="45">
        <v>35.020000000000003</v>
      </c>
      <c r="F23" s="45">
        <v>33.479999999999997</v>
      </c>
      <c r="G23" s="45">
        <v>38.479999999999997</v>
      </c>
      <c r="H23" s="45">
        <v>39.35</v>
      </c>
      <c r="I23" s="45">
        <v>39.44</v>
      </c>
      <c r="J23" s="47">
        <f t="shared" si="0"/>
        <v>36.693333333333328</v>
      </c>
      <c r="K23" s="47">
        <f t="shared" si="1"/>
        <v>39.089999999999996</v>
      </c>
    </row>
    <row r="24" spans="2:11" x14ac:dyDescent="0.35">
      <c r="B24" s="152" t="s">
        <v>38</v>
      </c>
      <c r="C24" s="48">
        <v>1</v>
      </c>
      <c r="D24" s="49">
        <v>32.07</v>
      </c>
      <c r="E24" s="49">
        <v>33.299999999999997</v>
      </c>
      <c r="F24" s="49">
        <v>33.71</v>
      </c>
      <c r="G24" s="49">
        <v>39.39</v>
      </c>
      <c r="H24" s="49">
        <v>39.65</v>
      </c>
      <c r="I24" s="49">
        <v>39.799999999999997</v>
      </c>
      <c r="J24" s="50">
        <f t="shared" si="0"/>
        <v>36.32</v>
      </c>
      <c r="K24" s="50">
        <f t="shared" si="1"/>
        <v>39.61333333333333</v>
      </c>
    </row>
    <row r="25" spans="2:11" x14ac:dyDescent="0.35">
      <c r="B25" s="152"/>
      <c r="C25" s="48">
        <v>2</v>
      </c>
      <c r="D25" s="49">
        <v>35.799999999999997</v>
      </c>
      <c r="E25" s="49">
        <v>38.06</v>
      </c>
      <c r="F25" s="49">
        <v>36.229999999999997</v>
      </c>
      <c r="G25" s="49">
        <v>39.75</v>
      </c>
      <c r="H25" s="49">
        <v>39.83</v>
      </c>
      <c r="I25" s="49">
        <v>39.72</v>
      </c>
      <c r="J25" s="50">
        <f t="shared" si="0"/>
        <v>38.231666666666669</v>
      </c>
      <c r="K25" s="50">
        <f t="shared" si="1"/>
        <v>39.766666666666666</v>
      </c>
    </row>
    <row r="26" spans="2:11" x14ac:dyDescent="0.35">
      <c r="B26" s="152"/>
      <c r="C26" s="48">
        <v>3</v>
      </c>
      <c r="D26" s="49">
        <v>33.19</v>
      </c>
      <c r="E26" s="49">
        <v>33.39</v>
      </c>
      <c r="F26" s="49">
        <v>32.17</v>
      </c>
      <c r="G26" s="49">
        <v>39.43</v>
      </c>
      <c r="H26" s="49">
        <v>39.479999999999997</v>
      </c>
      <c r="I26" s="49">
        <v>39.49</v>
      </c>
      <c r="J26" s="50">
        <f t="shared" si="0"/>
        <v>36.19166666666667</v>
      </c>
      <c r="K26" s="50">
        <f t="shared" si="1"/>
        <v>39.466666666666669</v>
      </c>
    </row>
    <row r="27" spans="2:11" x14ac:dyDescent="0.35">
      <c r="B27" s="152"/>
      <c r="C27" s="48">
        <v>4</v>
      </c>
      <c r="D27" s="48">
        <v>36.92</v>
      </c>
      <c r="E27" s="48">
        <v>37.19</v>
      </c>
      <c r="F27" s="48">
        <v>36.5</v>
      </c>
      <c r="G27" s="48">
        <v>39.020000000000003</v>
      </c>
      <c r="H27" s="48">
        <v>39.14</v>
      </c>
      <c r="I27" s="48">
        <v>39.43</v>
      </c>
      <c r="J27" s="50">
        <f t="shared" si="0"/>
        <v>38.033333333333331</v>
      </c>
      <c r="K27" s="50">
        <f t="shared" si="1"/>
        <v>39.196666666666665</v>
      </c>
    </row>
    <row r="28" spans="2:11" x14ac:dyDescent="0.35">
      <c r="B28" s="163" t="s">
        <v>39</v>
      </c>
      <c r="C28" s="51">
        <v>1</v>
      </c>
      <c r="D28" s="52">
        <v>38.06</v>
      </c>
      <c r="E28" s="52">
        <v>38.26</v>
      </c>
      <c r="F28" s="52">
        <v>38.130000000000003</v>
      </c>
      <c r="G28" s="52">
        <v>39.979999999999997</v>
      </c>
      <c r="H28" s="52">
        <v>39.96</v>
      </c>
      <c r="I28" s="52">
        <v>40.18</v>
      </c>
      <c r="J28" s="53">
        <f t="shared" si="0"/>
        <v>39.094999999999999</v>
      </c>
      <c r="K28" s="53">
        <f t="shared" si="1"/>
        <v>40.04</v>
      </c>
    </row>
    <row r="29" spans="2:11" x14ac:dyDescent="0.35">
      <c r="B29" s="163"/>
      <c r="C29" s="51">
        <v>2</v>
      </c>
      <c r="D29" s="52">
        <v>40.869999999999997</v>
      </c>
      <c r="E29" s="52">
        <v>41.11</v>
      </c>
      <c r="F29" s="52">
        <v>41.16</v>
      </c>
      <c r="G29" s="52">
        <v>39.31</v>
      </c>
      <c r="H29" s="52">
        <v>39.97</v>
      </c>
      <c r="I29" s="52">
        <v>40.07</v>
      </c>
      <c r="J29" s="53">
        <f t="shared" si="0"/>
        <v>40.414999999999999</v>
      </c>
      <c r="K29" s="53">
        <f t="shared" si="1"/>
        <v>39.783333333333331</v>
      </c>
    </row>
    <row r="30" spans="2:11" x14ac:dyDescent="0.35">
      <c r="B30" s="163"/>
      <c r="C30" s="51">
        <v>3</v>
      </c>
      <c r="D30" s="52">
        <v>38.020000000000003</v>
      </c>
      <c r="E30" s="52">
        <v>40.89</v>
      </c>
      <c r="F30" s="52">
        <v>41.32</v>
      </c>
      <c r="G30" s="52">
        <v>39.99</v>
      </c>
      <c r="H30" s="52">
        <v>39.86</v>
      </c>
      <c r="I30" s="52">
        <v>39.75</v>
      </c>
      <c r="J30" s="53">
        <f t="shared" si="0"/>
        <v>39.971666666666664</v>
      </c>
      <c r="K30" s="53">
        <f t="shared" si="1"/>
        <v>39.866666666666667</v>
      </c>
    </row>
    <row r="31" spans="2:11" x14ac:dyDescent="0.35">
      <c r="B31" s="163"/>
      <c r="C31" s="51">
        <v>4</v>
      </c>
      <c r="D31" s="51">
        <v>36.450000000000003</v>
      </c>
      <c r="E31" s="51">
        <v>37.1</v>
      </c>
      <c r="F31" s="51">
        <v>38.33</v>
      </c>
      <c r="G31" s="51">
        <v>39.479999999999997</v>
      </c>
      <c r="H31" s="51">
        <v>39.369999999999997</v>
      </c>
      <c r="I31" s="51">
        <v>39.22</v>
      </c>
      <c r="J31" s="53">
        <f t="shared" si="0"/>
        <v>38.325000000000003</v>
      </c>
      <c r="K31" s="53">
        <f t="shared" si="1"/>
        <v>39.356666666666662</v>
      </c>
    </row>
    <row r="32" spans="2:11" x14ac:dyDescent="0.35">
      <c r="B32" s="161" t="s">
        <v>40</v>
      </c>
      <c r="C32" s="55">
        <v>1</v>
      </c>
      <c r="D32" s="56">
        <v>38.43</v>
      </c>
      <c r="E32" s="56">
        <v>38.56</v>
      </c>
      <c r="F32" s="56">
        <v>38.67</v>
      </c>
      <c r="G32" s="56">
        <v>39.770000000000003</v>
      </c>
      <c r="H32" s="56">
        <v>39.83</v>
      </c>
      <c r="I32" s="56">
        <v>39.659999999999997</v>
      </c>
      <c r="J32" s="57">
        <f t="shared" si="0"/>
        <v>39.153333333333329</v>
      </c>
      <c r="K32" s="57">
        <f t="shared" si="1"/>
        <v>39.75333333333333</v>
      </c>
    </row>
    <row r="33" spans="2:53" x14ac:dyDescent="0.35">
      <c r="B33" s="161"/>
      <c r="C33" s="55">
        <v>2</v>
      </c>
      <c r="D33" s="56">
        <v>34.74</v>
      </c>
      <c r="E33" s="56">
        <v>36.619999999999997</v>
      </c>
      <c r="F33" s="56">
        <v>35.78</v>
      </c>
      <c r="G33" s="56">
        <v>39.950000000000003</v>
      </c>
      <c r="H33" s="56">
        <v>39.96</v>
      </c>
      <c r="I33" s="56">
        <v>39.54</v>
      </c>
      <c r="J33" s="57">
        <f t="shared" si="0"/>
        <v>37.765000000000001</v>
      </c>
      <c r="K33" s="57">
        <f t="shared" si="1"/>
        <v>39.816666666666663</v>
      </c>
    </row>
    <row r="37" spans="2:53" x14ac:dyDescent="0.35">
      <c r="B37" s="172" t="s">
        <v>41</v>
      </c>
      <c r="C37" s="172"/>
      <c r="D37" s="172"/>
      <c r="E37" s="172"/>
      <c r="F37" s="172"/>
      <c r="G37" s="172"/>
      <c r="H37" s="172"/>
      <c r="I37" s="172"/>
    </row>
    <row r="38" spans="2:53" ht="43.5" x14ac:dyDescent="0.35">
      <c r="B38" s="29" t="s">
        <v>6</v>
      </c>
      <c r="C38" s="29" t="s">
        <v>19</v>
      </c>
      <c r="D38" s="32" t="s">
        <v>20</v>
      </c>
      <c r="E38" s="29" t="s">
        <v>21</v>
      </c>
      <c r="F38" s="29" t="s">
        <v>22</v>
      </c>
      <c r="G38" s="30" t="s">
        <v>27</v>
      </c>
      <c r="H38" s="30" t="s">
        <v>23</v>
      </c>
      <c r="I38" s="30" t="s">
        <v>143</v>
      </c>
      <c r="J38" s="30" t="s">
        <v>53</v>
      </c>
    </row>
    <row r="39" spans="2:53" x14ac:dyDescent="0.35">
      <c r="B39" s="151" t="s">
        <v>33</v>
      </c>
      <c r="C39" s="151" t="s">
        <v>28</v>
      </c>
      <c r="D39" s="5">
        <v>1</v>
      </c>
      <c r="E39" s="8">
        <f>J4</f>
        <v>40.28</v>
      </c>
      <c r="F39" s="8">
        <f>K4</f>
        <v>39.96</v>
      </c>
      <c r="G39" s="8">
        <v>2251</v>
      </c>
      <c r="H39" s="7">
        <f>1.5*G39*100/(E39*F39^2)</f>
        <v>5.2496014508175621</v>
      </c>
      <c r="I39" s="180">
        <f>AVERAGE(H39:H40)</f>
        <v>5.943124145585772</v>
      </c>
      <c r="J39" s="209">
        <f>STDEV(H39:H40)</f>
        <v>0.98078920075474618</v>
      </c>
      <c r="K39" s="166"/>
      <c r="L39" s="166"/>
      <c r="M39" s="166"/>
      <c r="N39" s="166"/>
      <c r="Q39" s="166"/>
      <c r="R39" s="166"/>
      <c r="S39" s="166"/>
      <c r="T39" s="166"/>
      <c r="AW39" s="176" t="s">
        <v>42</v>
      </c>
      <c r="AX39" s="159" t="s">
        <v>43</v>
      </c>
      <c r="AY39" s="159"/>
      <c r="AZ39" s="159" t="s">
        <v>44</v>
      </c>
      <c r="BA39" s="159"/>
    </row>
    <row r="40" spans="2:53" x14ac:dyDescent="0.35">
      <c r="B40" s="151"/>
      <c r="C40" s="151"/>
      <c r="D40" s="5">
        <v>2</v>
      </c>
      <c r="E40" s="8">
        <f>J5</f>
        <v>37.896666666666668</v>
      </c>
      <c r="F40" s="8">
        <f>K5</f>
        <v>39.476666666666667</v>
      </c>
      <c r="G40" s="8">
        <v>2613</v>
      </c>
      <c r="H40" s="7">
        <f t="shared" ref="H40" si="2">1.5*G40*100/(E40*F40^2)</f>
        <v>6.6366468403539827</v>
      </c>
      <c r="I40" s="180"/>
      <c r="J40" s="209"/>
      <c r="AF40" s="166"/>
      <c r="AG40" s="166"/>
      <c r="AH40" s="166"/>
      <c r="AI40" s="166"/>
      <c r="AJ40" s="166"/>
      <c r="AK40" s="166"/>
      <c r="AU40" s="1"/>
      <c r="AV40" s="1"/>
      <c r="AW40" s="176"/>
      <c r="AX40" s="61" t="s">
        <v>28</v>
      </c>
      <c r="AY40" s="61" t="s">
        <v>29</v>
      </c>
      <c r="AZ40" s="61" t="s">
        <v>28</v>
      </c>
      <c r="BA40" s="61" t="s">
        <v>29</v>
      </c>
    </row>
    <row r="41" spans="2:53" x14ac:dyDescent="0.35">
      <c r="B41" s="151"/>
      <c r="C41" s="151" t="s">
        <v>29</v>
      </c>
      <c r="D41" s="5">
        <v>3</v>
      </c>
      <c r="E41" s="8">
        <f>K6</f>
        <v>39.823333333333331</v>
      </c>
      <c r="F41" s="8">
        <f>J6</f>
        <v>40.343333333333341</v>
      </c>
      <c r="G41" s="8">
        <v>3038</v>
      </c>
      <c r="H41" s="7">
        <f>1.5*G41*100/(E41^2*F41)</f>
        <v>7.1224930160901758</v>
      </c>
      <c r="I41" s="180">
        <f>AVERAGE(H41:H42)</f>
        <v>6.2057341621453528</v>
      </c>
      <c r="J41" s="209">
        <f>STDEV(H41:H42)</f>
        <v>1.2964928046743875</v>
      </c>
      <c r="K41" s="59"/>
      <c r="L41" s="59"/>
      <c r="M41" s="59"/>
      <c r="Q41" s="59"/>
      <c r="R41" s="59"/>
      <c r="S41" s="59"/>
      <c r="AE41" s="59"/>
      <c r="AF41" s="59"/>
      <c r="AG41" s="59"/>
      <c r="AH41" s="59"/>
      <c r="AI41" s="59"/>
      <c r="AJ41" s="59"/>
      <c r="AK41" s="59"/>
      <c r="AW41" s="62" t="s">
        <v>33</v>
      </c>
      <c r="AX41" s="63">
        <f>I39</f>
        <v>5.943124145585772</v>
      </c>
      <c r="AY41" s="63">
        <f>I41</f>
        <v>6.2057341621453528</v>
      </c>
      <c r="AZ41" s="63">
        <f>I73</f>
        <v>21.177486368109193</v>
      </c>
      <c r="BA41" s="63">
        <f>I76</f>
        <v>19.335782833025011</v>
      </c>
    </row>
    <row r="42" spans="2:53" x14ac:dyDescent="0.35">
      <c r="B42" s="151"/>
      <c r="C42" s="151"/>
      <c r="D42" s="5">
        <v>4</v>
      </c>
      <c r="E42" s="8">
        <f>K7</f>
        <v>39.29666666666666</v>
      </c>
      <c r="F42" s="8">
        <f>J7</f>
        <v>38.733333333333334</v>
      </c>
      <c r="G42" s="8">
        <v>2109</v>
      </c>
      <c r="H42" s="7">
        <f t="shared" ref="H42" si="3">1.5*G42*100/(E42^2*F42)</f>
        <v>5.2889753082005306</v>
      </c>
      <c r="I42" s="180"/>
      <c r="J42" s="209"/>
      <c r="L42" s="64"/>
      <c r="M42" s="64"/>
      <c r="R42" s="64"/>
      <c r="S42" s="64"/>
      <c r="AF42" s="64"/>
      <c r="AG42" s="64"/>
      <c r="AH42" s="64"/>
      <c r="AI42" s="64"/>
      <c r="AJ42" s="64"/>
      <c r="AK42" s="64"/>
      <c r="AT42" s="9"/>
      <c r="AU42" s="65"/>
      <c r="AW42" s="62" t="s">
        <v>46</v>
      </c>
      <c r="AX42" s="63">
        <f>I43</f>
        <v>2.2152964438690801</v>
      </c>
      <c r="AY42" s="63">
        <f>I45</f>
        <v>3.7606891011195374</v>
      </c>
      <c r="AZ42" s="63">
        <f>I79</f>
        <v>16.026181774001525</v>
      </c>
      <c r="BA42" s="63">
        <f>I82</f>
        <v>12.047866144363789</v>
      </c>
    </row>
    <row r="43" spans="2:53" x14ac:dyDescent="0.35">
      <c r="B43" s="170" t="s">
        <v>34</v>
      </c>
      <c r="C43" s="170" t="s">
        <v>28</v>
      </c>
      <c r="D43" s="34">
        <v>1</v>
      </c>
      <c r="E43" s="36">
        <f>J8</f>
        <v>37.663333333333334</v>
      </c>
      <c r="F43" s="36">
        <f>K8</f>
        <v>39.47</v>
      </c>
      <c r="G43" s="36">
        <v>835</v>
      </c>
      <c r="H43" s="63">
        <f>1.5*G43*100/(E43*F43^2)</f>
        <v>2.1346404159316643</v>
      </c>
      <c r="I43" s="179">
        <f>AVERAGE(H43:H44)</f>
        <v>2.2152964438690801</v>
      </c>
      <c r="J43" s="209">
        <f>STDEV(H43:H44)</f>
        <v>0.11406484859623664</v>
      </c>
      <c r="L43" s="64"/>
      <c r="M43" s="64"/>
      <c r="R43" s="64"/>
      <c r="S43" s="64"/>
      <c r="AF43" s="64"/>
      <c r="AG43" s="64"/>
      <c r="AH43" s="64"/>
      <c r="AI43" s="64"/>
      <c r="AJ43" s="64"/>
      <c r="AK43" s="64"/>
      <c r="AT43" s="9"/>
      <c r="AU43" s="65"/>
      <c r="AW43" s="62" t="s">
        <v>35</v>
      </c>
      <c r="AX43" s="63">
        <f>I47</f>
        <v>1.4498151361928862</v>
      </c>
      <c r="AY43" s="63">
        <f>I49</f>
        <v>1.8784672830708931</v>
      </c>
      <c r="AZ43" s="63">
        <f>I86</f>
        <v>10.600128440031341</v>
      </c>
      <c r="BA43" s="63">
        <f>I90</f>
        <v>6.2592532249491803</v>
      </c>
    </row>
    <row r="44" spans="2:53" x14ac:dyDescent="0.35">
      <c r="B44" s="170"/>
      <c r="C44" s="170"/>
      <c r="D44" s="34">
        <v>2</v>
      </c>
      <c r="E44" s="36">
        <f>J9</f>
        <v>37.18</v>
      </c>
      <c r="F44" s="36">
        <f>K9</f>
        <v>39.166666666666664</v>
      </c>
      <c r="G44" s="36">
        <v>873</v>
      </c>
      <c r="H44" s="63">
        <f t="shared" ref="H44" si="4">1.5*G44*100/(E44*F44^2)</f>
        <v>2.2959524718064959</v>
      </c>
      <c r="I44" s="179"/>
      <c r="J44" s="209"/>
      <c r="R44" s="64"/>
      <c r="S44" s="64"/>
      <c r="AF44" s="64"/>
      <c r="AG44" s="64"/>
      <c r="AH44" s="64"/>
      <c r="AI44" s="64"/>
      <c r="AJ44" s="64"/>
      <c r="AK44" s="64"/>
      <c r="AM44" s="67"/>
      <c r="AW44" s="68" t="s">
        <v>36</v>
      </c>
      <c r="AX44" s="11">
        <f>I51</f>
        <v>5.6411170508181439</v>
      </c>
      <c r="AY44" s="11">
        <f>I53</f>
        <v>6.6369626982157257</v>
      </c>
      <c r="AZ44" s="11">
        <f>I94</f>
        <v>22.900667311577276</v>
      </c>
      <c r="BA44" s="11">
        <f>I97</f>
        <v>14.226689785898861</v>
      </c>
    </row>
    <row r="45" spans="2:53" x14ac:dyDescent="0.35">
      <c r="B45" s="170"/>
      <c r="C45" s="170" t="s">
        <v>29</v>
      </c>
      <c r="D45" s="34">
        <v>3</v>
      </c>
      <c r="E45" s="36">
        <f>K10</f>
        <v>39.656666666666666</v>
      </c>
      <c r="F45" s="36">
        <f>J10</f>
        <v>37.241666666666667</v>
      </c>
      <c r="G45" s="36">
        <v>1314</v>
      </c>
      <c r="H45" s="63">
        <f>1.5*G45*100/(E45^2*F45)</f>
        <v>3.3653102008451752</v>
      </c>
      <c r="I45" s="179">
        <f>AVERAGE(H45:H46)</f>
        <v>3.7606891011195374</v>
      </c>
      <c r="J45" s="209">
        <f>STDEV(H45:H46)</f>
        <v>0.55915020304416463</v>
      </c>
      <c r="K45" s="166"/>
      <c r="L45" s="166"/>
      <c r="M45" s="166"/>
      <c r="N45" s="166"/>
      <c r="AW45" s="68" t="s">
        <v>48</v>
      </c>
      <c r="AX45" s="11">
        <f>I55</f>
        <v>3.9520065662476496</v>
      </c>
      <c r="AY45" s="11">
        <f>I57</f>
        <v>3.4104763823565376</v>
      </c>
      <c r="AZ45" s="11">
        <f>I100</f>
        <v>15.319900318734042</v>
      </c>
      <c r="BA45" s="11">
        <f>I103</f>
        <v>6.0578893442622954</v>
      </c>
    </row>
    <row r="46" spans="2:53" x14ac:dyDescent="0.35">
      <c r="B46" s="170"/>
      <c r="C46" s="170"/>
      <c r="D46" s="34">
        <v>4</v>
      </c>
      <c r="E46" s="36">
        <f>K11</f>
        <v>39.153333333333336</v>
      </c>
      <c r="F46" s="36">
        <f>J11</f>
        <v>37.339999999999996</v>
      </c>
      <c r="G46" s="36">
        <v>1586</v>
      </c>
      <c r="H46" s="63">
        <f t="shared" ref="H46" si="5">1.5*G46*100/(E46^2*F46)</f>
        <v>4.1560680013938995</v>
      </c>
      <c r="I46" s="179"/>
      <c r="J46" s="209"/>
      <c r="Q46" s="166"/>
      <c r="R46" s="166"/>
      <c r="S46" s="166"/>
      <c r="T46" s="166"/>
      <c r="AW46" s="68" t="s">
        <v>38</v>
      </c>
      <c r="AX46" s="11">
        <f>I59</f>
        <v>2.1833487369542768</v>
      </c>
      <c r="AY46" s="11">
        <f>I61</f>
        <v>2.9887323346131272</v>
      </c>
      <c r="AZ46" s="11">
        <f>I107</f>
        <v>8.5042587691392963</v>
      </c>
      <c r="BA46" s="11">
        <f>I111</f>
        <v>6.964046362633681</v>
      </c>
    </row>
    <row r="47" spans="2:53" x14ac:dyDescent="0.35">
      <c r="B47" s="153" t="s">
        <v>35</v>
      </c>
      <c r="C47" s="153" t="s">
        <v>28</v>
      </c>
      <c r="D47" s="10">
        <v>1</v>
      </c>
      <c r="E47" s="21">
        <f>J12</f>
        <v>35.301666666666669</v>
      </c>
      <c r="F47" s="21">
        <f>K12</f>
        <v>39.416666666666664</v>
      </c>
      <c r="G47" s="21">
        <v>220</v>
      </c>
      <c r="H47" s="11">
        <f>1.5*G47*100/(E47*F47^2)</f>
        <v>0.60167080779986082</v>
      </c>
      <c r="I47" s="178">
        <f>AVERAGE(H47:H48)</f>
        <v>1.4498151361928862</v>
      </c>
      <c r="J47" s="209">
        <f>STDEV(H47:H48)</f>
        <v>1.199457212063237</v>
      </c>
      <c r="K47" s="59"/>
      <c r="L47" s="59"/>
      <c r="M47" s="59"/>
      <c r="AF47" s="166"/>
      <c r="AG47" s="166"/>
      <c r="AH47" s="166"/>
      <c r="AI47" s="166"/>
      <c r="AJ47" s="166"/>
      <c r="AK47" s="166"/>
      <c r="AW47" s="70" t="s">
        <v>49</v>
      </c>
      <c r="AX47" s="71">
        <f>I63</f>
        <v>4.1770831125127614</v>
      </c>
      <c r="AY47" s="71">
        <f>I65</f>
        <v>6.0100694276922475</v>
      </c>
      <c r="AZ47" s="71">
        <f>I115</f>
        <v>10.82671633383136</v>
      </c>
      <c r="BA47" s="71">
        <f>I119</f>
        <v>8.3347694157397143</v>
      </c>
    </row>
    <row r="48" spans="2:53" x14ac:dyDescent="0.35">
      <c r="B48" s="153"/>
      <c r="C48" s="153"/>
      <c r="D48" s="10">
        <v>2</v>
      </c>
      <c r="E48" s="21">
        <f>J13</f>
        <v>37.476666666666667</v>
      </c>
      <c r="F48" s="21">
        <f>K13</f>
        <v>39.526666666666671</v>
      </c>
      <c r="G48" s="21">
        <v>897</v>
      </c>
      <c r="H48" s="11">
        <f t="shared" ref="H48" si="6">1.5*G48*100/(E48*F48^2)</f>
        <v>2.2979594645859116</v>
      </c>
      <c r="I48" s="178"/>
      <c r="J48" s="209"/>
      <c r="L48" s="64"/>
      <c r="M48" s="64"/>
      <c r="Q48" s="59"/>
      <c r="R48" s="59"/>
      <c r="S48" s="59"/>
      <c r="AE48" s="59"/>
      <c r="AF48" s="59"/>
      <c r="AG48" s="59"/>
      <c r="AH48" s="59"/>
      <c r="AI48" s="59"/>
      <c r="AJ48" s="59"/>
      <c r="AK48" s="59"/>
      <c r="AW48" s="70" t="s">
        <v>40</v>
      </c>
      <c r="AX48" s="71">
        <f>I67</f>
        <v>2.4145419495721527</v>
      </c>
      <c r="AY48" s="71">
        <f>I68</f>
        <v>4.7301396331983963</v>
      </c>
      <c r="AZ48" s="71">
        <f>I123</f>
        <v>8.128298995402691</v>
      </c>
      <c r="BA48" s="71">
        <f>I125</f>
        <v>7.8767266638760995</v>
      </c>
    </row>
    <row r="49" spans="2:53" x14ac:dyDescent="0.35">
      <c r="B49" s="153"/>
      <c r="C49" s="153" t="s">
        <v>29</v>
      </c>
      <c r="D49" s="10">
        <v>3</v>
      </c>
      <c r="E49" s="21">
        <f>K14</f>
        <v>39.473333333333336</v>
      </c>
      <c r="F49" s="21">
        <f>J14</f>
        <v>38.090000000000003</v>
      </c>
      <c r="G49" s="21">
        <v>157</v>
      </c>
      <c r="H49" s="11">
        <f>1.5*G49*100/(E49^2*F49)</f>
        <v>0.39680061331615157</v>
      </c>
      <c r="I49" s="178">
        <f>AVERAGE(H49:H50)</f>
        <v>1.8784672830708931</v>
      </c>
      <c r="J49" s="209">
        <f>STDEV(H49:H50)</f>
        <v>2.0953930992833332</v>
      </c>
      <c r="L49" s="64"/>
      <c r="M49" s="64"/>
      <c r="R49" s="64"/>
      <c r="S49" s="64"/>
      <c r="AF49" s="64"/>
      <c r="AG49" s="64"/>
      <c r="AH49" s="64"/>
      <c r="AI49" s="64"/>
      <c r="AJ49" s="64"/>
      <c r="AK49" s="64"/>
    </row>
    <row r="50" spans="2:53" x14ac:dyDescent="0.35">
      <c r="B50" s="153"/>
      <c r="C50" s="153"/>
      <c r="D50" s="10">
        <v>4</v>
      </c>
      <c r="E50" s="21">
        <f>K15</f>
        <v>39.303333333333335</v>
      </c>
      <c r="F50" s="21">
        <f>J15</f>
        <v>38.261666666666663</v>
      </c>
      <c r="G50" s="21">
        <v>1324</v>
      </c>
      <c r="H50" s="11">
        <f t="shared" ref="H50" si="7">1.5*G50*100/(E50^2*F50)</f>
        <v>3.3601339528256347</v>
      </c>
      <c r="I50" s="178"/>
      <c r="J50" s="209"/>
      <c r="L50" s="64"/>
      <c r="M50" s="64"/>
      <c r="R50" s="64"/>
      <c r="S50" s="64"/>
      <c r="AF50" s="64"/>
      <c r="AG50" s="64"/>
      <c r="AH50" s="64"/>
      <c r="AI50" s="64"/>
      <c r="AJ50" s="64"/>
      <c r="AK50" s="64"/>
    </row>
    <row r="51" spans="2:53" x14ac:dyDescent="0.35">
      <c r="B51" s="154" t="s">
        <v>36</v>
      </c>
      <c r="C51" s="154" t="s">
        <v>28</v>
      </c>
      <c r="D51" s="13">
        <v>1</v>
      </c>
      <c r="E51" s="72">
        <f>J16</f>
        <v>39.18666666666666</v>
      </c>
      <c r="F51" s="72">
        <f>K16</f>
        <v>39.949999999999996</v>
      </c>
      <c r="G51" s="72">
        <v>2196</v>
      </c>
      <c r="H51" s="14">
        <f>1.5*G51*100/(E51*F51^2)</f>
        <v>5.2668591566003213</v>
      </c>
      <c r="I51" s="177">
        <f>AVERAGE(H51:H52)</f>
        <v>5.6411170508181439</v>
      </c>
      <c r="J51" s="209">
        <f>STDEV(H51:H52)</f>
        <v>0.52928058982803972</v>
      </c>
      <c r="R51" s="64"/>
      <c r="S51" s="64"/>
      <c r="AF51" s="64"/>
      <c r="AG51" s="64"/>
      <c r="AH51" s="64"/>
      <c r="AI51" s="64"/>
      <c r="AJ51" s="64"/>
      <c r="AK51" s="64"/>
      <c r="AW51" s="176" t="s">
        <v>42</v>
      </c>
      <c r="AX51" s="159" t="s">
        <v>43</v>
      </c>
      <c r="AY51" s="159"/>
      <c r="AZ51" s="159" t="s">
        <v>44</v>
      </c>
      <c r="BA51" s="159"/>
    </row>
    <row r="52" spans="2:53" x14ac:dyDescent="0.35">
      <c r="B52" s="154"/>
      <c r="C52" s="154"/>
      <c r="D52" s="13">
        <v>2</v>
      </c>
      <c r="E52" s="72">
        <f>J17</f>
        <v>40.150000000000006</v>
      </c>
      <c r="F52" s="72">
        <f>K17</f>
        <v>40.576666666666668</v>
      </c>
      <c r="G52" s="72">
        <v>2651</v>
      </c>
      <c r="H52" s="14">
        <f>1.5*G52*100/(E52*F52^2)</f>
        <v>6.0153749450359664</v>
      </c>
      <c r="I52" s="177"/>
      <c r="J52" s="209"/>
      <c r="K52" s="166"/>
      <c r="L52" s="166"/>
      <c r="M52" s="166"/>
      <c r="N52" s="166"/>
      <c r="AW52" s="176"/>
      <c r="AX52" s="61" t="s">
        <v>28</v>
      </c>
      <c r="AY52" s="61" t="s">
        <v>29</v>
      </c>
      <c r="AZ52" s="61" t="s">
        <v>28</v>
      </c>
      <c r="BA52" s="61" t="s">
        <v>29</v>
      </c>
    </row>
    <row r="53" spans="2:53" x14ac:dyDescent="0.35">
      <c r="B53" s="154"/>
      <c r="C53" s="154" t="s">
        <v>29</v>
      </c>
      <c r="D53" s="13">
        <v>3</v>
      </c>
      <c r="E53" s="72">
        <f>K18</f>
        <v>40.166666666666664</v>
      </c>
      <c r="F53" s="72">
        <f>J18</f>
        <v>38.31</v>
      </c>
      <c r="G53" s="72">
        <v>2567</v>
      </c>
      <c r="H53" s="14">
        <f>1.5*G53*100/(E53^2*F53)</f>
        <v>6.2297897717627286</v>
      </c>
      <c r="I53" s="177">
        <f>AVERAGE(H53:H54)</f>
        <v>6.6369626982157257</v>
      </c>
      <c r="J53" s="209">
        <f>STDEV(H53:H54)</f>
        <v>0.57582947482097058</v>
      </c>
      <c r="Q53" s="166"/>
      <c r="R53" s="166"/>
      <c r="S53" s="166"/>
      <c r="T53" s="166"/>
      <c r="AW53" s="62" t="s">
        <v>33</v>
      </c>
      <c r="AX53" s="63">
        <f>AX$41</f>
        <v>5.943124145585772</v>
      </c>
      <c r="AY53" s="63">
        <f t="shared" ref="AY53:BA53" si="8">AY$41</f>
        <v>6.2057341621453528</v>
      </c>
      <c r="AZ53" s="63">
        <f t="shared" si="8"/>
        <v>21.177486368109193</v>
      </c>
      <c r="BA53" s="63">
        <f t="shared" si="8"/>
        <v>19.335782833025011</v>
      </c>
    </row>
    <row r="54" spans="2:53" x14ac:dyDescent="0.35">
      <c r="B54" s="154"/>
      <c r="C54" s="154"/>
      <c r="D54" s="13">
        <v>4</v>
      </c>
      <c r="E54" s="72">
        <f>K19</f>
        <v>39.373333333333335</v>
      </c>
      <c r="F54" s="72">
        <f>J19</f>
        <v>37.925000000000004</v>
      </c>
      <c r="G54" s="72">
        <v>2761</v>
      </c>
      <c r="H54" s="14">
        <f t="shared" ref="H54" si="9">1.5*G54*100/(E54^2*F54)</f>
        <v>7.0441356246687219</v>
      </c>
      <c r="I54" s="177"/>
      <c r="J54" s="209"/>
      <c r="K54" s="59"/>
      <c r="L54" s="59"/>
      <c r="M54" s="59"/>
      <c r="AW54" s="68" t="s">
        <v>36</v>
      </c>
      <c r="AX54" s="11">
        <f>AX$44</f>
        <v>5.6411170508181439</v>
      </c>
      <c r="AY54" s="11">
        <f t="shared" ref="AY54:BA54" si="10">AY$44</f>
        <v>6.6369626982157257</v>
      </c>
      <c r="AZ54" s="11">
        <f t="shared" si="10"/>
        <v>22.900667311577276</v>
      </c>
      <c r="BA54" s="11">
        <f t="shared" si="10"/>
        <v>14.226689785898861</v>
      </c>
    </row>
    <row r="55" spans="2:53" x14ac:dyDescent="0.35">
      <c r="B55" s="149" t="s">
        <v>37</v>
      </c>
      <c r="C55" s="149" t="s">
        <v>28</v>
      </c>
      <c r="D55" s="16">
        <v>1</v>
      </c>
      <c r="E55" s="25">
        <f>J20</f>
        <v>38.536666666666669</v>
      </c>
      <c r="F55" s="25">
        <f>K20</f>
        <v>39.860000000000007</v>
      </c>
      <c r="G55" s="25">
        <v>1658</v>
      </c>
      <c r="H55" s="17">
        <f>1.5*G55*100/(E55*F55^2)</f>
        <v>4.0618796367816294</v>
      </c>
      <c r="I55" s="175">
        <f>AVERAGE(H55:H56)</f>
        <v>3.9520065662476496</v>
      </c>
      <c r="J55" s="209">
        <f>STDEV(H55:H56)</f>
        <v>0.15538398648873034</v>
      </c>
      <c r="L55" s="64"/>
      <c r="M55" s="64"/>
      <c r="Q55" s="59"/>
      <c r="R55" s="59"/>
      <c r="S55" s="59"/>
      <c r="AW55" s="62" t="s">
        <v>46</v>
      </c>
      <c r="AX55" s="63">
        <f>AX$42</f>
        <v>2.2152964438690801</v>
      </c>
      <c r="AY55" s="63">
        <f t="shared" ref="AY55:BA55" si="11">AY$42</f>
        <v>3.7606891011195374</v>
      </c>
      <c r="AZ55" s="63">
        <f t="shared" si="11"/>
        <v>16.026181774001525</v>
      </c>
      <c r="BA55" s="63">
        <f t="shared" si="11"/>
        <v>12.047866144363789</v>
      </c>
    </row>
    <row r="56" spans="2:53" x14ac:dyDescent="0.35">
      <c r="B56" s="149"/>
      <c r="C56" s="149"/>
      <c r="D56" s="16">
        <v>2</v>
      </c>
      <c r="E56" s="25">
        <f>J21</f>
        <v>38.238333333333337</v>
      </c>
      <c r="F56" s="25">
        <f>K21</f>
        <v>38.396666666666668</v>
      </c>
      <c r="G56" s="25">
        <v>1444</v>
      </c>
      <c r="H56" s="17">
        <f t="shared" ref="H56" si="12">1.5*G56*100/(E56*F56^2)</f>
        <v>3.8421334957136692</v>
      </c>
      <c r="I56" s="175"/>
      <c r="J56" s="209"/>
      <c r="L56" s="64"/>
      <c r="M56" s="64"/>
      <c r="R56" s="64"/>
      <c r="S56" s="64"/>
      <c r="AW56" s="68" t="s">
        <v>48</v>
      </c>
      <c r="AX56" s="11">
        <f>AX$45</f>
        <v>3.9520065662476496</v>
      </c>
      <c r="AY56" s="11">
        <f t="shared" ref="AY56:BA56" si="13">AY$45</f>
        <v>3.4104763823565376</v>
      </c>
      <c r="AZ56" s="11">
        <f t="shared" si="13"/>
        <v>15.319900318734042</v>
      </c>
      <c r="BA56" s="11">
        <f t="shared" si="13"/>
        <v>6.0578893442622954</v>
      </c>
    </row>
    <row r="57" spans="2:53" x14ac:dyDescent="0.35">
      <c r="B57" s="149"/>
      <c r="C57" s="149" t="s">
        <v>29</v>
      </c>
      <c r="D57" s="16">
        <v>3</v>
      </c>
      <c r="E57" s="25">
        <f>K22</f>
        <v>39.04</v>
      </c>
      <c r="F57" s="25">
        <f>J22</f>
        <v>37.271666666666668</v>
      </c>
      <c r="G57" s="25">
        <v>1416</v>
      </c>
      <c r="H57" s="17">
        <f>1.5*G57*100/(E57^2*F57)</f>
        <v>3.7390053021098706</v>
      </c>
      <c r="I57" s="175">
        <f>AVERAGE(H57:H58)</f>
        <v>3.4104763823565376</v>
      </c>
      <c r="J57" s="209">
        <f>STDEV(H57:H58)</f>
        <v>0.46461005394694538</v>
      </c>
      <c r="L57" s="64"/>
      <c r="M57" s="64"/>
      <c r="R57" s="64"/>
      <c r="S57" s="64"/>
      <c r="AW57" s="70" t="s">
        <v>49</v>
      </c>
      <c r="AX57" s="71">
        <f>AX$47</f>
        <v>4.1770831125127614</v>
      </c>
      <c r="AY57" s="71">
        <f t="shared" ref="AY57:BA57" si="14">AY$47</f>
        <v>6.0100694276922475</v>
      </c>
      <c r="AZ57" s="71">
        <f t="shared" si="14"/>
        <v>10.82671633383136</v>
      </c>
      <c r="BA57" s="71">
        <f t="shared" si="14"/>
        <v>8.3347694157397143</v>
      </c>
    </row>
    <row r="58" spans="2:53" x14ac:dyDescent="0.35">
      <c r="B58" s="149"/>
      <c r="C58" s="149"/>
      <c r="D58" s="16">
        <v>4</v>
      </c>
      <c r="E58" s="25">
        <f>K23</f>
        <v>39.089999999999996</v>
      </c>
      <c r="F58" s="25">
        <f>J23</f>
        <v>36.693333333333328</v>
      </c>
      <c r="G58" s="25">
        <v>1152</v>
      </c>
      <c r="H58" s="17">
        <f t="shared" ref="H58" si="15">1.5*G58*100/(E58^2*F58)</f>
        <v>3.0819474626032051</v>
      </c>
      <c r="I58" s="175"/>
      <c r="J58" s="209"/>
      <c r="AM58" s="67"/>
      <c r="AV58" s="67"/>
      <c r="AW58" s="62" t="s">
        <v>35</v>
      </c>
      <c r="AX58" s="63">
        <f>AX$43</f>
        <v>1.4498151361928862</v>
      </c>
      <c r="AY58" s="63">
        <f t="shared" ref="AY58:BA58" si="16">AY$43</f>
        <v>1.8784672830708931</v>
      </c>
      <c r="AZ58" s="63">
        <f t="shared" si="16"/>
        <v>10.600128440031341</v>
      </c>
      <c r="BA58" s="63">
        <f t="shared" si="16"/>
        <v>6.2592532249491803</v>
      </c>
    </row>
    <row r="59" spans="2:53" x14ac:dyDescent="0.35">
      <c r="B59" s="152" t="s">
        <v>38</v>
      </c>
      <c r="C59" s="152" t="s">
        <v>28</v>
      </c>
      <c r="D59" s="18">
        <v>1</v>
      </c>
      <c r="E59" s="26">
        <f>J24</f>
        <v>36.32</v>
      </c>
      <c r="F59" s="26">
        <f>K24</f>
        <v>39.61333333333333</v>
      </c>
      <c r="G59" s="26">
        <v>856</v>
      </c>
      <c r="H59" s="20">
        <f>1.5*G59*100/(E59*F59^2)</f>
        <v>2.2528714276673338</v>
      </c>
      <c r="I59" s="173">
        <f>AVERAGE(H59:H60)</f>
        <v>2.1833487369542768</v>
      </c>
      <c r="J59" s="209">
        <f>STDEV(H59:H60)</f>
        <v>9.8319932099075621E-2</v>
      </c>
      <c r="AW59" s="68" t="s">
        <v>38</v>
      </c>
      <c r="AX59" s="11">
        <f>AX$46</f>
        <v>2.1833487369542768</v>
      </c>
      <c r="AY59" s="11">
        <f t="shared" ref="AY59:BA59" si="17">AY$46</f>
        <v>2.9887323346131272</v>
      </c>
      <c r="AZ59" s="11">
        <f t="shared" si="17"/>
        <v>8.5042587691392963</v>
      </c>
      <c r="BA59" s="11">
        <f t="shared" si="17"/>
        <v>6.964046362633681</v>
      </c>
    </row>
    <row r="60" spans="2:53" x14ac:dyDescent="0.35">
      <c r="B60" s="152"/>
      <c r="C60" s="152"/>
      <c r="D60" s="18">
        <v>2</v>
      </c>
      <c r="E60" s="26">
        <f>J25</f>
        <v>38.231666666666669</v>
      </c>
      <c r="F60" s="26">
        <f>K25</f>
        <v>39.766666666666666</v>
      </c>
      <c r="G60" s="26">
        <v>852</v>
      </c>
      <c r="H60" s="20">
        <f t="shared" ref="H60" si="18">1.5*G60*100/(E60*F60^2)</f>
        <v>2.1138260462412193</v>
      </c>
      <c r="I60" s="173"/>
      <c r="J60" s="209"/>
      <c r="L60" s="166"/>
      <c r="M60" s="166"/>
      <c r="N60" s="166"/>
      <c r="O60" s="166"/>
      <c r="P60" s="166"/>
      <c r="Q60" s="166"/>
      <c r="AT60" s="9"/>
      <c r="AU60" s="65"/>
      <c r="AW60" s="70" t="s">
        <v>40</v>
      </c>
      <c r="AX60" s="71">
        <f>AX$48</f>
        <v>2.4145419495721527</v>
      </c>
      <c r="AY60" s="71">
        <f t="shared" ref="AY60:BA60" si="19">AY$48</f>
        <v>4.7301396331983963</v>
      </c>
      <c r="AZ60" s="71">
        <f t="shared" si="19"/>
        <v>8.128298995402691</v>
      </c>
      <c r="BA60" s="71">
        <f t="shared" si="19"/>
        <v>7.8767266638760995</v>
      </c>
    </row>
    <row r="61" spans="2:53" x14ac:dyDescent="0.35">
      <c r="B61" s="152"/>
      <c r="C61" s="152" t="s">
        <v>29</v>
      </c>
      <c r="D61" s="18">
        <v>3</v>
      </c>
      <c r="E61" s="26">
        <f>K26</f>
        <v>39.466666666666669</v>
      </c>
      <c r="F61" s="26">
        <f>J26</f>
        <v>36.19166666666667</v>
      </c>
      <c r="G61" s="26">
        <v>1137</v>
      </c>
      <c r="H61" s="20">
        <f>1.5*G61*100/(E61^2*F61)</f>
        <v>3.0253961165520455</v>
      </c>
      <c r="I61" s="173">
        <f>AVERAGE(H61:H62)</f>
        <v>2.9887323346131272</v>
      </c>
      <c r="J61" s="209">
        <f>STDEV(H61:H62)</f>
        <v>5.1850417665908123E-2</v>
      </c>
      <c r="K61" s="59"/>
      <c r="L61" s="59"/>
      <c r="M61" s="59"/>
      <c r="N61" s="59"/>
      <c r="O61" s="59"/>
      <c r="P61" s="59"/>
      <c r="Q61" s="59"/>
      <c r="AT61" s="9"/>
      <c r="AU61" s="65"/>
    </row>
    <row r="62" spans="2:53" x14ac:dyDescent="0.35">
      <c r="B62" s="152"/>
      <c r="C62" s="152"/>
      <c r="D62" s="18">
        <v>4</v>
      </c>
      <c r="E62" s="26">
        <f>K27</f>
        <v>39.196666666666665</v>
      </c>
      <c r="F62" s="26">
        <f>J27</f>
        <v>38.033333333333331</v>
      </c>
      <c r="G62" s="26">
        <v>1150</v>
      </c>
      <c r="H62" s="20">
        <f t="shared" ref="H62" si="20">1.5*G62*100/(E62^2*F62)</f>
        <v>2.9520685526742088</v>
      </c>
      <c r="I62" s="173"/>
      <c r="J62" s="209"/>
      <c r="L62" s="64"/>
      <c r="M62" s="64"/>
      <c r="N62" s="64"/>
      <c r="O62" s="64"/>
      <c r="P62" s="64"/>
      <c r="Q62" s="64"/>
    </row>
    <row r="63" spans="2:53" x14ac:dyDescent="0.35">
      <c r="B63" s="163" t="s">
        <v>39</v>
      </c>
      <c r="C63" s="163" t="s">
        <v>28</v>
      </c>
      <c r="D63" s="22">
        <v>1</v>
      </c>
      <c r="E63" s="24">
        <f>J28</f>
        <v>39.094999999999999</v>
      </c>
      <c r="F63" s="24">
        <f>K28</f>
        <v>40.04</v>
      </c>
      <c r="G63" s="24">
        <v>1728</v>
      </c>
      <c r="H63" s="71">
        <f>1.5*G63*100/(E63*F63^2)</f>
        <v>4.1354773079117289</v>
      </c>
      <c r="I63" s="174">
        <f>AVERAGE(H63:H64)</f>
        <v>4.1770831125127614</v>
      </c>
      <c r="J63" s="209">
        <f>STDEV(H63:H64)</f>
        <v>5.8839493140224561E-2</v>
      </c>
      <c r="L63" s="64"/>
      <c r="M63" s="64"/>
      <c r="N63" s="64"/>
      <c r="O63" s="64"/>
      <c r="P63" s="64"/>
      <c r="Q63" s="64"/>
    </row>
    <row r="64" spans="2:53" x14ac:dyDescent="0.35">
      <c r="B64" s="163"/>
      <c r="C64" s="163"/>
      <c r="D64" s="22">
        <v>2</v>
      </c>
      <c r="E64" s="24">
        <f>J29</f>
        <v>40.414999999999999</v>
      </c>
      <c r="F64" s="24">
        <f>K29</f>
        <v>39.783333333333331</v>
      </c>
      <c r="G64" s="24">
        <v>1799</v>
      </c>
      <c r="H64" s="71">
        <f t="shared" ref="H64" si="21">1.5*G64*100/(E64*F64^2)</f>
        <v>4.2186889171137931</v>
      </c>
      <c r="I64" s="174"/>
      <c r="J64" s="209"/>
      <c r="N64" s="64"/>
      <c r="O64" s="64"/>
      <c r="P64" s="64"/>
      <c r="Q64" s="64"/>
    </row>
    <row r="65" spans="2:53" x14ac:dyDescent="0.35">
      <c r="B65" s="163"/>
      <c r="C65" s="163" t="s">
        <v>29</v>
      </c>
      <c r="D65" s="22">
        <v>3</v>
      </c>
      <c r="E65" s="24">
        <f>K30</f>
        <v>39.866666666666667</v>
      </c>
      <c r="F65" s="24">
        <f>J30</f>
        <v>39.971666666666664</v>
      </c>
      <c r="G65" s="24">
        <v>2653</v>
      </c>
      <c r="H65" s="71">
        <f>1.5*G65*100/(E65^2*F65)</f>
        <v>6.2640671131977363</v>
      </c>
      <c r="I65" s="174">
        <f>AVERAGE(H65:H66)</f>
        <v>6.0100694276922475</v>
      </c>
      <c r="J65" s="209">
        <f>STDEV(H65:H66)</f>
        <v>0.35920697165323784</v>
      </c>
    </row>
    <row r="66" spans="2:53" x14ac:dyDescent="0.35">
      <c r="B66" s="163"/>
      <c r="C66" s="163"/>
      <c r="D66" s="22">
        <v>4</v>
      </c>
      <c r="E66" s="24">
        <f>K31</f>
        <v>39.356666666666662</v>
      </c>
      <c r="F66" s="24">
        <f>J31</f>
        <v>38.325000000000003</v>
      </c>
      <c r="G66" s="24">
        <v>2278</v>
      </c>
      <c r="H66" s="71">
        <f t="shared" ref="H66" si="22">1.5*G66*100/(E66^2*F66)</f>
        <v>5.7560717421867595</v>
      </c>
      <c r="I66" s="174"/>
      <c r="J66" s="209"/>
    </row>
    <row r="67" spans="2:53" x14ac:dyDescent="0.35">
      <c r="B67" s="161" t="s">
        <v>40</v>
      </c>
      <c r="C67" s="54" t="s">
        <v>28</v>
      </c>
      <c r="D67" s="77">
        <v>1</v>
      </c>
      <c r="E67" s="78">
        <f>J32</f>
        <v>39.153333333333329</v>
      </c>
      <c r="F67" s="78">
        <f>K32</f>
        <v>39.75333333333333</v>
      </c>
      <c r="G67" s="78">
        <v>996</v>
      </c>
      <c r="H67" s="79">
        <f>1.5*G67*100/(E67*F67^2)</f>
        <v>2.4145419495721527</v>
      </c>
      <c r="I67" s="80">
        <f>AVERAGE(H67:H67)</f>
        <v>2.4145419495721527</v>
      </c>
      <c r="J67" s="89"/>
      <c r="L67" s="166"/>
      <c r="M67" s="166"/>
      <c r="N67" s="166"/>
      <c r="O67" s="166"/>
      <c r="P67" s="166"/>
      <c r="Q67" s="166"/>
    </row>
    <row r="68" spans="2:53" x14ac:dyDescent="0.35">
      <c r="B68" s="161"/>
      <c r="C68" s="54" t="s">
        <v>29</v>
      </c>
      <c r="D68" s="77">
        <v>2</v>
      </c>
      <c r="E68" s="78">
        <f>K33</f>
        <v>39.816666666666663</v>
      </c>
      <c r="F68" s="78">
        <f>J33</f>
        <v>37.765000000000001</v>
      </c>
      <c r="G68" s="78">
        <v>1888</v>
      </c>
      <c r="H68" s="79">
        <f>1.5*G68*100/(E68^2*F68)</f>
        <v>4.7301396331983963</v>
      </c>
      <c r="I68" s="80">
        <f>AVERAGE(H68:H68)</f>
        <v>4.7301396331983963</v>
      </c>
      <c r="J68" s="89"/>
      <c r="K68" s="59"/>
      <c r="L68" s="59"/>
      <c r="M68" s="59"/>
      <c r="N68" s="59"/>
      <c r="O68" s="59"/>
      <c r="P68" s="59"/>
      <c r="Q68" s="59"/>
    </row>
    <row r="69" spans="2:53" x14ac:dyDescent="0.35">
      <c r="L69" s="64"/>
      <c r="M69" s="64"/>
      <c r="N69" s="64"/>
      <c r="O69" s="64"/>
    </row>
    <row r="70" spans="2:53" x14ac:dyDescent="0.35">
      <c r="L70" s="64"/>
      <c r="M70" s="64"/>
      <c r="N70" s="64"/>
      <c r="O70" s="64"/>
      <c r="P70" s="64"/>
      <c r="Q70" s="64"/>
    </row>
    <row r="71" spans="2:53" x14ac:dyDescent="0.35">
      <c r="B71" s="172" t="s">
        <v>50</v>
      </c>
      <c r="C71" s="172"/>
      <c r="D71" s="172"/>
      <c r="E71" s="172"/>
      <c r="F71" s="172"/>
      <c r="G71" s="172"/>
      <c r="H71" s="172"/>
      <c r="I71" s="172"/>
      <c r="L71" s="64"/>
      <c r="M71" s="64"/>
      <c r="N71" s="64"/>
      <c r="O71" s="64"/>
      <c r="P71" s="64"/>
      <c r="Q71" s="64"/>
    </row>
    <row r="72" spans="2:53" ht="58" x14ac:dyDescent="0.35">
      <c r="B72" s="29" t="s">
        <v>6</v>
      </c>
      <c r="C72" s="29" t="s">
        <v>19</v>
      </c>
      <c r="D72" s="29" t="s">
        <v>24</v>
      </c>
      <c r="E72" s="29" t="s">
        <v>25</v>
      </c>
      <c r="F72" s="29" t="s">
        <v>26</v>
      </c>
      <c r="G72" s="30" t="s">
        <v>51</v>
      </c>
      <c r="H72" s="30" t="s">
        <v>52</v>
      </c>
      <c r="I72" s="81" t="s">
        <v>142</v>
      </c>
      <c r="J72" s="30" t="s">
        <v>53</v>
      </c>
    </row>
    <row r="73" spans="2:53" x14ac:dyDescent="0.35">
      <c r="B73" s="151" t="s">
        <v>33</v>
      </c>
      <c r="C73" s="151" t="s">
        <v>28</v>
      </c>
      <c r="D73" s="82">
        <v>1</v>
      </c>
      <c r="E73" s="8">
        <f>J4</f>
        <v>40.28</v>
      </c>
      <c r="F73" s="82">
        <v>40</v>
      </c>
      <c r="G73" s="82">
        <v>35820</v>
      </c>
      <c r="H73" s="58">
        <f>G73/(F73*E73)</f>
        <v>22.231876861966235</v>
      </c>
      <c r="I73" s="169">
        <f>AVERAGE(H73:H75)</f>
        <v>21.177486368109193</v>
      </c>
      <c r="J73" s="210">
        <f>STDEV(H73:H75)</f>
        <v>0.91453749463518064</v>
      </c>
      <c r="AM73" s="67"/>
    </row>
    <row r="74" spans="2:53" x14ac:dyDescent="0.35">
      <c r="B74" s="151"/>
      <c r="C74" s="151"/>
      <c r="D74" s="82">
        <v>2</v>
      </c>
      <c r="E74" s="8">
        <f>J4</f>
        <v>40.28</v>
      </c>
      <c r="F74" s="82">
        <v>40</v>
      </c>
      <c r="G74" s="82">
        <v>33190</v>
      </c>
      <c r="H74" s="58">
        <f t="shared" ref="H74:H126" si="23">G74/(F74*E74)</f>
        <v>20.599553128103278</v>
      </c>
      <c r="I74" s="169"/>
      <c r="J74" s="210"/>
    </row>
    <row r="75" spans="2:53" x14ac:dyDescent="0.35">
      <c r="B75" s="151"/>
      <c r="C75" s="151"/>
      <c r="D75" s="82">
        <v>3</v>
      </c>
      <c r="E75" s="8">
        <f>J5</f>
        <v>37.896666666666668</v>
      </c>
      <c r="F75" s="82">
        <v>40</v>
      </c>
      <c r="G75" s="82">
        <v>31380</v>
      </c>
      <c r="H75" s="58">
        <f t="shared" si="23"/>
        <v>20.70102911425807</v>
      </c>
      <c r="I75" s="169"/>
      <c r="J75" s="210"/>
    </row>
    <row r="76" spans="2:53" x14ac:dyDescent="0.35">
      <c r="B76" s="151"/>
      <c r="C76" s="151" t="s">
        <v>29</v>
      </c>
      <c r="D76" s="82">
        <v>1</v>
      </c>
      <c r="E76" s="83">
        <f>K6</f>
        <v>39.823333333333331</v>
      </c>
      <c r="F76" s="82">
        <v>40</v>
      </c>
      <c r="G76" s="82">
        <v>37110</v>
      </c>
      <c r="H76" s="58">
        <f t="shared" si="23"/>
        <v>23.29664350883067</v>
      </c>
      <c r="I76" s="169">
        <f>AVERAGE(H76:H78)</f>
        <v>19.335782833025011</v>
      </c>
      <c r="J76" s="210">
        <f>STDEV(H76:H77)</f>
        <v>1.2961947357483383</v>
      </c>
      <c r="AD76" s="67"/>
      <c r="BA76" s="67"/>
    </row>
    <row r="77" spans="2:53" x14ac:dyDescent="0.35">
      <c r="B77" s="151"/>
      <c r="C77" s="151"/>
      <c r="D77" s="82">
        <v>2</v>
      </c>
      <c r="E77" s="83">
        <f>K6</f>
        <v>39.823333333333331</v>
      </c>
      <c r="F77" s="82">
        <v>40</v>
      </c>
      <c r="G77" s="82">
        <v>40030</v>
      </c>
      <c r="H77" s="58">
        <f t="shared" si="23"/>
        <v>25.12973968360258</v>
      </c>
      <c r="I77" s="169"/>
      <c r="J77" s="210"/>
    </row>
    <row r="78" spans="2:53" x14ac:dyDescent="0.35">
      <c r="B78" s="151"/>
      <c r="C78" s="151"/>
      <c r="D78" s="82">
        <v>3</v>
      </c>
      <c r="E78" s="83">
        <f>K7</f>
        <v>39.29666666666666</v>
      </c>
      <c r="F78" s="82">
        <v>40</v>
      </c>
      <c r="G78" s="82">
        <v>15060</v>
      </c>
      <c r="H78" s="58">
        <f t="shared" si="23"/>
        <v>9.5809653066417866</v>
      </c>
      <c r="I78" s="169"/>
      <c r="J78" s="210"/>
    </row>
    <row r="79" spans="2:53" x14ac:dyDescent="0.35">
      <c r="B79" s="170" t="s">
        <v>34</v>
      </c>
      <c r="C79" s="170" t="s">
        <v>28</v>
      </c>
      <c r="D79" s="37">
        <v>1</v>
      </c>
      <c r="E79" s="36">
        <f>J8</f>
        <v>37.663333333333334</v>
      </c>
      <c r="F79" s="37">
        <v>40</v>
      </c>
      <c r="G79" s="37">
        <v>22410</v>
      </c>
      <c r="H79" s="66">
        <f t="shared" si="23"/>
        <v>14.87521019559253</v>
      </c>
      <c r="I79" s="171">
        <f>AVERAGE(H79:H81)</f>
        <v>16.026181774001525</v>
      </c>
      <c r="J79" s="210">
        <f>STDEV(H79:H81)</f>
        <v>2.8936138958430075</v>
      </c>
    </row>
    <row r="80" spans="2:53" x14ac:dyDescent="0.35">
      <c r="B80" s="170"/>
      <c r="C80" s="170"/>
      <c r="D80" s="37">
        <v>2</v>
      </c>
      <c r="E80" s="36">
        <f>J9</f>
        <v>37.18</v>
      </c>
      <c r="F80" s="37">
        <v>40</v>
      </c>
      <c r="G80" s="37">
        <v>28730</v>
      </c>
      <c r="H80" s="66">
        <f t="shared" si="23"/>
        <v>19.318181818181817</v>
      </c>
      <c r="I80" s="171"/>
      <c r="J80" s="210"/>
    </row>
    <row r="81" spans="2:50" x14ac:dyDescent="0.35">
      <c r="B81" s="170"/>
      <c r="C81" s="170"/>
      <c r="D81" s="37">
        <v>3</v>
      </c>
      <c r="E81" s="36">
        <f>J9</f>
        <v>37.18</v>
      </c>
      <c r="F81" s="37">
        <v>40</v>
      </c>
      <c r="G81" s="37">
        <v>20650</v>
      </c>
      <c r="H81" s="66">
        <f t="shared" si="23"/>
        <v>13.885153308230231</v>
      </c>
      <c r="I81" s="171"/>
      <c r="J81" s="210"/>
    </row>
    <row r="82" spans="2:50" x14ac:dyDescent="0.35">
      <c r="B82" s="170"/>
      <c r="C82" s="170" t="s">
        <v>29</v>
      </c>
      <c r="D82" s="37">
        <v>1</v>
      </c>
      <c r="E82" s="39">
        <f>K10</f>
        <v>39.656666666666666</v>
      </c>
      <c r="F82" s="37">
        <v>40</v>
      </c>
      <c r="G82" s="37">
        <v>25030</v>
      </c>
      <c r="H82" s="66">
        <f t="shared" si="23"/>
        <v>15.779188030595948</v>
      </c>
      <c r="I82" s="171">
        <f>AVERAGE(H82:H85)</f>
        <v>12.047866144363789</v>
      </c>
      <c r="J82" s="210">
        <f>STDEV(H82:H85)</f>
        <v>2.5939564745373076</v>
      </c>
    </row>
    <row r="83" spans="2:50" x14ac:dyDescent="0.35">
      <c r="B83" s="170"/>
      <c r="C83" s="170"/>
      <c r="D83" s="37">
        <v>2</v>
      </c>
      <c r="E83" s="39">
        <f>K10</f>
        <v>39.656666666666666</v>
      </c>
      <c r="F83" s="37">
        <v>40</v>
      </c>
      <c r="G83" s="37">
        <v>17180</v>
      </c>
      <c r="H83" s="66">
        <f t="shared" si="23"/>
        <v>10.830461460872488</v>
      </c>
      <c r="I83" s="171"/>
      <c r="J83" s="210"/>
    </row>
    <row r="84" spans="2:50" x14ac:dyDescent="0.35">
      <c r="B84" s="170"/>
      <c r="C84" s="170"/>
      <c r="D84" s="37">
        <v>3</v>
      </c>
      <c r="E84" s="39">
        <f>K11</f>
        <v>39.153333333333336</v>
      </c>
      <c r="F84" s="37">
        <v>40</v>
      </c>
      <c r="G84" s="37">
        <v>18310</v>
      </c>
      <c r="H84" s="66">
        <f t="shared" si="23"/>
        <v>11.691214030308188</v>
      </c>
      <c r="I84" s="171"/>
      <c r="J84" s="210"/>
    </row>
    <row r="85" spans="2:50" x14ac:dyDescent="0.35">
      <c r="B85" s="170"/>
      <c r="C85" s="170"/>
      <c r="D85" s="37">
        <v>4</v>
      </c>
      <c r="E85" s="39">
        <f>K11</f>
        <v>39.153333333333336</v>
      </c>
      <c r="F85" s="37">
        <v>40</v>
      </c>
      <c r="G85" s="37">
        <v>15490</v>
      </c>
      <c r="H85" s="66">
        <f t="shared" si="23"/>
        <v>9.8906010556785287</v>
      </c>
      <c r="I85" s="171"/>
      <c r="J85" s="210"/>
    </row>
    <row r="86" spans="2:50" x14ac:dyDescent="0.35">
      <c r="B86" s="153" t="s">
        <v>35</v>
      </c>
      <c r="C86" s="153" t="s">
        <v>28</v>
      </c>
      <c r="D86" s="40">
        <v>1</v>
      </c>
      <c r="E86" s="42">
        <f>J12</f>
        <v>35.301666666666669</v>
      </c>
      <c r="F86" s="40">
        <v>40</v>
      </c>
      <c r="G86" s="40">
        <v>13240</v>
      </c>
      <c r="H86" s="69">
        <f t="shared" si="23"/>
        <v>9.3763278409895658</v>
      </c>
      <c r="I86" s="168">
        <f t="shared" ref="I86" si="24">AVERAGE(H86:H89)</f>
        <v>10.600128440031341</v>
      </c>
      <c r="J86" s="209">
        <v>1.361813170579282</v>
      </c>
    </row>
    <row r="87" spans="2:50" x14ac:dyDescent="0.35">
      <c r="B87" s="153"/>
      <c r="C87" s="153"/>
      <c r="D87" s="40">
        <v>2</v>
      </c>
      <c r="E87" s="42">
        <f>J12</f>
        <v>35.301666666666669</v>
      </c>
      <c r="F87" s="40">
        <v>40</v>
      </c>
      <c r="G87" s="40">
        <v>13560</v>
      </c>
      <c r="H87" s="69">
        <f t="shared" si="23"/>
        <v>9.6029460365421837</v>
      </c>
      <c r="I87" s="168"/>
      <c r="J87" s="209"/>
    </row>
    <row r="88" spans="2:50" x14ac:dyDescent="0.35">
      <c r="B88" s="153"/>
      <c r="C88" s="153"/>
      <c r="D88" s="40">
        <v>3</v>
      </c>
      <c r="E88" s="42">
        <f>J13</f>
        <v>37.476666666666667</v>
      </c>
      <c r="F88" s="40">
        <v>40</v>
      </c>
      <c r="G88" s="40">
        <v>14300</v>
      </c>
      <c r="H88" s="69">
        <f t="shared" si="23"/>
        <v>9.5392688784132353</v>
      </c>
      <c r="I88" s="168"/>
      <c r="J88" s="209"/>
    </row>
    <row r="89" spans="2:50" x14ac:dyDescent="0.35">
      <c r="B89" s="153"/>
      <c r="C89" s="153"/>
      <c r="D89" s="40">
        <v>4</v>
      </c>
      <c r="E89" s="42">
        <f>J13</f>
        <v>37.476666666666667</v>
      </c>
      <c r="F89" s="40">
        <v>40</v>
      </c>
      <c r="G89" s="40">
        <v>20810</v>
      </c>
      <c r="H89" s="69">
        <f t="shared" si="23"/>
        <v>13.881971004180379</v>
      </c>
      <c r="I89" s="168"/>
      <c r="J89" s="209"/>
    </row>
    <row r="90" spans="2:50" x14ac:dyDescent="0.35">
      <c r="B90" s="153"/>
      <c r="C90" s="153" t="s">
        <v>29</v>
      </c>
      <c r="D90" s="40">
        <v>1</v>
      </c>
      <c r="E90" s="42">
        <f>K14</f>
        <v>39.473333333333336</v>
      </c>
      <c r="F90" s="40">
        <v>40</v>
      </c>
      <c r="G90" s="40">
        <v>13710</v>
      </c>
      <c r="H90" s="69">
        <f t="shared" si="23"/>
        <v>8.683077182908292</v>
      </c>
      <c r="I90" s="168">
        <f>AVERAGE(H90:H93)</f>
        <v>6.2592532249491803</v>
      </c>
      <c r="J90" s="209">
        <v>1.361813170579282</v>
      </c>
      <c r="AF90" s="166"/>
      <c r="AG90" s="166"/>
      <c r="AH90" s="166"/>
      <c r="AI90" s="166"/>
      <c r="AJ90" s="166"/>
      <c r="AK90" s="166"/>
    </row>
    <row r="91" spans="2:50" x14ac:dyDescent="0.35">
      <c r="B91" s="153"/>
      <c r="C91" s="153"/>
      <c r="D91" s="40">
        <v>2</v>
      </c>
      <c r="E91" s="42">
        <f>K14</f>
        <v>39.473333333333336</v>
      </c>
      <c r="F91" s="40">
        <v>40</v>
      </c>
      <c r="G91" s="40">
        <v>13800</v>
      </c>
      <c r="H91" s="69">
        <f t="shared" si="23"/>
        <v>8.7400776895794632</v>
      </c>
      <c r="I91" s="168"/>
      <c r="J91" s="209"/>
      <c r="AE91" s="59"/>
      <c r="AF91" s="59"/>
      <c r="AG91" s="59"/>
      <c r="AH91" s="59"/>
      <c r="AI91" s="59"/>
      <c r="AJ91" s="59"/>
      <c r="AK91" s="59"/>
    </row>
    <row r="92" spans="2:50" x14ac:dyDescent="0.35">
      <c r="B92" s="153"/>
      <c r="C92" s="153"/>
      <c r="D92" s="40">
        <v>3</v>
      </c>
      <c r="E92" s="42">
        <f>K15</f>
        <v>39.303333333333335</v>
      </c>
      <c r="F92" s="40">
        <v>40</v>
      </c>
      <c r="G92" s="40">
        <v>11970</v>
      </c>
      <c r="H92" s="69">
        <f t="shared" si="23"/>
        <v>7.6138580273089635</v>
      </c>
      <c r="I92" s="168"/>
      <c r="J92" s="209"/>
      <c r="L92" s="166"/>
      <c r="M92" s="166"/>
      <c r="N92" s="166"/>
      <c r="O92" s="166"/>
      <c r="P92" s="166"/>
      <c r="Q92" s="166"/>
      <c r="AF92" s="64"/>
      <c r="AG92" s="64"/>
      <c r="AH92" s="64"/>
      <c r="AI92" s="64"/>
      <c r="AJ92" s="64"/>
      <c r="AK92" s="64"/>
      <c r="AV92" s="67"/>
    </row>
    <row r="93" spans="2:50" x14ac:dyDescent="0.35">
      <c r="B93" s="153"/>
      <c r="C93" s="153"/>
      <c r="D93" s="40">
        <v>4</v>
      </c>
      <c r="E93" s="42">
        <f>K15</f>
        <v>39.303333333333335</v>
      </c>
      <c r="F93" s="40">
        <v>40</v>
      </c>
      <c r="G93" s="40"/>
      <c r="H93" s="69">
        <f t="shared" si="23"/>
        <v>0</v>
      </c>
      <c r="I93" s="168"/>
      <c r="J93" s="209"/>
      <c r="K93" s="59"/>
      <c r="L93" s="59"/>
      <c r="M93" s="59"/>
      <c r="N93" s="59"/>
      <c r="O93" s="59"/>
      <c r="P93" s="59"/>
      <c r="Q93" s="59"/>
      <c r="AF93" s="64"/>
      <c r="AG93" s="64"/>
      <c r="AH93" s="64"/>
      <c r="AI93" s="64"/>
      <c r="AJ93" s="64"/>
      <c r="AK93" s="64"/>
    </row>
    <row r="94" spans="2:50" x14ac:dyDescent="0.35">
      <c r="B94" s="154" t="s">
        <v>36</v>
      </c>
      <c r="C94" s="154" t="s">
        <v>28</v>
      </c>
      <c r="D94" s="15">
        <v>1</v>
      </c>
      <c r="E94" s="44">
        <f>J16</f>
        <v>39.18666666666666</v>
      </c>
      <c r="F94" s="15">
        <v>40</v>
      </c>
      <c r="G94" s="15">
        <v>35930</v>
      </c>
      <c r="H94" s="73">
        <f t="shared" si="23"/>
        <v>22.922337529772033</v>
      </c>
      <c r="I94" s="167">
        <f>AVERAGE(H94:H96)</f>
        <v>22.900667311577276</v>
      </c>
      <c r="J94" s="210">
        <f>STDEV(H94:H96)</f>
        <v>1.2946126712744892</v>
      </c>
      <c r="L94" s="64"/>
      <c r="M94" s="64"/>
      <c r="N94" s="64"/>
      <c r="O94" s="64"/>
      <c r="P94" s="64"/>
      <c r="Q94" s="64"/>
      <c r="AF94" s="64"/>
      <c r="AG94" s="64"/>
      <c r="AH94" s="64"/>
      <c r="AI94" s="64"/>
      <c r="AJ94" s="64"/>
      <c r="AK94" s="64"/>
    </row>
    <row r="95" spans="2:50" x14ac:dyDescent="0.35">
      <c r="B95" s="154"/>
      <c r="C95" s="154"/>
      <c r="D95" s="15">
        <v>2</v>
      </c>
      <c r="E95" s="44">
        <f>J16</f>
        <v>39.18666666666666</v>
      </c>
      <c r="F95" s="15">
        <v>40</v>
      </c>
      <c r="G95" s="15">
        <v>33850</v>
      </c>
      <c r="H95" s="73">
        <f t="shared" si="23"/>
        <v>21.595355563116708</v>
      </c>
      <c r="I95" s="167"/>
      <c r="J95" s="210"/>
      <c r="L95" s="64"/>
      <c r="M95" s="64"/>
      <c r="N95" s="64"/>
      <c r="O95" s="64"/>
      <c r="P95" s="64"/>
      <c r="Q95" s="64"/>
      <c r="AW95" t="s">
        <v>45</v>
      </c>
      <c r="AX95" s="64">
        <f>143.96/10.76</f>
        <v>13.37918215613383</v>
      </c>
    </row>
    <row r="96" spans="2:50" x14ac:dyDescent="0.35">
      <c r="B96" s="154"/>
      <c r="C96" s="154"/>
      <c r="D96" s="15">
        <v>3</v>
      </c>
      <c r="E96" s="44">
        <f>J17</f>
        <v>40.150000000000006</v>
      </c>
      <c r="F96" s="15">
        <v>40</v>
      </c>
      <c r="G96" s="15">
        <v>38840</v>
      </c>
      <c r="H96" s="73">
        <f t="shared" si="23"/>
        <v>24.184308841843084</v>
      </c>
      <c r="I96" s="167"/>
      <c r="J96" s="210"/>
      <c r="N96" s="64"/>
      <c r="O96" s="64"/>
      <c r="P96" s="64"/>
      <c r="Q96" s="64"/>
      <c r="AW96" t="s">
        <v>47</v>
      </c>
      <c r="AX96" s="64">
        <f>105.77/4.6523</f>
        <v>22.734991294628461</v>
      </c>
    </row>
    <row r="97" spans="2:50" x14ac:dyDescent="0.35">
      <c r="B97" s="154"/>
      <c r="C97" s="154" t="s">
        <v>29</v>
      </c>
      <c r="D97" s="15">
        <v>1</v>
      </c>
      <c r="E97" s="44">
        <f>K18</f>
        <v>40.166666666666664</v>
      </c>
      <c r="F97" s="15">
        <v>40</v>
      </c>
      <c r="G97" s="15">
        <v>20340</v>
      </c>
      <c r="H97" s="73">
        <f t="shared" si="23"/>
        <v>12.6597510373444</v>
      </c>
      <c r="I97" s="167">
        <f>AVERAGE(H97:H99)</f>
        <v>14.226689785898861</v>
      </c>
      <c r="J97" s="210">
        <f>STDEV(H97:H99)</f>
        <v>1.361813170579282</v>
      </c>
      <c r="AF97" s="166"/>
      <c r="AG97" s="166"/>
      <c r="AH97" s="166"/>
      <c r="AI97" s="166"/>
      <c r="AJ97" s="166"/>
      <c r="AK97" s="166"/>
    </row>
    <row r="98" spans="2:50" x14ac:dyDescent="0.35">
      <c r="B98" s="154"/>
      <c r="C98" s="154"/>
      <c r="D98" s="15">
        <v>2</v>
      </c>
      <c r="E98" s="44">
        <f>K19</f>
        <v>39.373333333333335</v>
      </c>
      <c r="F98" s="15">
        <v>40</v>
      </c>
      <c r="G98" s="15">
        <v>23460</v>
      </c>
      <c r="H98" s="73">
        <f t="shared" si="23"/>
        <v>14.895868608195055</v>
      </c>
      <c r="I98" s="167"/>
      <c r="J98" s="210"/>
      <c r="AE98" s="59"/>
      <c r="AF98" s="59"/>
      <c r="AG98" s="59"/>
      <c r="AH98" s="59"/>
      <c r="AI98" s="59"/>
      <c r="AJ98" s="59"/>
      <c r="AK98" s="59"/>
    </row>
    <row r="99" spans="2:50" x14ac:dyDescent="0.35">
      <c r="B99" s="154"/>
      <c r="C99" s="154"/>
      <c r="D99" s="15">
        <v>3</v>
      </c>
      <c r="E99" s="44">
        <f>K19</f>
        <v>39.373333333333335</v>
      </c>
      <c r="F99" s="15">
        <v>40</v>
      </c>
      <c r="G99" s="15">
        <v>23820</v>
      </c>
      <c r="H99" s="73">
        <f t="shared" si="23"/>
        <v>15.124449712157128</v>
      </c>
      <c r="I99" s="167"/>
      <c r="J99" s="210"/>
      <c r="L99" s="166"/>
      <c r="M99" s="166"/>
      <c r="N99" s="166"/>
      <c r="O99" s="166"/>
      <c r="P99" s="166"/>
      <c r="Q99" s="166"/>
      <c r="AF99" s="64"/>
      <c r="AG99" s="64"/>
      <c r="AH99" s="64"/>
      <c r="AI99" s="64"/>
      <c r="AJ99" s="64"/>
      <c r="AK99" s="64"/>
    </row>
    <row r="100" spans="2:50" x14ac:dyDescent="0.35">
      <c r="B100" s="149" t="s">
        <v>37</v>
      </c>
      <c r="C100" s="149"/>
      <c r="D100" s="45">
        <v>1</v>
      </c>
      <c r="E100" s="47">
        <f>J20</f>
        <v>38.536666666666669</v>
      </c>
      <c r="F100" s="45">
        <v>40</v>
      </c>
      <c r="G100" s="45">
        <v>23820</v>
      </c>
      <c r="H100" s="74">
        <f t="shared" si="23"/>
        <v>15.452815500389239</v>
      </c>
      <c r="I100" s="165">
        <f>AVERAGE(H100:H101)</f>
        <v>15.319900318734042</v>
      </c>
      <c r="J100" s="210">
        <f>STDEV(H100:H102)</f>
        <v>8.845947190898416</v>
      </c>
      <c r="K100" s="59"/>
      <c r="L100" s="59"/>
      <c r="M100" s="59"/>
      <c r="N100" s="59"/>
      <c r="O100" s="59"/>
      <c r="P100" s="59"/>
      <c r="Q100" s="59"/>
      <c r="AF100" s="64"/>
      <c r="AG100" s="64"/>
      <c r="AH100" s="64"/>
      <c r="AI100" s="64"/>
      <c r="AJ100" s="64"/>
      <c r="AK100" s="64"/>
    </row>
    <row r="101" spans="2:50" x14ac:dyDescent="0.35">
      <c r="B101" s="149"/>
      <c r="C101" s="149"/>
      <c r="D101" s="45">
        <v>2</v>
      </c>
      <c r="E101" s="47">
        <f>J21</f>
        <v>38.238333333333337</v>
      </c>
      <c r="F101" s="45">
        <v>40</v>
      </c>
      <c r="G101" s="45">
        <v>23229</v>
      </c>
      <c r="H101" s="74">
        <f t="shared" si="23"/>
        <v>15.186985137078846</v>
      </c>
      <c r="I101" s="165"/>
      <c r="J101" s="210"/>
      <c r="L101" s="64"/>
      <c r="M101" s="64"/>
      <c r="N101" s="64"/>
      <c r="O101" s="64"/>
      <c r="AF101" s="64"/>
      <c r="AG101" s="64"/>
      <c r="AH101" s="64"/>
      <c r="AI101" s="64"/>
      <c r="AJ101" s="64"/>
      <c r="AK101" s="64"/>
    </row>
    <row r="102" spans="2:50" x14ac:dyDescent="0.35">
      <c r="B102" s="149"/>
      <c r="C102" s="149"/>
      <c r="D102" s="45">
        <v>3</v>
      </c>
      <c r="E102" s="47">
        <f>J21</f>
        <v>38.238333333333337</v>
      </c>
      <c r="F102" s="45">
        <v>40</v>
      </c>
      <c r="G102" s="45"/>
      <c r="H102" s="74">
        <f t="shared" si="23"/>
        <v>0</v>
      </c>
      <c r="I102" s="165"/>
      <c r="J102" s="210"/>
      <c r="L102" s="64"/>
      <c r="M102" s="64"/>
      <c r="N102" s="64"/>
      <c r="O102" s="64"/>
      <c r="P102" s="64"/>
      <c r="Q102" s="64"/>
    </row>
    <row r="103" spans="2:50" x14ac:dyDescent="0.35">
      <c r="B103" s="149"/>
      <c r="C103" s="149" t="s">
        <v>29</v>
      </c>
      <c r="D103" s="45">
        <v>1</v>
      </c>
      <c r="E103" s="47">
        <f>K22</f>
        <v>39.04</v>
      </c>
      <c r="F103" s="45">
        <v>40</v>
      </c>
      <c r="G103" s="45">
        <v>9720</v>
      </c>
      <c r="H103" s="74">
        <f t="shared" si="23"/>
        <v>6.2243852459016393</v>
      </c>
      <c r="I103" s="165">
        <f>AVERAGE(H103:H104)</f>
        <v>6.0578893442622954</v>
      </c>
      <c r="J103" s="210">
        <f>STDEV(H103:H104)</f>
        <v>0.23546076217789699</v>
      </c>
      <c r="L103" s="64"/>
      <c r="M103" s="64"/>
      <c r="N103" s="64"/>
      <c r="O103" s="64"/>
      <c r="P103" s="64"/>
      <c r="Q103" s="64"/>
    </row>
    <row r="104" spans="2:50" x14ac:dyDescent="0.35">
      <c r="B104" s="149"/>
      <c r="C104" s="149"/>
      <c r="D104" s="45">
        <v>2</v>
      </c>
      <c r="E104" s="47">
        <f>K22</f>
        <v>39.04</v>
      </c>
      <c r="F104" s="45">
        <v>40</v>
      </c>
      <c r="G104" s="45">
        <v>9200</v>
      </c>
      <c r="H104" s="74">
        <f t="shared" si="23"/>
        <v>5.8913934426229515</v>
      </c>
      <c r="I104" s="165"/>
      <c r="J104" s="210"/>
    </row>
    <row r="105" spans="2:50" x14ac:dyDescent="0.35">
      <c r="B105" s="149"/>
      <c r="C105" s="149"/>
      <c r="D105" s="45">
        <v>3</v>
      </c>
      <c r="E105" s="47">
        <f>K23</f>
        <v>39.089999999999996</v>
      </c>
      <c r="F105" s="45">
        <v>40</v>
      </c>
      <c r="G105" s="45"/>
      <c r="H105" s="74">
        <f t="shared" si="23"/>
        <v>0</v>
      </c>
      <c r="I105" s="165"/>
      <c r="J105" s="210"/>
    </row>
    <row r="106" spans="2:50" x14ac:dyDescent="0.35">
      <c r="B106" s="149"/>
      <c r="C106" s="149"/>
      <c r="D106" s="45">
        <v>4</v>
      </c>
      <c r="E106" s="47">
        <f>K23</f>
        <v>39.089999999999996</v>
      </c>
      <c r="F106" s="45">
        <v>40</v>
      </c>
      <c r="G106" s="45"/>
      <c r="H106" s="74">
        <f t="shared" si="23"/>
        <v>0</v>
      </c>
      <c r="I106" s="203"/>
      <c r="J106" s="89"/>
    </row>
    <row r="107" spans="2:50" x14ac:dyDescent="0.35">
      <c r="B107" s="152" t="s">
        <v>38</v>
      </c>
      <c r="C107" s="152" t="s">
        <v>28</v>
      </c>
      <c r="D107" s="48">
        <v>1</v>
      </c>
      <c r="E107" s="50">
        <f>J24</f>
        <v>36.32</v>
      </c>
      <c r="F107" s="48">
        <v>40</v>
      </c>
      <c r="G107" s="48">
        <v>12490</v>
      </c>
      <c r="H107" s="75">
        <f t="shared" si="23"/>
        <v>8.5971916299559474</v>
      </c>
      <c r="I107" s="199">
        <f t="shared" ref="I107" si="25">AVERAGE(H107:H110)</f>
        <v>8.5042587691392963</v>
      </c>
      <c r="J107" s="210">
        <f>STDEV(H107:H110)</f>
        <v>1.0968787128542923</v>
      </c>
      <c r="K107" s="193"/>
      <c r="L107" s="193"/>
      <c r="M107" s="193"/>
      <c r="N107" s="193"/>
      <c r="O107" s="193"/>
      <c r="P107" s="193"/>
    </row>
    <row r="108" spans="2:50" x14ac:dyDescent="0.35">
      <c r="B108" s="152"/>
      <c r="C108" s="152"/>
      <c r="D108" s="48">
        <v>2</v>
      </c>
      <c r="E108" s="50">
        <f>J24</f>
        <v>36.32</v>
      </c>
      <c r="F108" s="48">
        <v>40</v>
      </c>
      <c r="G108" s="48">
        <v>14510</v>
      </c>
      <c r="H108" s="75">
        <f t="shared" si="23"/>
        <v>9.9876101321585899</v>
      </c>
      <c r="I108" s="199"/>
      <c r="J108" s="210"/>
      <c r="K108" s="200"/>
      <c r="L108" s="200"/>
      <c r="M108" s="201"/>
      <c r="N108" s="200"/>
      <c r="O108" s="202"/>
      <c r="P108" s="193"/>
    </row>
    <row r="109" spans="2:50" x14ac:dyDescent="0.35">
      <c r="B109" s="152"/>
      <c r="C109" s="152"/>
      <c r="D109" s="48">
        <v>3</v>
      </c>
      <c r="E109" s="50">
        <f>J25</f>
        <v>38.231666666666669</v>
      </c>
      <c r="F109" s="48">
        <v>40</v>
      </c>
      <c r="G109" s="48">
        <v>11370</v>
      </c>
      <c r="H109" s="75">
        <f t="shared" si="23"/>
        <v>7.4349361349666498</v>
      </c>
      <c r="I109" s="199"/>
      <c r="J109" s="210"/>
      <c r="K109" s="200"/>
      <c r="L109" s="200"/>
      <c r="M109" s="201"/>
      <c r="N109" s="200"/>
      <c r="O109" s="202"/>
      <c r="P109" s="193"/>
    </row>
    <row r="110" spans="2:50" x14ac:dyDescent="0.35">
      <c r="B110" s="152"/>
      <c r="C110" s="152"/>
      <c r="D110" s="48">
        <v>4</v>
      </c>
      <c r="E110" s="50">
        <f>J25</f>
        <v>38.231666666666669</v>
      </c>
      <c r="F110" s="48">
        <v>40</v>
      </c>
      <c r="G110" s="48">
        <v>12230</v>
      </c>
      <c r="H110" s="75">
        <f t="shared" si="23"/>
        <v>7.9972971794760008</v>
      </c>
      <c r="I110" s="199"/>
      <c r="J110" s="210"/>
      <c r="K110" s="194"/>
      <c r="L110" s="194"/>
      <c r="M110" s="201"/>
      <c r="N110" s="200"/>
      <c r="O110" s="202"/>
      <c r="P110" s="193"/>
    </row>
    <row r="111" spans="2:50" x14ac:dyDescent="0.35">
      <c r="B111" s="152"/>
      <c r="C111" s="152" t="s">
        <v>29</v>
      </c>
      <c r="D111" s="48">
        <v>1</v>
      </c>
      <c r="E111" s="50">
        <f>K26</f>
        <v>39.466666666666669</v>
      </c>
      <c r="F111" s="48">
        <v>40</v>
      </c>
      <c r="G111" s="48">
        <v>12520</v>
      </c>
      <c r="H111" s="75">
        <f t="shared" si="23"/>
        <v>7.930743243243243</v>
      </c>
      <c r="I111" s="199">
        <f t="shared" ref="I111" si="26">AVERAGE(H111:H114)</f>
        <v>6.964046362633681</v>
      </c>
      <c r="J111" s="210">
        <f>STDEV(H111:H114)</f>
        <v>0.85145303923649462</v>
      </c>
      <c r="K111" s="194"/>
      <c r="L111" s="194"/>
      <c r="M111" s="201"/>
      <c r="N111" s="200"/>
      <c r="O111" s="202"/>
      <c r="P111" s="193"/>
    </row>
    <row r="112" spans="2:50" x14ac:dyDescent="0.35">
      <c r="B112" s="152"/>
      <c r="C112" s="152"/>
      <c r="D112" s="48">
        <v>2</v>
      </c>
      <c r="E112" s="50">
        <f>K26</f>
        <v>39.466666666666669</v>
      </c>
      <c r="F112" s="48">
        <v>40</v>
      </c>
      <c r="G112" s="48">
        <v>11630</v>
      </c>
      <c r="H112" s="75">
        <f t="shared" si="23"/>
        <v>7.3669763513513509</v>
      </c>
      <c r="I112" s="199"/>
      <c r="J112" s="210"/>
      <c r="K112" s="193"/>
      <c r="L112" s="193"/>
      <c r="M112" s="193"/>
      <c r="N112" s="193"/>
      <c r="O112" s="193"/>
      <c r="P112" s="193"/>
      <c r="AW112" t="s">
        <v>45</v>
      </c>
      <c r="AX112" s="64">
        <f>72.626/6.2407</f>
        <v>11.637476565128912</v>
      </c>
    </row>
    <row r="113" spans="2:50" x14ac:dyDescent="0.35">
      <c r="B113" s="152"/>
      <c r="C113" s="152"/>
      <c r="D113" s="48">
        <v>3</v>
      </c>
      <c r="E113" s="50">
        <f>K27</f>
        <v>39.196666666666665</v>
      </c>
      <c r="F113" s="48">
        <v>40</v>
      </c>
      <c r="G113" s="48">
        <v>10260</v>
      </c>
      <c r="H113" s="75">
        <f t="shared" si="23"/>
        <v>6.5439238030444766</v>
      </c>
      <c r="I113" s="199"/>
      <c r="J113" s="210"/>
      <c r="AW113" t="s">
        <v>47</v>
      </c>
      <c r="AX113" s="64">
        <f>130.77/3.2197</f>
        <v>40.615585302978545</v>
      </c>
    </row>
    <row r="114" spans="2:50" x14ac:dyDescent="0.35">
      <c r="B114" s="152"/>
      <c r="C114" s="152"/>
      <c r="D114" s="48">
        <v>4</v>
      </c>
      <c r="E114" s="50">
        <f>K27</f>
        <v>39.196666666666665</v>
      </c>
      <c r="F114" s="48">
        <v>40</v>
      </c>
      <c r="G114" s="48">
        <v>9430</v>
      </c>
      <c r="H114" s="75">
        <f t="shared" si="23"/>
        <v>6.0145420528956546</v>
      </c>
      <c r="I114" s="199"/>
      <c r="J114" s="210"/>
    </row>
    <row r="115" spans="2:50" x14ac:dyDescent="0.35">
      <c r="B115" s="163" t="s">
        <v>39</v>
      </c>
      <c r="C115" s="163" t="s">
        <v>28</v>
      </c>
      <c r="D115" s="51">
        <v>1</v>
      </c>
      <c r="E115" s="53">
        <f>J28</f>
        <v>39.094999999999999</v>
      </c>
      <c r="F115" s="51">
        <v>40</v>
      </c>
      <c r="G115" s="51">
        <v>13690</v>
      </c>
      <c r="H115" s="76">
        <f>G115/(F115*E115)</f>
        <v>8.7543164087479219</v>
      </c>
      <c r="I115" s="164">
        <f t="shared" ref="I115" si="27">AVERAGE(H115:H118)</f>
        <v>10.82671633383136</v>
      </c>
      <c r="J115" s="210">
        <f>STDEV(H115:H118)</f>
        <v>1.616476920385489</v>
      </c>
    </row>
    <row r="116" spans="2:50" x14ac:dyDescent="0.35">
      <c r="B116" s="163"/>
      <c r="C116" s="163"/>
      <c r="D116" s="51">
        <v>2</v>
      </c>
      <c r="E116" s="53">
        <f>J28</f>
        <v>39.094999999999999</v>
      </c>
      <c r="F116" s="51">
        <v>40</v>
      </c>
      <c r="G116" s="51">
        <v>16220</v>
      </c>
      <c r="H116" s="76">
        <f>G116/(F116*E116)</f>
        <v>10.372170354265252</v>
      </c>
      <c r="I116" s="164"/>
      <c r="J116" s="210"/>
    </row>
    <row r="117" spans="2:50" x14ac:dyDescent="0.35">
      <c r="B117" s="163"/>
      <c r="C117" s="163"/>
      <c r="D117" s="51">
        <v>3</v>
      </c>
      <c r="E117" s="53">
        <f>J29</f>
        <v>40.414999999999999</v>
      </c>
      <c r="F117" s="51">
        <v>40</v>
      </c>
      <c r="G117" s="51">
        <v>19980</v>
      </c>
      <c r="H117" s="76">
        <f t="shared" si="23"/>
        <v>12.35927254732154</v>
      </c>
      <c r="I117" s="164"/>
      <c r="J117" s="210"/>
    </row>
    <row r="118" spans="2:50" x14ac:dyDescent="0.35">
      <c r="B118" s="163"/>
      <c r="C118" s="163"/>
      <c r="D118" s="51">
        <v>4</v>
      </c>
      <c r="E118" s="53">
        <f>J29</f>
        <v>40.414999999999999</v>
      </c>
      <c r="F118" s="51">
        <v>40</v>
      </c>
      <c r="G118" s="51">
        <v>19110</v>
      </c>
      <c r="H118" s="76">
        <f t="shared" si="23"/>
        <v>11.821106024990723</v>
      </c>
      <c r="I118" s="164"/>
      <c r="J118" s="210"/>
    </row>
    <row r="119" spans="2:50" x14ac:dyDescent="0.35">
      <c r="B119" s="163"/>
      <c r="C119" s="163" t="s">
        <v>29</v>
      </c>
      <c r="D119" s="51">
        <v>1</v>
      </c>
      <c r="E119" s="53">
        <f>K30</f>
        <v>39.866666666666667</v>
      </c>
      <c r="F119" s="51">
        <v>40</v>
      </c>
      <c r="G119" s="51">
        <v>12020</v>
      </c>
      <c r="H119" s="76">
        <f>G119/(F119*E119)</f>
        <v>7.5376254180602</v>
      </c>
      <c r="I119" s="164">
        <f t="shared" ref="I119" si="28">AVERAGE(H119:H122)</f>
        <v>8.3347694157397143</v>
      </c>
      <c r="J119" s="210">
        <f>STDEV(H119:H122)</f>
        <v>1.2831095354539179</v>
      </c>
    </row>
    <row r="120" spans="2:50" x14ac:dyDescent="0.35">
      <c r="B120" s="163"/>
      <c r="C120" s="163"/>
      <c r="D120" s="51">
        <v>2</v>
      </c>
      <c r="E120" s="53">
        <f>K30</f>
        <v>39.866666666666667</v>
      </c>
      <c r="F120" s="51">
        <v>40</v>
      </c>
      <c r="G120" s="51">
        <v>14980</v>
      </c>
      <c r="H120" s="76">
        <f>G120/(F120*E120)</f>
        <v>9.3938127090300991</v>
      </c>
      <c r="I120" s="164"/>
      <c r="J120" s="210"/>
    </row>
    <row r="121" spans="2:50" x14ac:dyDescent="0.35">
      <c r="B121" s="163"/>
      <c r="C121" s="163"/>
      <c r="D121" s="51">
        <v>3</v>
      </c>
      <c r="E121" s="53">
        <f>K31</f>
        <v>39.356666666666662</v>
      </c>
      <c r="F121" s="51">
        <v>40</v>
      </c>
      <c r="G121" s="51">
        <v>10940</v>
      </c>
      <c r="H121" s="76">
        <f>G121/(F121*E121)</f>
        <v>6.9492673837554007</v>
      </c>
      <c r="I121" s="164"/>
      <c r="J121" s="210"/>
    </row>
    <row r="122" spans="2:50" x14ac:dyDescent="0.35">
      <c r="B122" s="163"/>
      <c r="C122" s="163"/>
      <c r="D122" s="51">
        <v>4</v>
      </c>
      <c r="E122" s="53">
        <f>K31</f>
        <v>39.356666666666662</v>
      </c>
      <c r="F122" s="51">
        <v>40</v>
      </c>
      <c r="G122" s="51">
        <v>14890</v>
      </c>
      <c r="H122" s="76">
        <f>G122/(F122*E122)</f>
        <v>9.4583721521131547</v>
      </c>
      <c r="I122" s="164"/>
      <c r="J122" s="210"/>
    </row>
    <row r="123" spans="2:50" x14ac:dyDescent="0.35">
      <c r="B123" s="161" t="s">
        <v>54</v>
      </c>
      <c r="C123" s="161" t="s">
        <v>28</v>
      </c>
      <c r="D123" s="55">
        <v>1</v>
      </c>
      <c r="E123" s="57">
        <f>J32</f>
        <v>39.153333333333329</v>
      </c>
      <c r="F123" s="55">
        <v>40</v>
      </c>
      <c r="G123" s="55">
        <v>12690</v>
      </c>
      <c r="H123" s="80">
        <f t="shared" si="23"/>
        <v>8.1027583858334751</v>
      </c>
      <c r="I123" s="162">
        <f>AVERAGE(H123:H124)</f>
        <v>8.128298995402691</v>
      </c>
      <c r="J123" s="210">
        <f>STDEV(H123:H124)</f>
        <v>3.6119876444059909E-2</v>
      </c>
    </row>
    <row r="124" spans="2:50" x14ac:dyDescent="0.35">
      <c r="B124" s="161"/>
      <c r="C124" s="161"/>
      <c r="D124" s="55">
        <v>2</v>
      </c>
      <c r="E124" s="57">
        <f>J32</f>
        <v>39.153333333333329</v>
      </c>
      <c r="F124" s="55">
        <v>40</v>
      </c>
      <c r="G124" s="55">
        <v>12770</v>
      </c>
      <c r="H124" s="80">
        <f t="shared" si="23"/>
        <v>8.1538396049719051</v>
      </c>
      <c r="I124" s="162"/>
      <c r="J124" s="210"/>
    </row>
    <row r="125" spans="2:50" x14ac:dyDescent="0.35">
      <c r="B125" s="161"/>
      <c r="C125" s="161" t="s">
        <v>29</v>
      </c>
      <c r="D125" s="55">
        <v>1</v>
      </c>
      <c r="E125" s="57">
        <f>K33</f>
        <v>39.816666666666663</v>
      </c>
      <c r="F125" s="55">
        <v>40</v>
      </c>
      <c r="G125" s="55">
        <v>13640</v>
      </c>
      <c r="H125" s="80">
        <f t="shared" si="23"/>
        <v>8.5642528254499801</v>
      </c>
      <c r="I125" s="162">
        <f>AVERAGE(H125:H126)</f>
        <v>7.8767266638760995</v>
      </c>
      <c r="J125" s="210">
        <f>STDEV(H125:H126)</f>
        <v>0.97230882218409775</v>
      </c>
    </row>
    <row r="126" spans="2:50" x14ac:dyDescent="0.35">
      <c r="B126" s="161"/>
      <c r="C126" s="161"/>
      <c r="D126" s="55">
        <v>2</v>
      </c>
      <c r="E126" s="57">
        <f>K33</f>
        <v>39.816666666666663</v>
      </c>
      <c r="F126" s="55">
        <v>40</v>
      </c>
      <c r="G126" s="55">
        <v>11450</v>
      </c>
      <c r="H126" s="80">
        <f t="shared" si="23"/>
        <v>7.189200502302219</v>
      </c>
      <c r="I126" s="162"/>
      <c r="J126" s="210"/>
    </row>
    <row r="127" spans="2:50" x14ac:dyDescent="0.35">
      <c r="B127" s="28"/>
    </row>
    <row r="128" spans="2:50" x14ac:dyDescent="0.35">
      <c r="B128" s="28"/>
    </row>
    <row r="129" spans="2:2" x14ac:dyDescent="0.35">
      <c r="B129" s="28"/>
    </row>
    <row r="130" spans="2:2" x14ac:dyDescent="0.35">
      <c r="B130" s="28"/>
    </row>
    <row r="131" spans="2:2" x14ac:dyDescent="0.35">
      <c r="B131" s="28"/>
    </row>
    <row r="132" spans="2:2" x14ac:dyDescent="0.35">
      <c r="B132" s="28"/>
    </row>
    <row r="133" spans="2:2" x14ac:dyDescent="0.35">
      <c r="B133" s="28"/>
    </row>
    <row r="134" spans="2:2" x14ac:dyDescent="0.35">
      <c r="B134" s="28"/>
    </row>
  </sheetData>
  <mergeCells count="155">
    <mergeCell ref="D2:K2"/>
    <mergeCell ref="B4:B7"/>
    <mergeCell ref="B8:B11"/>
    <mergeCell ref="B12:B15"/>
    <mergeCell ref="B16:B19"/>
    <mergeCell ref="B20:B23"/>
    <mergeCell ref="J100:J102"/>
    <mergeCell ref="J103:J105"/>
    <mergeCell ref="J107:J110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K39:N39"/>
    <mergeCell ref="Q39:T39"/>
    <mergeCell ref="AW39:AW40"/>
    <mergeCell ref="AX39:AY39"/>
    <mergeCell ref="AZ39:BA39"/>
    <mergeCell ref="AF40:AG40"/>
    <mergeCell ref="AH40:AI40"/>
    <mergeCell ref="AJ40:AK40"/>
    <mergeCell ref="B24:B27"/>
    <mergeCell ref="B28:B31"/>
    <mergeCell ref="B32:B33"/>
    <mergeCell ref="B37:I37"/>
    <mergeCell ref="B39:B42"/>
    <mergeCell ref="C39:C40"/>
    <mergeCell ref="I39:I40"/>
    <mergeCell ref="C41:C42"/>
    <mergeCell ref="I41:I42"/>
    <mergeCell ref="Q46:T46"/>
    <mergeCell ref="B47:B50"/>
    <mergeCell ref="C47:C48"/>
    <mergeCell ref="I47:I48"/>
    <mergeCell ref="AF47:AG47"/>
    <mergeCell ref="AH47:AI47"/>
    <mergeCell ref="B43:B46"/>
    <mergeCell ref="C43:C44"/>
    <mergeCell ref="I43:I44"/>
    <mergeCell ref="C45:C46"/>
    <mergeCell ref="I45:I46"/>
    <mergeCell ref="K45:N45"/>
    <mergeCell ref="AX51:AY51"/>
    <mergeCell ref="AZ51:BA51"/>
    <mergeCell ref="K52:N52"/>
    <mergeCell ref="C53:C54"/>
    <mergeCell ref="I53:I54"/>
    <mergeCell ref="Q53:T53"/>
    <mergeCell ref="AJ47:AK47"/>
    <mergeCell ref="C49:C50"/>
    <mergeCell ref="I49:I50"/>
    <mergeCell ref="C51:C52"/>
    <mergeCell ref="I51:I52"/>
    <mergeCell ref="B55:B58"/>
    <mergeCell ref="C55:C56"/>
    <mergeCell ref="I55:I56"/>
    <mergeCell ref="C57:C58"/>
    <mergeCell ref="I57:I58"/>
    <mergeCell ref="B59:B62"/>
    <mergeCell ref="C59:C60"/>
    <mergeCell ref="I59:I60"/>
    <mergeCell ref="AW51:AW52"/>
    <mergeCell ref="B51:B54"/>
    <mergeCell ref="L60:M60"/>
    <mergeCell ref="N60:O60"/>
    <mergeCell ref="P60:Q60"/>
    <mergeCell ref="C61:C62"/>
    <mergeCell ref="I61:I62"/>
    <mergeCell ref="B63:B66"/>
    <mergeCell ref="C63:C64"/>
    <mergeCell ref="I63:I64"/>
    <mergeCell ref="C65:C66"/>
    <mergeCell ref="I65:I66"/>
    <mergeCell ref="B67:B68"/>
    <mergeCell ref="L67:M67"/>
    <mergeCell ref="N67:O67"/>
    <mergeCell ref="P67:Q67"/>
    <mergeCell ref="B71:I71"/>
    <mergeCell ref="B73:B78"/>
    <mergeCell ref="C73:C75"/>
    <mergeCell ref="I73:I75"/>
    <mergeCell ref="J73:J75"/>
    <mergeCell ref="C76:C78"/>
    <mergeCell ref="I76:I78"/>
    <mergeCell ref="J76:J78"/>
    <mergeCell ref="B79:B85"/>
    <mergeCell ref="C79:C81"/>
    <mergeCell ref="I79:I81"/>
    <mergeCell ref="J79:J81"/>
    <mergeCell ref="C82:C85"/>
    <mergeCell ref="I82:I85"/>
    <mergeCell ref="J82:J85"/>
    <mergeCell ref="AF90:AG90"/>
    <mergeCell ref="AH90:AI90"/>
    <mergeCell ref="AJ90:AK90"/>
    <mergeCell ref="L92:M92"/>
    <mergeCell ref="N92:O92"/>
    <mergeCell ref="P92:Q92"/>
    <mergeCell ref="B86:B93"/>
    <mergeCell ref="C86:C89"/>
    <mergeCell ref="I86:I89"/>
    <mergeCell ref="J86:J89"/>
    <mergeCell ref="C90:C93"/>
    <mergeCell ref="I90:I93"/>
    <mergeCell ref="J90:J93"/>
    <mergeCell ref="AH97:AI97"/>
    <mergeCell ref="AJ97:AK97"/>
    <mergeCell ref="L99:M99"/>
    <mergeCell ref="N99:O99"/>
    <mergeCell ref="P99:Q99"/>
    <mergeCell ref="B94:B99"/>
    <mergeCell ref="C94:C96"/>
    <mergeCell ref="I94:I96"/>
    <mergeCell ref="J94:J96"/>
    <mergeCell ref="C97:C99"/>
    <mergeCell ref="I97:I99"/>
    <mergeCell ref="J97:J99"/>
    <mergeCell ref="B100:B106"/>
    <mergeCell ref="C100:C102"/>
    <mergeCell ref="I100:I102"/>
    <mergeCell ref="C103:C106"/>
    <mergeCell ref="I103:I106"/>
    <mergeCell ref="B107:B114"/>
    <mergeCell ref="C107:C110"/>
    <mergeCell ref="I107:I110"/>
    <mergeCell ref="AF97:AG97"/>
    <mergeCell ref="J111:J114"/>
    <mergeCell ref="B123:B126"/>
    <mergeCell ref="C123:C124"/>
    <mergeCell ref="I123:I124"/>
    <mergeCell ref="C125:C126"/>
    <mergeCell ref="I125:I126"/>
    <mergeCell ref="O108:O109"/>
    <mergeCell ref="O110:O111"/>
    <mergeCell ref="C111:C114"/>
    <mergeCell ref="I111:I114"/>
    <mergeCell ref="B115:B122"/>
    <mergeCell ref="C115:C118"/>
    <mergeCell ref="I115:I118"/>
    <mergeCell ref="C119:C122"/>
    <mergeCell ref="I119:I122"/>
    <mergeCell ref="J115:J118"/>
    <mergeCell ref="J119:J122"/>
    <mergeCell ref="J123:J124"/>
    <mergeCell ref="J125:J12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7225-EAEB-4196-8FF4-823C3AE3C157}">
  <dimension ref="B2:AO43"/>
  <sheetViews>
    <sheetView zoomScale="70" zoomScaleNormal="70" workbookViewId="0">
      <selection activeCell="H3" sqref="H3"/>
    </sheetView>
  </sheetViews>
  <sheetFormatPr defaultRowHeight="14.5" x14ac:dyDescent="0.35"/>
  <sheetData>
    <row r="2" spans="2:27" x14ac:dyDescent="0.35">
      <c r="J2" s="182" t="s">
        <v>55</v>
      </c>
      <c r="K2" s="182"/>
      <c r="L2" s="182"/>
      <c r="M2" s="86"/>
      <c r="N2" s="182" t="s">
        <v>56</v>
      </c>
      <c r="O2" s="182"/>
      <c r="P2" s="182"/>
    </row>
    <row r="3" spans="2:27" ht="58" x14ac:dyDescent="0.35">
      <c r="B3" s="29" t="s">
        <v>19</v>
      </c>
      <c r="C3" s="32" t="s">
        <v>20</v>
      </c>
      <c r="D3" s="29" t="s">
        <v>21</v>
      </c>
      <c r="E3" s="29" t="s">
        <v>22</v>
      </c>
      <c r="F3" s="30" t="s">
        <v>27</v>
      </c>
      <c r="G3" s="30" t="s">
        <v>57</v>
      </c>
      <c r="H3" s="30" t="s">
        <v>143</v>
      </c>
      <c r="I3" s="29" t="s">
        <v>53</v>
      </c>
      <c r="J3" s="30" t="s">
        <v>137</v>
      </c>
      <c r="K3" s="30" t="s">
        <v>138</v>
      </c>
      <c r="L3" s="30" t="s">
        <v>135</v>
      </c>
      <c r="M3" s="84"/>
      <c r="N3" s="30" t="s">
        <v>136</v>
      </c>
      <c r="O3" s="30" t="s">
        <v>139</v>
      </c>
      <c r="P3" s="30" t="s">
        <v>140</v>
      </c>
      <c r="Q3" s="84"/>
      <c r="R3" s="30" t="s">
        <v>63</v>
      </c>
      <c r="S3" s="30" t="s">
        <v>64</v>
      </c>
      <c r="T3" s="192" t="s">
        <v>53</v>
      </c>
    </row>
    <row r="4" spans="2:27" x14ac:dyDescent="0.35">
      <c r="B4" s="151" t="s">
        <v>28</v>
      </c>
      <c r="C4" s="5">
        <v>1</v>
      </c>
      <c r="D4" s="8">
        <f>AVERAGE(J4:L4)</f>
        <v>29.77</v>
      </c>
      <c r="E4" s="8">
        <f>AVERAGE(N4:P4)</f>
        <v>42.466666666666669</v>
      </c>
      <c r="F4" s="8">
        <v>2393</v>
      </c>
      <c r="G4" s="7">
        <f>1.5*F4*100/(D4*E4^2)</f>
        <v>6.6858830631442405</v>
      </c>
      <c r="H4" s="180">
        <f>AVERAGE(G4:G6)</f>
        <v>4.9553116021219354</v>
      </c>
      <c r="I4" s="183">
        <f>STDEV(G4:G6)</f>
        <v>1.5485748410034552</v>
      </c>
      <c r="J4" s="84">
        <v>29.36</v>
      </c>
      <c r="K4" s="84">
        <v>30.1</v>
      </c>
      <c r="L4" s="84">
        <v>29.85</v>
      </c>
      <c r="M4" s="84"/>
      <c r="N4" s="84">
        <v>42.8</v>
      </c>
      <c r="O4" s="84">
        <v>42.6</v>
      </c>
      <c r="P4" s="84">
        <v>42</v>
      </c>
      <c r="Q4" s="84"/>
      <c r="R4" s="84">
        <v>447.45</v>
      </c>
      <c r="S4" s="84">
        <f t="shared" ref="S4:S9" si="0">R4*1000/(D4*E4*0.16)</f>
        <v>2212.0631539869505</v>
      </c>
      <c r="T4" s="84"/>
    </row>
    <row r="5" spans="2:27" x14ac:dyDescent="0.35">
      <c r="B5" s="151"/>
      <c r="C5" s="5">
        <v>2</v>
      </c>
      <c r="D5" s="8">
        <f t="shared" ref="D5:D9" si="1">AVERAGE(J5:L5)</f>
        <v>31.816666666666666</v>
      </c>
      <c r="E5" s="8">
        <f t="shared" ref="E5:E9" si="2">AVERAGE(N5:P5)</f>
        <v>41.01</v>
      </c>
      <c r="F5" s="8">
        <v>1320</v>
      </c>
      <c r="G5" s="7">
        <f t="shared" ref="G5:G6" si="3">1.5*F5*100/(D5*E5^2)</f>
        <v>3.7002492023369289</v>
      </c>
      <c r="H5" s="180"/>
      <c r="I5" s="184"/>
      <c r="J5" s="84">
        <v>32.380000000000003</v>
      </c>
      <c r="K5" s="84">
        <v>31.96</v>
      </c>
      <c r="L5" s="84">
        <v>31.11</v>
      </c>
      <c r="M5" s="84"/>
      <c r="N5" s="84">
        <v>40.840000000000003</v>
      </c>
      <c r="O5" s="84">
        <v>40.83</v>
      </c>
      <c r="P5" s="84">
        <v>41.36</v>
      </c>
      <c r="Q5" s="84"/>
      <c r="R5" s="84">
        <v>461.85</v>
      </c>
      <c r="S5" s="84">
        <f t="shared" si="0"/>
        <v>2212.261788478937</v>
      </c>
      <c r="T5" s="84"/>
      <c r="V5">
        <f>AVERAGE(S4:S6)</f>
        <v>2194.2306295609433</v>
      </c>
    </row>
    <row r="6" spans="2:27" x14ac:dyDescent="0.35">
      <c r="B6" s="151"/>
      <c r="C6" s="5">
        <v>3</v>
      </c>
      <c r="D6" s="8">
        <f t="shared" si="1"/>
        <v>28.223333333333333</v>
      </c>
      <c r="E6" s="8">
        <f t="shared" si="2"/>
        <v>42.03</v>
      </c>
      <c r="F6" s="8">
        <v>1489</v>
      </c>
      <c r="G6" s="7">
        <f t="shared" si="3"/>
        <v>4.479802540884636</v>
      </c>
      <c r="H6" s="180"/>
      <c r="I6" s="185"/>
      <c r="J6" s="84">
        <v>29.93</v>
      </c>
      <c r="K6" s="84">
        <v>28.04</v>
      </c>
      <c r="L6" s="84">
        <v>26.7</v>
      </c>
      <c r="M6" s="84"/>
      <c r="N6" s="84">
        <v>41.51</v>
      </c>
      <c r="O6" s="84">
        <v>42.01</v>
      </c>
      <c r="P6" s="84">
        <v>42.57</v>
      </c>
      <c r="Q6" s="84"/>
      <c r="R6" s="84">
        <v>409.65</v>
      </c>
      <c r="S6" s="84">
        <f t="shared" si="0"/>
        <v>2158.3669462169414</v>
      </c>
      <c r="T6" s="84">
        <f>STDEV(S4:S9)</f>
        <v>72.098360831698585</v>
      </c>
    </row>
    <row r="7" spans="2:27" x14ac:dyDescent="0.35">
      <c r="B7" s="151" t="s">
        <v>29</v>
      </c>
      <c r="C7" s="5">
        <v>1</v>
      </c>
      <c r="D7" s="8">
        <f t="shared" si="1"/>
        <v>30.16333333333333</v>
      </c>
      <c r="E7" s="8">
        <f t="shared" si="2"/>
        <v>43.106666666666662</v>
      </c>
      <c r="F7" s="8">
        <v>1970</v>
      </c>
      <c r="G7" s="7">
        <f>1.5*F7*100/(E7*D7^2)</f>
        <v>7.5344989555166828</v>
      </c>
      <c r="H7" s="180">
        <f>AVERAGE(G7:G9)</f>
        <v>6.0530736484334033</v>
      </c>
      <c r="I7" s="183">
        <f>STDEV(G7:G9)</f>
        <v>1.4193747973254112</v>
      </c>
      <c r="J7" s="84">
        <v>30.02</v>
      </c>
      <c r="K7" s="84">
        <v>29.83</v>
      </c>
      <c r="L7" s="84">
        <v>30.64</v>
      </c>
      <c r="M7" s="84"/>
      <c r="N7" s="84">
        <v>43.17</v>
      </c>
      <c r="O7" s="84">
        <v>43.23</v>
      </c>
      <c r="P7" s="84">
        <v>42.92</v>
      </c>
      <c r="Q7" s="84"/>
      <c r="R7" s="84">
        <v>435.75</v>
      </c>
      <c r="S7" s="84">
        <f t="shared" si="0"/>
        <v>2094.5640169818812</v>
      </c>
      <c r="T7" s="84"/>
      <c r="X7" s="85">
        <f>AVERAGE(V5:V8)</f>
        <v>2146.1393017624323</v>
      </c>
    </row>
    <row r="8" spans="2:27" x14ac:dyDescent="0.35">
      <c r="B8" s="151"/>
      <c r="C8" s="5">
        <v>2</v>
      </c>
      <c r="D8" s="8">
        <f t="shared" si="1"/>
        <v>30.7</v>
      </c>
      <c r="E8" s="8">
        <f t="shared" si="2"/>
        <v>42.076666666666668</v>
      </c>
      <c r="F8" s="8">
        <v>1565</v>
      </c>
      <c r="G8" s="7">
        <f t="shared" ref="G8:G9" si="4">1.5*F8*100/(E8*D8^2)</f>
        <v>5.9195340426569416</v>
      </c>
      <c r="H8" s="180"/>
      <c r="I8" s="184"/>
      <c r="J8" s="84">
        <v>29.44</v>
      </c>
      <c r="K8" s="84">
        <v>30.92</v>
      </c>
      <c r="L8" s="84">
        <v>31.74</v>
      </c>
      <c r="M8" s="84"/>
      <c r="N8" s="84">
        <v>41.79</v>
      </c>
      <c r="O8" s="84">
        <v>42.52</v>
      </c>
      <c r="P8" s="84">
        <v>41.92</v>
      </c>
      <c r="Q8" s="84"/>
      <c r="R8" s="84">
        <v>419.25</v>
      </c>
      <c r="S8" s="84">
        <f t="shared" si="0"/>
        <v>2028.4924034794044</v>
      </c>
      <c r="T8" s="84"/>
      <c r="V8">
        <f>AVERAGE(S7:S9)</f>
        <v>2098.0479739639209</v>
      </c>
    </row>
    <row r="9" spans="2:27" x14ac:dyDescent="0.35">
      <c r="B9" s="151"/>
      <c r="C9" s="5">
        <v>3</v>
      </c>
      <c r="D9" s="8">
        <f t="shared" si="1"/>
        <v>29.136666666666667</v>
      </c>
      <c r="E9" s="8">
        <f t="shared" si="2"/>
        <v>43.823333333333331</v>
      </c>
      <c r="F9" s="8">
        <v>1167</v>
      </c>
      <c r="G9" s="7">
        <f t="shared" si="4"/>
        <v>4.7051879471265865</v>
      </c>
      <c r="H9" s="180"/>
      <c r="I9" s="185"/>
      <c r="J9" s="84">
        <v>28.88</v>
      </c>
      <c r="K9" s="84">
        <v>29.04</v>
      </c>
      <c r="L9" s="84">
        <v>29.49</v>
      </c>
      <c r="M9" s="84"/>
      <c r="N9" s="84">
        <v>43.71</v>
      </c>
      <c r="O9" s="84">
        <v>44.21</v>
      </c>
      <c r="P9" s="84">
        <v>43.55</v>
      </c>
      <c r="Q9" s="84"/>
      <c r="R9" s="84">
        <v>443.55</v>
      </c>
      <c r="S9" s="84">
        <f t="shared" si="0"/>
        <v>2171.0875014304775</v>
      </c>
      <c r="T9" s="84"/>
    </row>
    <row r="11" spans="2:27" x14ac:dyDescent="0.35">
      <c r="B11" s="191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</row>
    <row r="12" spans="2:27" x14ac:dyDescent="0.35"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</row>
    <row r="13" spans="2:27" x14ac:dyDescent="0.35"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</row>
    <row r="14" spans="2:27" x14ac:dyDescent="0.35"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</row>
    <row r="17" spans="2:41" ht="58" x14ac:dyDescent="0.35">
      <c r="B17" s="29" t="s">
        <v>19</v>
      </c>
      <c r="C17" s="29" t="s">
        <v>24</v>
      </c>
      <c r="D17" s="29" t="s">
        <v>25</v>
      </c>
      <c r="E17" s="29" t="s">
        <v>26</v>
      </c>
      <c r="F17" s="30" t="s">
        <v>51</v>
      </c>
      <c r="G17" s="30" t="s">
        <v>52</v>
      </c>
      <c r="H17" s="81" t="s">
        <v>142</v>
      </c>
      <c r="J17" s="193"/>
      <c r="K17" s="193"/>
      <c r="L17" s="193"/>
      <c r="M17" s="193"/>
      <c r="N17" s="193"/>
      <c r="O17" s="193"/>
      <c r="P17" s="193"/>
      <c r="Q17" s="193"/>
      <c r="W17" s="146" t="s">
        <v>65</v>
      </c>
      <c r="X17" s="146"/>
      <c r="Y17" s="146" t="s">
        <v>66</v>
      </c>
      <c r="Z17" s="146"/>
      <c r="AF17" s="146" t="s">
        <v>67</v>
      </c>
      <c r="AG17" s="146"/>
      <c r="AH17" s="146" t="s">
        <v>66</v>
      </c>
      <c r="AI17" s="146"/>
      <c r="AM17" s="87"/>
      <c r="AN17" s="1"/>
      <c r="AO17" s="1"/>
    </row>
    <row r="18" spans="2:41" x14ac:dyDescent="0.35">
      <c r="B18" s="151" t="s">
        <v>28</v>
      </c>
      <c r="C18" s="82">
        <v>1</v>
      </c>
      <c r="D18" s="8">
        <f>D4</f>
        <v>29.77</v>
      </c>
      <c r="E18" s="83">
        <v>40</v>
      </c>
      <c r="F18" s="82">
        <v>37180</v>
      </c>
      <c r="G18" s="58">
        <f>F18/(E18*D18)</f>
        <v>31.222707423580786</v>
      </c>
      <c r="H18" s="169">
        <f>AVERAGE(G18:G23)</f>
        <v>26.621445396854266</v>
      </c>
      <c r="J18" s="193"/>
      <c r="K18" s="194"/>
      <c r="L18" s="195"/>
      <c r="M18" s="194"/>
      <c r="N18" s="194"/>
      <c r="O18" s="196"/>
      <c r="P18" s="197"/>
      <c r="Q18" s="193"/>
      <c r="V18" s="87" t="s">
        <v>68</v>
      </c>
      <c r="W18" s="1" t="s">
        <v>28</v>
      </c>
      <c r="X18" s="1" t="s">
        <v>29</v>
      </c>
      <c r="Y18" t="s">
        <v>28</v>
      </c>
      <c r="Z18" t="s">
        <v>29</v>
      </c>
      <c r="AE18" s="87" t="s">
        <v>68</v>
      </c>
      <c r="AF18" s="1" t="s">
        <v>28</v>
      </c>
      <c r="AG18" s="1" t="s">
        <v>29</v>
      </c>
      <c r="AH18" t="s">
        <v>28</v>
      </c>
      <c r="AI18" t="s">
        <v>29</v>
      </c>
      <c r="AN18" s="2"/>
      <c r="AO18" s="2"/>
    </row>
    <row r="19" spans="2:41" x14ac:dyDescent="0.35">
      <c r="B19" s="151"/>
      <c r="C19" s="82">
        <v>2</v>
      </c>
      <c r="D19" s="8">
        <f>D4</f>
        <v>29.77</v>
      </c>
      <c r="E19" s="83">
        <v>40</v>
      </c>
      <c r="F19" s="82">
        <v>37180</v>
      </c>
      <c r="G19" s="58">
        <f t="shared" ref="G19:G29" si="5">F19/(E19*D19)</f>
        <v>31.222707423580786</v>
      </c>
      <c r="H19" s="169"/>
      <c r="J19" s="193"/>
      <c r="K19" s="194"/>
      <c r="L19" s="195"/>
      <c r="M19" s="194"/>
      <c r="N19" s="194"/>
      <c r="O19" s="196"/>
      <c r="P19" s="197"/>
      <c r="Q19" s="193"/>
      <c r="V19">
        <v>1</v>
      </c>
      <c r="W19" s="2">
        <v>4.5999999999999996</v>
      </c>
      <c r="X19" s="2">
        <v>5.5</v>
      </c>
      <c r="Y19" s="85">
        <f>'Strength_20%CO2_1 d'!I5</f>
        <v>1.1203027301028807</v>
      </c>
      <c r="Z19" s="85">
        <f>'Strength_20%CO2_1 d'!I8</f>
        <v>0.45915731945918709</v>
      </c>
      <c r="AE19" t="s">
        <v>69</v>
      </c>
      <c r="AF19" s="2">
        <v>23.4</v>
      </c>
      <c r="AG19" s="2">
        <v>33.5</v>
      </c>
      <c r="AH19" s="85">
        <f>'Strength_20%CO2_1 d'!I18</f>
        <v>5.4464233458187676</v>
      </c>
      <c r="AI19" s="85">
        <f>'Strength_20%CO2_1 d'!I24</f>
        <v>6.298393083743985</v>
      </c>
      <c r="AN19" s="2"/>
      <c r="AO19" s="2"/>
    </row>
    <row r="20" spans="2:41" x14ac:dyDescent="0.35">
      <c r="B20" s="151"/>
      <c r="C20" s="82">
        <v>3</v>
      </c>
      <c r="D20" s="8">
        <f>D5</f>
        <v>31.816666666666666</v>
      </c>
      <c r="E20" s="83">
        <v>40</v>
      </c>
      <c r="F20" s="82">
        <v>14460</v>
      </c>
      <c r="G20" s="58">
        <f t="shared" si="5"/>
        <v>11.361969617600838</v>
      </c>
      <c r="H20" s="169"/>
      <c r="J20" s="193"/>
      <c r="K20" s="194"/>
      <c r="L20" s="195"/>
      <c r="M20" s="194"/>
      <c r="N20" s="194"/>
      <c r="O20" s="196"/>
      <c r="P20" s="197"/>
      <c r="Q20" s="193"/>
      <c r="V20">
        <v>2</v>
      </c>
      <c r="W20" s="2">
        <v>4.5999999999999996</v>
      </c>
      <c r="X20" s="2">
        <v>5</v>
      </c>
      <c r="Y20" s="85">
        <f>'Strength_20%CO2_2 d'!I5</f>
        <v>0.9378215464618439</v>
      </c>
      <c r="Z20" s="85">
        <f>'Strength_20%CO2_2 d'!I8</f>
        <v>0.81542645979320627</v>
      </c>
      <c r="AE20" t="s">
        <v>70</v>
      </c>
      <c r="AF20" s="2">
        <v>32.799999999999997</v>
      </c>
      <c r="AG20" s="2">
        <v>30.4</v>
      </c>
      <c r="AH20" s="85">
        <f>'Strength_20%CO2_2 d'!I18</f>
        <v>2.774893810473241</v>
      </c>
      <c r="AI20" s="85">
        <f>'Strength_20%CO2_2 d'!I24</f>
        <v>3.9856089690005549</v>
      </c>
      <c r="AN20" s="2"/>
      <c r="AO20" s="2"/>
    </row>
    <row r="21" spans="2:41" x14ac:dyDescent="0.35">
      <c r="B21" s="151"/>
      <c r="C21" s="82">
        <v>4</v>
      </c>
      <c r="D21" s="8">
        <f>D5</f>
        <v>31.816666666666666</v>
      </c>
      <c r="E21" s="83">
        <v>40</v>
      </c>
      <c r="F21" s="82">
        <v>16740</v>
      </c>
      <c r="G21" s="58">
        <f t="shared" si="5"/>
        <v>13.153483499214248</v>
      </c>
      <c r="H21" s="169"/>
      <c r="J21" s="193"/>
      <c r="K21" s="194"/>
      <c r="L21" s="195"/>
      <c r="M21" s="194"/>
      <c r="N21" s="194"/>
      <c r="O21" s="196"/>
      <c r="P21" s="197"/>
      <c r="Q21" s="193"/>
      <c r="V21" t="s">
        <v>72</v>
      </c>
      <c r="W21" s="2">
        <v>5</v>
      </c>
      <c r="X21" s="2">
        <v>6.1</v>
      </c>
      <c r="Y21" s="85">
        <f>I4</f>
        <v>1.5485748410034552</v>
      </c>
      <c r="Z21" s="85">
        <f>I7</f>
        <v>1.4193747973254112</v>
      </c>
      <c r="AE21" t="s">
        <v>71</v>
      </c>
      <c r="AF21" s="2">
        <v>33.799999999999997</v>
      </c>
      <c r="AG21" s="2">
        <v>40.1</v>
      </c>
      <c r="AH21" s="85">
        <f>I35</f>
        <v>3.3107705065154502</v>
      </c>
      <c r="AI21" s="85">
        <f>I40</f>
        <v>9.4051883578464253</v>
      </c>
    </row>
    <row r="22" spans="2:41" x14ac:dyDescent="0.35">
      <c r="B22" s="151"/>
      <c r="C22" s="82">
        <v>5</v>
      </c>
      <c r="D22" s="8">
        <f>D6</f>
        <v>28.223333333333333</v>
      </c>
      <c r="E22" s="83">
        <v>40</v>
      </c>
      <c r="F22" s="82">
        <v>39080</v>
      </c>
      <c r="G22" s="58">
        <f t="shared" si="5"/>
        <v>34.616747372150698</v>
      </c>
      <c r="H22" s="169"/>
      <c r="J22" s="193"/>
      <c r="K22" s="194"/>
      <c r="L22" s="195"/>
      <c r="M22" s="194"/>
      <c r="N22" s="194"/>
      <c r="O22" s="196"/>
      <c r="P22" s="198"/>
      <c r="Q22" s="193"/>
    </row>
    <row r="23" spans="2:41" x14ac:dyDescent="0.35">
      <c r="B23" s="151"/>
      <c r="C23" s="82">
        <v>6</v>
      </c>
      <c r="D23" s="8">
        <f>D6</f>
        <v>28.223333333333333</v>
      </c>
      <c r="E23" s="83">
        <v>40</v>
      </c>
      <c r="F23" s="82">
        <v>43070</v>
      </c>
      <c r="G23" s="58">
        <f t="shared" si="5"/>
        <v>38.151057044998225</v>
      </c>
      <c r="H23" s="169"/>
      <c r="J23" s="193"/>
      <c r="K23" s="194"/>
      <c r="L23" s="195"/>
      <c r="M23" s="194"/>
      <c r="N23" s="194"/>
      <c r="O23" s="196"/>
      <c r="P23" s="198"/>
      <c r="Q23" s="193"/>
    </row>
    <row r="24" spans="2:41" x14ac:dyDescent="0.35">
      <c r="B24" s="151" t="s">
        <v>29</v>
      </c>
      <c r="C24" s="82">
        <v>1</v>
      </c>
      <c r="D24" s="83">
        <f>E7</f>
        <v>43.106666666666662</v>
      </c>
      <c r="E24" s="83">
        <v>40</v>
      </c>
      <c r="F24" s="82">
        <v>82660</v>
      </c>
      <c r="G24" s="58">
        <f t="shared" si="5"/>
        <v>47.93922053819982</v>
      </c>
      <c r="H24" s="169">
        <f>AVERAGE(G24:G29)</f>
        <v>40.090672066096651</v>
      </c>
      <c r="J24" s="193"/>
      <c r="K24" s="193"/>
      <c r="L24" s="193"/>
      <c r="M24" s="193"/>
      <c r="N24" s="193"/>
      <c r="O24" s="193"/>
      <c r="P24" s="193"/>
      <c r="Q24" s="193"/>
    </row>
    <row r="25" spans="2:41" x14ac:dyDescent="0.35">
      <c r="B25" s="151"/>
      <c r="C25" s="82">
        <v>2</v>
      </c>
      <c r="D25" s="83">
        <f>E7</f>
        <v>43.106666666666662</v>
      </c>
      <c r="E25" s="83">
        <v>40</v>
      </c>
      <c r="F25" s="82">
        <v>81720</v>
      </c>
      <c r="G25" s="58">
        <f t="shared" si="5"/>
        <v>47.394061243427167</v>
      </c>
      <c r="H25" s="169"/>
      <c r="J25" s="193"/>
      <c r="K25" s="193"/>
      <c r="L25" s="193"/>
      <c r="M25" s="193"/>
      <c r="N25" s="193"/>
      <c r="O25" s="193"/>
      <c r="P25" s="193"/>
      <c r="Q25" s="193"/>
    </row>
    <row r="26" spans="2:41" x14ac:dyDescent="0.35">
      <c r="B26" s="151"/>
      <c r="C26" s="82">
        <v>3</v>
      </c>
      <c r="D26" s="83">
        <f>E8</f>
        <v>42.076666666666668</v>
      </c>
      <c r="E26" s="83">
        <v>40</v>
      </c>
      <c r="F26" s="82">
        <v>76050</v>
      </c>
      <c r="G26" s="58">
        <f t="shared" si="5"/>
        <v>45.185375901132858</v>
      </c>
      <c r="H26" s="169"/>
      <c r="J26" s="193"/>
      <c r="K26" s="193"/>
      <c r="L26" s="193"/>
      <c r="M26" s="193"/>
      <c r="N26" s="193"/>
      <c r="O26" s="193"/>
      <c r="P26" s="193"/>
      <c r="Q26" s="193"/>
    </row>
    <row r="27" spans="2:41" x14ac:dyDescent="0.35">
      <c r="B27" s="151"/>
      <c r="C27" s="82">
        <v>4</v>
      </c>
      <c r="D27" s="83">
        <f>E8</f>
        <v>42.076666666666668</v>
      </c>
      <c r="E27" s="83">
        <v>40</v>
      </c>
      <c r="F27" s="82">
        <v>73180</v>
      </c>
      <c r="G27" s="58">
        <f t="shared" si="5"/>
        <v>43.480155272122317</v>
      </c>
      <c r="H27" s="169"/>
    </row>
    <row r="28" spans="2:41" x14ac:dyDescent="0.35">
      <c r="B28" s="151"/>
      <c r="C28" s="82">
        <v>5</v>
      </c>
      <c r="D28" s="83">
        <f>E9</f>
        <v>43.823333333333331</v>
      </c>
      <c r="E28" s="83">
        <v>40</v>
      </c>
      <c r="F28" s="82">
        <v>53590</v>
      </c>
      <c r="G28" s="58">
        <f t="shared" si="5"/>
        <v>30.571613295808934</v>
      </c>
      <c r="H28" s="169"/>
    </row>
    <row r="29" spans="2:41" x14ac:dyDescent="0.35">
      <c r="B29" s="151"/>
      <c r="C29" s="82">
        <v>6</v>
      </c>
      <c r="D29" s="83">
        <f>E9</f>
        <v>43.823333333333331</v>
      </c>
      <c r="E29" s="83">
        <v>40</v>
      </c>
      <c r="F29" s="82">
        <v>45530</v>
      </c>
      <c r="G29" s="58">
        <f t="shared" si="5"/>
        <v>25.973606145888798</v>
      </c>
      <c r="H29" s="169"/>
    </row>
    <row r="32" spans="2:41" x14ac:dyDescent="0.35">
      <c r="C32" s="166" t="s">
        <v>132</v>
      </c>
      <c r="D32" s="166"/>
      <c r="E32" s="166"/>
      <c r="F32" s="166"/>
      <c r="G32" s="166"/>
    </row>
    <row r="33" spans="2:14" ht="58" x14ac:dyDescent="0.35">
      <c r="B33" s="29" t="s">
        <v>19</v>
      </c>
      <c r="C33" s="29" t="s">
        <v>24</v>
      </c>
      <c r="D33" s="29" t="s">
        <v>25</v>
      </c>
      <c r="E33" s="29" t="s">
        <v>26</v>
      </c>
      <c r="F33" s="30" t="s">
        <v>51</v>
      </c>
      <c r="G33" s="30" t="s">
        <v>52</v>
      </c>
      <c r="H33" s="81" t="s">
        <v>142</v>
      </c>
    </row>
    <row r="34" spans="2:14" x14ac:dyDescent="0.35">
      <c r="B34" s="151" t="s">
        <v>28</v>
      </c>
      <c r="C34" s="82">
        <v>1</v>
      </c>
      <c r="D34" s="8">
        <f>D18</f>
        <v>29.77</v>
      </c>
      <c r="E34" s="83">
        <v>40</v>
      </c>
      <c r="F34" s="82">
        <v>37180</v>
      </c>
      <c r="G34" s="58">
        <f>F34/(E34*D34)</f>
        <v>31.222707423580786</v>
      </c>
      <c r="H34" s="169">
        <f>AVERAGE(G34:G37)</f>
        <v>33.803304816077627</v>
      </c>
      <c r="L34" s="1" t="s">
        <v>28</v>
      </c>
      <c r="M34" s="2">
        <f>H34</f>
        <v>33.803304816077627</v>
      </c>
      <c r="N34" s="85">
        <f>H4</f>
        <v>4.9553116021219354</v>
      </c>
    </row>
    <row r="35" spans="2:14" x14ac:dyDescent="0.35">
      <c r="B35" s="151"/>
      <c r="C35" s="82">
        <v>2</v>
      </c>
      <c r="D35" s="8">
        <f>D19</f>
        <v>29.77</v>
      </c>
      <c r="E35" s="83">
        <v>40</v>
      </c>
      <c r="F35" s="82">
        <v>37180</v>
      </c>
      <c r="G35" s="58">
        <f t="shared" ref="G35:G43" si="6">F35/(E35*D35)</f>
        <v>31.222707423580786</v>
      </c>
      <c r="H35" s="169"/>
      <c r="I35">
        <f>STDEV(G34:G37)</f>
        <v>3.3107705065154502</v>
      </c>
      <c r="L35" s="1" t="s">
        <v>29</v>
      </c>
      <c r="M35" s="2">
        <f>H38</f>
        <v>40.090672066096651</v>
      </c>
      <c r="N35" s="85">
        <f>H7</f>
        <v>6.0530736484334033</v>
      </c>
    </row>
    <row r="36" spans="2:14" x14ac:dyDescent="0.35">
      <c r="B36" s="151"/>
      <c r="C36" s="82">
        <v>3</v>
      </c>
      <c r="D36" s="8">
        <f>D22</f>
        <v>28.223333333333333</v>
      </c>
      <c r="E36" s="83">
        <v>40</v>
      </c>
      <c r="F36" s="82">
        <v>39080</v>
      </c>
      <c r="G36" s="58">
        <f t="shared" si="6"/>
        <v>34.616747372150698</v>
      </c>
      <c r="H36" s="169"/>
    </row>
    <row r="37" spans="2:14" x14ac:dyDescent="0.35">
      <c r="B37" s="151"/>
      <c r="C37" s="82">
        <v>4</v>
      </c>
      <c r="D37" s="8">
        <f>D22</f>
        <v>28.223333333333333</v>
      </c>
      <c r="E37" s="83">
        <v>40</v>
      </c>
      <c r="F37" s="82">
        <v>43070</v>
      </c>
      <c r="G37" s="58">
        <f t="shared" si="6"/>
        <v>38.151057044998225</v>
      </c>
      <c r="H37" s="169"/>
    </row>
    <row r="38" spans="2:14" x14ac:dyDescent="0.35">
      <c r="B38" s="151" t="s">
        <v>29</v>
      </c>
      <c r="C38" s="82">
        <v>1</v>
      </c>
      <c r="D38" s="83">
        <f>D24</f>
        <v>43.106666666666662</v>
      </c>
      <c r="E38" s="83">
        <v>40</v>
      </c>
      <c r="F38" s="82">
        <v>82660</v>
      </c>
      <c r="G38" s="58">
        <f t="shared" si="6"/>
        <v>47.93922053819982</v>
      </c>
      <c r="H38" s="169">
        <f>AVERAGE(G38:G43)</f>
        <v>40.090672066096651</v>
      </c>
    </row>
    <row r="39" spans="2:14" x14ac:dyDescent="0.35">
      <c r="B39" s="151"/>
      <c r="C39" s="82">
        <v>2</v>
      </c>
      <c r="D39" s="83">
        <f t="shared" ref="D39:D43" si="7">D25</f>
        <v>43.106666666666662</v>
      </c>
      <c r="E39" s="83">
        <v>40</v>
      </c>
      <c r="F39" s="82">
        <v>81720</v>
      </c>
      <c r="G39" s="58">
        <f t="shared" si="6"/>
        <v>47.394061243427167</v>
      </c>
      <c r="H39" s="169"/>
    </row>
    <row r="40" spans="2:14" x14ac:dyDescent="0.35">
      <c r="B40" s="151"/>
      <c r="C40" s="82">
        <v>3</v>
      </c>
      <c r="D40" s="83">
        <f t="shared" si="7"/>
        <v>42.076666666666668</v>
      </c>
      <c r="E40" s="83">
        <v>40</v>
      </c>
      <c r="F40" s="82">
        <v>76050</v>
      </c>
      <c r="G40" s="58">
        <f t="shared" si="6"/>
        <v>45.185375901132858</v>
      </c>
      <c r="H40" s="169"/>
      <c r="I40">
        <f>STDEV(G38:G43)</f>
        <v>9.4051883578464253</v>
      </c>
    </row>
    <row r="41" spans="2:14" x14ac:dyDescent="0.35">
      <c r="B41" s="151"/>
      <c r="C41" s="82">
        <v>4</v>
      </c>
      <c r="D41" s="83">
        <f t="shared" si="7"/>
        <v>42.076666666666668</v>
      </c>
      <c r="E41" s="83">
        <v>40</v>
      </c>
      <c r="F41" s="82">
        <v>73180</v>
      </c>
      <c r="G41" s="58">
        <f t="shared" si="6"/>
        <v>43.480155272122317</v>
      </c>
      <c r="H41" s="169"/>
    </row>
    <row r="42" spans="2:14" x14ac:dyDescent="0.35">
      <c r="B42" s="151"/>
      <c r="C42" s="82">
        <v>5</v>
      </c>
      <c r="D42" s="83">
        <f t="shared" si="7"/>
        <v>43.823333333333331</v>
      </c>
      <c r="E42" s="83">
        <v>40</v>
      </c>
      <c r="F42" s="82">
        <v>53590</v>
      </c>
      <c r="G42" s="58">
        <f t="shared" si="6"/>
        <v>30.571613295808934</v>
      </c>
      <c r="H42" s="169"/>
    </row>
    <row r="43" spans="2:14" x14ac:dyDescent="0.35">
      <c r="B43" s="151"/>
      <c r="C43" s="82">
        <v>6</v>
      </c>
      <c r="D43" s="83">
        <f t="shared" si="7"/>
        <v>43.823333333333331</v>
      </c>
      <c r="E43" s="83">
        <v>40</v>
      </c>
      <c r="F43" s="82">
        <v>45530</v>
      </c>
      <c r="G43" s="58">
        <f t="shared" si="6"/>
        <v>25.973606145888798</v>
      </c>
      <c r="H43" s="169"/>
    </row>
  </sheetData>
  <mergeCells count="22">
    <mergeCell ref="AH17:AI17"/>
    <mergeCell ref="J2:L2"/>
    <mergeCell ref="N2:P2"/>
    <mergeCell ref="B4:B6"/>
    <mergeCell ref="H4:H6"/>
    <mergeCell ref="I4:I6"/>
    <mergeCell ref="B7:B9"/>
    <mergeCell ref="H7:H9"/>
    <mergeCell ref="I7:I9"/>
    <mergeCell ref="W17:X17"/>
    <mergeCell ref="Y17:Z17"/>
    <mergeCell ref="AF17:AG17"/>
    <mergeCell ref="B38:B43"/>
    <mergeCell ref="H38:H43"/>
    <mergeCell ref="B18:B23"/>
    <mergeCell ref="H18:H23"/>
    <mergeCell ref="P18:P21"/>
    <mergeCell ref="B24:B29"/>
    <mergeCell ref="H24:H29"/>
    <mergeCell ref="B34:B37"/>
    <mergeCell ref="H34:H37"/>
    <mergeCell ref="C32:G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72CD-045C-4B2F-935F-422B13C88D71}">
  <dimension ref="B2:Z43"/>
  <sheetViews>
    <sheetView zoomScale="64" zoomScaleNormal="70" workbookViewId="0">
      <selection activeCell="H3" sqref="H3"/>
    </sheetView>
  </sheetViews>
  <sheetFormatPr defaultRowHeight="14.5" x14ac:dyDescent="0.35"/>
  <sheetData>
    <row r="2" spans="2:26" x14ac:dyDescent="0.35">
      <c r="J2" s="182" t="s">
        <v>55</v>
      </c>
      <c r="K2" s="182"/>
      <c r="L2" s="182"/>
      <c r="M2" s="86"/>
      <c r="N2" s="182" t="s">
        <v>56</v>
      </c>
      <c r="O2" s="182"/>
      <c r="P2" s="182"/>
    </row>
    <row r="3" spans="2:26" ht="58" x14ac:dyDescent="0.35">
      <c r="B3" s="29" t="s">
        <v>19</v>
      </c>
      <c r="C3" s="32" t="s">
        <v>20</v>
      </c>
      <c r="D3" s="29" t="s">
        <v>21</v>
      </c>
      <c r="E3" s="29" t="s">
        <v>22</v>
      </c>
      <c r="F3" s="30" t="s">
        <v>27</v>
      </c>
      <c r="G3" s="30" t="s">
        <v>57</v>
      </c>
      <c r="H3" s="30" t="s">
        <v>143</v>
      </c>
      <c r="I3" s="30" t="s">
        <v>53</v>
      </c>
      <c r="J3" s="30" t="s">
        <v>137</v>
      </c>
      <c r="K3" s="30" t="s">
        <v>138</v>
      </c>
      <c r="L3" s="30" t="s">
        <v>135</v>
      </c>
      <c r="M3" s="84"/>
      <c r="N3" s="30" t="s">
        <v>136</v>
      </c>
      <c r="O3" s="30" t="s">
        <v>139</v>
      </c>
      <c r="P3" s="30" t="s">
        <v>140</v>
      </c>
      <c r="Q3" s="84"/>
      <c r="R3" s="30" t="s">
        <v>63</v>
      </c>
      <c r="S3" s="30" t="s">
        <v>64</v>
      </c>
    </row>
    <row r="4" spans="2:26" x14ac:dyDescent="0.35">
      <c r="B4" s="151" t="s">
        <v>28</v>
      </c>
      <c r="C4" s="5">
        <v>1</v>
      </c>
      <c r="D4" s="8">
        <f>AVERAGE(J4:L4)</f>
        <v>31</v>
      </c>
      <c r="E4" s="8">
        <f>AVERAGE(N4:P4)</f>
        <v>37.666666666666664</v>
      </c>
      <c r="F4" s="8">
        <v>1721</v>
      </c>
      <c r="G4" s="7">
        <f>1.5*F4*100/(D4*E4^2)</f>
        <v>5.8694317639242231</v>
      </c>
      <c r="H4" s="180">
        <f>AVERAGE(G4:G6)</f>
        <v>4.6073130832360185</v>
      </c>
      <c r="I4" s="84"/>
      <c r="J4" s="84">
        <v>31</v>
      </c>
      <c r="K4" s="84">
        <v>31</v>
      </c>
      <c r="L4" s="84">
        <v>31</v>
      </c>
      <c r="M4" s="84"/>
      <c r="N4" s="84">
        <v>39</v>
      </c>
      <c r="O4" s="84">
        <v>37</v>
      </c>
      <c r="P4" s="84">
        <v>37</v>
      </c>
      <c r="Q4" s="84"/>
      <c r="R4" s="89">
        <v>366.1</v>
      </c>
      <c r="S4" s="89">
        <f t="shared" ref="S4:S9" si="0">R4*1000/(D4*E4*0.16)</f>
        <v>1959.570368255781</v>
      </c>
    </row>
    <row r="5" spans="2:26" x14ac:dyDescent="0.35">
      <c r="B5" s="151"/>
      <c r="C5" s="5">
        <v>2</v>
      </c>
      <c r="D5" s="8">
        <f t="shared" ref="D5:D9" si="1">AVERAGE(J5:L5)</f>
        <v>33.333333333333336</v>
      </c>
      <c r="E5" s="8">
        <f t="shared" ref="E5:E9" si="2">AVERAGE(N5:P5)</f>
        <v>40.666666666666664</v>
      </c>
      <c r="F5" s="8">
        <v>1371</v>
      </c>
      <c r="G5" s="7">
        <f t="shared" ref="G5:G6" si="3">1.5*F5*100/(D5*E5^2)</f>
        <v>3.7305495834453102</v>
      </c>
      <c r="H5" s="180"/>
      <c r="I5" s="84">
        <f>STDEV(G4:G6)</f>
        <v>1.1203027301028807</v>
      </c>
      <c r="J5" s="84">
        <v>33</v>
      </c>
      <c r="K5" s="84">
        <v>33</v>
      </c>
      <c r="L5" s="84">
        <v>34</v>
      </c>
      <c r="M5" s="84"/>
      <c r="N5" s="84">
        <v>40</v>
      </c>
      <c r="O5" s="84">
        <v>41</v>
      </c>
      <c r="P5" s="84">
        <v>41</v>
      </c>
      <c r="Q5" s="84"/>
      <c r="R5" s="89">
        <v>392.15</v>
      </c>
      <c r="S5" s="89">
        <f t="shared" si="0"/>
        <v>1808.0686475409834</v>
      </c>
      <c r="V5">
        <f>AVERAGE(S4:S6)</f>
        <v>1856.8506050050444</v>
      </c>
    </row>
    <row r="6" spans="2:26" x14ac:dyDescent="0.35">
      <c r="B6" s="151"/>
      <c r="C6" s="5">
        <v>3</v>
      </c>
      <c r="D6" s="8">
        <f t="shared" si="1"/>
        <v>29.666666666666668</v>
      </c>
      <c r="E6" s="8">
        <f t="shared" si="2"/>
        <v>38.333333333333336</v>
      </c>
      <c r="F6" s="8">
        <v>1227</v>
      </c>
      <c r="G6" s="7">
        <f t="shared" si="3"/>
        <v>4.2219579023385219</v>
      </c>
      <c r="H6" s="180"/>
      <c r="I6" s="84"/>
      <c r="J6" s="84">
        <v>29</v>
      </c>
      <c r="K6" s="84">
        <v>30</v>
      </c>
      <c r="L6" s="84">
        <v>30</v>
      </c>
      <c r="M6" s="84"/>
      <c r="N6" s="84">
        <v>39</v>
      </c>
      <c r="O6" s="84">
        <v>38</v>
      </c>
      <c r="P6" s="84">
        <v>38</v>
      </c>
      <c r="Q6" s="84"/>
      <c r="R6" s="89">
        <v>328.05</v>
      </c>
      <c r="S6" s="89">
        <f t="shared" si="0"/>
        <v>1802.912799218368</v>
      </c>
      <c r="T6">
        <f>STDEV(S4:S9)</f>
        <v>88.508577272164317</v>
      </c>
      <c r="Z6">
        <f>T6*100/1881.3</f>
        <v>4.7046498310829916</v>
      </c>
    </row>
    <row r="7" spans="2:26" x14ac:dyDescent="0.35">
      <c r="B7" s="151" t="s">
        <v>29</v>
      </c>
      <c r="C7" s="5">
        <v>1</v>
      </c>
      <c r="D7" s="8">
        <f t="shared" si="1"/>
        <v>32.333333333333336</v>
      </c>
      <c r="E7" s="8">
        <f t="shared" si="2"/>
        <v>41</v>
      </c>
      <c r="F7" s="8">
        <v>1730</v>
      </c>
      <c r="G7" s="7">
        <f>1.5*F7*100/(E7*D7^2)</f>
        <v>6.0541412088581499</v>
      </c>
      <c r="H7" s="180">
        <f>AVERAGE(G7:G9)</f>
        <v>5.5435213912161538</v>
      </c>
      <c r="I7" s="84"/>
      <c r="J7" s="84">
        <v>32</v>
      </c>
      <c r="K7" s="84">
        <v>32</v>
      </c>
      <c r="L7" s="84">
        <v>33</v>
      </c>
      <c r="M7" s="84"/>
      <c r="N7" s="84">
        <v>40</v>
      </c>
      <c r="O7" s="84">
        <v>41</v>
      </c>
      <c r="P7" s="84">
        <v>42</v>
      </c>
      <c r="Q7" s="84"/>
      <c r="R7" s="89">
        <v>424.2</v>
      </c>
      <c r="S7" s="89">
        <f t="shared" si="0"/>
        <v>1999.9371385466432</v>
      </c>
      <c r="X7" s="85">
        <f>AVERAGE(V5:V8)</f>
        <v>1907.0449086997464</v>
      </c>
    </row>
    <row r="8" spans="2:26" x14ac:dyDescent="0.35">
      <c r="B8" s="151"/>
      <c r="C8" s="5">
        <v>2</v>
      </c>
      <c r="D8" s="8">
        <f t="shared" si="1"/>
        <v>32.666666666666664</v>
      </c>
      <c r="E8" s="8">
        <f t="shared" si="2"/>
        <v>38</v>
      </c>
      <c r="F8" s="8">
        <v>1463</v>
      </c>
      <c r="G8" s="7">
        <f t="shared" ref="G8:G9" si="4">1.5*F8*100/(E8*D8^2)</f>
        <v>5.4118075801749281</v>
      </c>
      <c r="H8" s="180"/>
      <c r="I8" s="84">
        <f>STDEV(G7:G9)</f>
        <v>0.45915731945918709</v>
      </c>
      <c r="J8" s="84">
        <v>32</v>
      </c>
      <c r="K8" s="84">
        <v>33</v>
      </c>
      <c r="L8" s="84">
        <v>33</v>
      </c>
      <c r="M8" s="84"/>
      <c r="N8" s="84">
        <v>38</v>
      </c>
      <c r="O8" s="84">
        <v>38</v>
      </c>
      <c r="P8" s="84">
        <v>38</v>
      </c>
      <c r="Q8" s="84"/>
      <c r="R8" s="89">
        <v>374.1</v>
      </c>
      <c r="S8" s="89">
        <f t="shared" si="0"/>
        <v>1883.559344790548</v>
      </c>
      <c r="V8">
        <f>AVERAGE(S7:S9)</f>
        <v>1957.2392123944483</v>
      </c>
    </row>
    <row r="9" spans="2:26" x14ac:dyDescent="0.35">
      <c r="B9" s="151"/>
      <c r="C9" s="5">
        <v>3</v>
      </c>
      <c r="D9" s="8">
        <f t="shared" si="1"/>
        <v>33.333333333333336</v>
      </c>
      <c r="E9" s="8">
        <f t="shared" si="2"/>
        <v>39</v>
      </c>
      <c r="F9" s="8">
        <v>1492</v>
      </c>
      <c r="G9" s="7">
        <f t="shared" si="4"/>
        <v>5.1646153846153835</v>
      </c>
      <c r="H9" s="180"/>
      <c r="I9" s="84"/>
      <c r="J9" s="84">
        <v>35</v>
      </c>
      <c r="K9" s="84">
        <v>33</v>
      </c>
      <c r="L9" s="84">
        <v>32</v>
      </c>
      <c r="M9" s="84"/>
      <c r="N9" s="84">
        <v>38</v>
      </c>
      <c r="O9" s="84">
        <v>39</v>
      </c>
      <c r="P9" s="84">
        <v>40</v>
      </c>
      <c r="Q9" s="84"/>
      <c r="R9" s="89">
        <v>413.55</v>
      </c>
      <c r="S9" s="89">
        <f t="shared" si="0"/>
        <v>1988.2211538461538</v>
      </c>
    </row>
    <row r="11" spans="2:26" x14ac:dyDescent="0.35"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</row>
    <row r="12" spans="2:26" x14ac:dyDescent="0.35">
      <c r="B12" s="90"/>
      <c r="C12" s="91"/>
      <c r="D12" s="92"/>
      <c r="E12" s="92"/>
      <c r="F12" s="93"/>
      <c r="G12" s="94"/>
      <c r="H12" s="187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</row>
    <row r="13" spans="2:26" x14ac:dyDescent="0.35">
      <c r="B13" s="90"/>
      <c r="C13" s="91"/>
      <c r="D13" s="92"/>
      <c r="E13" s="92"/>
      <c r="F13" s="93"/>
      <c r="G13" s="94"/>
      <c r="H13" s="187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</row>
    <row r="14" spans="2:26" x14ac:dyDescent="0.35"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</row>
    <row r="15" spans="2:26" x14ac:dyDescent="0.35"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</row>
    <row r="17" spans="2:17" ht="58" x14ac:dyDescent="0.35">
      <c r="B17" s="29" t="s">
        <v>19</v>
      </c>
      <c r="C17" s="29" t="s">
        <v>24</v>
      </c>
      <c r="D17" s="29" t="s">
        <v>25</v>
      </c>
      <c r="E17" s="29" t="s">
        <v>26</v>
      </c>
      <c r="F17" s="30" t="s">
        <v>51</v>
      </c>
      <c r="G17" s="30" t="s">
        <v>52</v>
      </c>
      <c r="H17" s="81" t="s">
        <v>142</v>
      </c>
      <c r="I17" s="30" t="s">
        <v>53</v>
      </c>
      <c r="J17" s="90"/>
      <c r="K17" s="90"/>
      <c r="L17" s="90"/>
      <c r="M17" s="90"/>
      <c r="N17" s="90"/>
      <c r="O17" s="90"/>
      <c r="P17" s="90"/>
      <c r="Q17" s="90"/>
    </row>
    <row r="18" spans="2:17" x14ac:dyDescent="0.35">
      <c r="B18" s="151" t="s">
        <v>28</v>
      </c>
      <c r="C18" s="82">
        <v>1</v>
      </c>
      <c r="D18" s="8">
        <f>D4</f>
        <v>31</v>
      </c>
      <c r="E18" s="83">
        <v>40</v>
      </c>
      <c r="F18" s="82">
        <v>40520</v>
      </c>
      <c r="G18" s="58">
        <f>F18/(E18*D18)</f>
        <v>32.677419354838712</v>
      </c>
      <c r="H18" s="169">
        <f>AVERAGE(G18:G23)</f>
        <v>23.367866829769238</v>
      </c>
      <c r="I18" s="155">
        <f>STDEV(G18:G23)</f>
        <v>5.4464233458187676</v>
      </c>
      <c r="J18" s="90"/>
      <c r="K18" s="96"/>
      <c r="L18" s="92"/>
      <c r="M18" s="96"/>
      <c r="N18" s="96"/>
      <c r="O18" s="95"/>
      <c r="P18" s="187"/>
      <c r="Q18" s="90"/>
    </row>
    <row r="19" spans="2:17" x14ac:dyDescent="0.35">
      <c r="B19" s="151"/>
      <c r="C19" s="82">
        <v>2</v>
      </c>
      <c r="D19" s="8">
        <f>D4</f>
        <v>31</v>
      </c>
      <c r="E19" s="83">
        <v>40</v>
      </c>
      <c r="F19" s="82">
        <v>32780</v>
      </c>
      <c r="G19" s="58">
        <f t="shared" ref="G19:G29" si="5">F19/(E19*D19)</f>
        <v>26.43548387096774</v>
      </c>
      <c r="H19" s="169"/>
      <c r="I19" s="155"/>
      <c r="J19" s="90"/>
      <c r="K19" s="96"/>
      <c r="L19" s="92"/>
      <c r="M19" s="96"/>
      <c r="N19" s="96"/>
      <c r="O19" s="95"/>
      <c r="P19" s="187"/>
      <c r="Q19" s="90"/>
    </row>
    <row r="20" spans="2:17" x14ac:dyDescent="0.35">
      <c r="B20" s="151"/>
      <c r="C20" s="82">
        <v>3</v>
      </c>
      <c r="D20" s="8">
        <f>D5</f>
        <v>33.333333333333336</v>
      </c>
      <c r="E20" s="83">
        <v>40</v>
      </c>
      <c r="F20" s="82">
        <v>27230</v>
      </c>
      <c r="G20" s="58">
        <f t="shared" si="5"/>
        <v>20.422499999999999</v>
      </c>
      <c r="H20" s="169"/>
      <c r="I20" s="155"/>
      <c r="J20" s="90"/>
      <c r="K20" s="96"/>
      <c r="L20" s="92"/>
      <c r="M20" s="96"/>
      <c r="N20" s="96"/>
      <c r="O20" s="95"/>
      <c r="P20" s="187"/>
      <c r="Q20" s="90"/>
    </row>
    <row r="21" spans="2:17" x14ac:dyDescent="0.35">
      <c r="B21" s="151"/>
      <c r="C21" s="82">
        <v>4</v>
      </c>
      <c r="D21" s="8">
        <f>D5</f>
        <v>33.333333333333336</v>
      </c>
      <c r="E21" s="83">
        <v>40</v>
      </c>
      <c r="F21" s="82">
        <v>24480</v>
      </c>
      <c r="G21" s="58">
        <f t="shared" si="5"/>
        <v>18.36</v>
      </c>
      <c r="H21" s="169"/>
      <c r="I21" s="155"/>
      <c r="J21" s="90"/>
      <c r="K21" s="96"/>
      <c r="L21" s="92"/>
      <c r="M21" s="96"/>
      <c r="N21" s="96"/>
      <c r="O21" s="95"/>
      <c r="P21" s="187"/>
      <c r="Q21" s="90"/>
    </row>
    <row r="22" spans="2:17" x14ac:dyDescent="0.35">
      <c r="B22" s="151"/>
      <c r="C22" s="82">
        <v>5</v>
      </c>
      <c r="D22" s="8">
        <f>D6</f>
        <v>29.666666666666668</v>
      </c>
      <c r="E22" s="83">
        <v>40</v>
      </c>
      <c r="F22" s="82">
        <v>22630</v>
      </c>
      <c r="G22" s="58">
        <f t="shared" si="5"/>
        <v>19.070224719101123</v>
      </c>
      <c r="H22" s="169"/>
      <c r="I22" s="155"/>
      <c r="J22" s="90"/>
      <c r="K22" s="96"/>
      <c r="L22" s="92"/>
      <c r="M22" s="96"/>
      <c r="N22" s="96"/>
      <c r="O22" s="95"/>
      <c r="P22" s="97"/>
      <c r="Q22" s="90"/>
    </row>
    <row r="23" spans="2:17" x14ac:dyDescent="0.35">
      <c r="B23" s="151"/>
      <c r="C23" s="82">
        <v>6</v>
      </c>
      <c r="D23" s="8">
        <f>D6</f>
        <v>29.666666666666668</v>
      </c>
      <c r="E23" s="83">
        <v>40</v>
      </c>
      <c r="F23" s="82">
        <v>27580</v>
      </c>
      <c r="G23" s="58">
        <f t="shared" si="5"/>
        <v>23.241573033707862</v>
      </c>
      <c r="H23" s="169"/>
      <c r="I23" s="155"/>
      <c r="J23" s="90"/>
      <c r="K23" s="96"/>
      <c r="L23" s="92"/>
      <c r="M23" s="96"/>
      <c r="N23" s="96"/>
      <c r="O23" s="95"/>
      <c r="P23" s="97"/>
      <c r="Q23" s="90"/>
    </row>
    <row r="24" spans="2:17" x14ac:dyDescent="0.35">
      <c r="B24" s="151" t="s">
        <v>29</v>
      </c>
      <c r="C24" s="82">
        <v>1</v>
      </c>
      <c r="D24" s="83">
        <f>E7</f>
        <v>41</v>
      </c>
      <c r="E24" s="83">
        <v>40</v>
      </c>
      <c r="F24" s="82">
        <v>72190</v>
      </c>
      <c r="G24" s="58">
        <f t="shared" si="5"/>
        <v>44.018292682926827</v>
      </c>
      <c r="H24" s="169">
        <f>AVERAGE(G24:G29)</f>
        <v>33.498404978989065</v>
      </c>
      <c r="I24" s="155">
        <f>STDEV(G24:G29)</f>
        <v>6.298393083743985</v>
      </c>
      <c r="J24" s="90"/>
      <c r="K24" s="90"/>
      <c r="L24" s="90"/>
      <c r="M24" s="90"/>
      <c r="N24" s="90"/>
      <c r="O24" s="90"/>
      <c r="P24" s="90"/>
      <c r="Q24" s="90"/>
    </row>
    <row r="25" spans="2:17" x14ac:dyDescent="0.35">
      <c r="B25" s="151"/>
      <c r="C25" s="82">
        <v>2</v>
      </c>
      <c r="D25" s="83">
        <f>E7</f>
        <v>41</v>
      </c>
      <c r="E25" s="83">
        <v>40</v>
      </c>
      <c r="F25" s="82">
        <v>57320</v>
      </c>
      <c r="G25" s="58">
        <f t="shared" si="5"/>
        <v>34.951219512195124</v>
      </c>
      <c r="H25" s="169"/>
      <c r="I25" s="155"/>
      <c r="J25" s="90"/>
      <c r="K25" s="90"/>
      <c r="L25" s="90"/>
      <c r="M25" s="90"/>
      <c r="N25" s="90"/>
      <c r="O25" s="90"/>
      <c r="P25" s="90"/>
      <c r="Q25" s="90"/>
    </row>
    <row r="26" spans="2:17" x14ac:dyDescent="0.35">
      <c r="B26" s="151"/>
      <c r="C26" s="82">
        <v>3</v>
      </c>
      <c r="D26" s="83">
        <f>E8</f>
        <v>38</v>
      </c>
      <c r="E26" s="83">
        <v>40</v>
      </c>
      <c r="F26" s="82">
        <v>43340</v>
      </c>
      <c r="G26" s="58">
        <f t="shared" si="5"/>
        <v>28.513157894736842</v>
      </c>
      <c r="H26" s="169"/>
      <c r="I26" s="155"/>
    </row>
    <row r="27" spans="2:17" x14ac:dyDescent="0.35">
      <c r="B27" s="151"/>
      <c r="C27" s="82">
        <v>4</v>
      </c>
      <c r="D27" s="83">
        <f>E8</f>
        <v>38</v>
      </c>
      <c r="E27" s="83">
        <v>40</v>
      </c>
      <c r="F27" s="82">
        <v>44160</v>
      </c>
      <c r="G27" s="58">
        <f t="shared" si="5"/>
        <v>29.05263157894737</v>
      </c>
      <c r="H27" s="169"/>
      <c r="I27" s="155"/>
    </row>
    <row r="28" spans="2:17" x14ac:dyDescent="0.35">
      <c r="B28" s="151"/>
      <c r="C28" s="82">
        <v>5</v>
      </c>
      <c r="D28" s="83">
        <f>E9</f>
        <v>39</v>
      </c>
      <c r="E28" s="83">
        <v>40</v>
      </c>
      <c r="F28" s="82">
        <v>43500</v>
      </c>
      <c r="G28" s="58">
        <f t="shared" si="5"/>
        <v>27.884615384615383</v>
      </c>
      <c r="H28" s="169"/>
      <c r="I28" s="155"/>
    </row>
    <row r="29" spans="2:17" x14ac:dyDescent="0.35">
      <c r="B29" s="151"/>
      <c r="C29" s="82">
        <v>6</v>
      </c>
      <c r="D29" s="83">
        <f>E9</f>
        <v>39</v>
      </c>
      <c r="E29" s="83">
        <v>40</v>
      </c>
      <c r="F29" s="82">
        <v>57050</v>
      </c>
      <c r="G29" s="58">
        <f t="shared" si="5"/>
        <v>36.570512820512818</v>
      </c>
      <c r="H29" s="169"/>
      <c r="I29" s="155"/>
    </row>
    <row r="32" spans="2:17" x14ac:dyDescent="0.35">
      <c r="F32" s="85"/>
    </row>
    <row r="33" spans="2:14" x14ac:dyDescent="0.35">
      <c r="B33" s="3"/>
      <c r="C33" s="3"/>
      <c r="D33" s="3"/>
      <c r="E33" s="3"/>
      <c r="F33" s="98"/>
      <c r="G33" s="98"/>
      <c r="H33" s="98"/>
    </row>
    <row r="34" spans="2:14" x14ac:dyDescent="0.35">
      <c r="B34" s="148"/>
      <c r="C34" s="27"/>
      <c r="D34" s="31"/>
      <c r="E34" s="99"/>
      <c r="F34" s="27"/>
      <c r="G34" s="100"/>
      <c r="H34" s="186"/>
      <c r="L34" s="1"/>
      <c r="M34" s="2"/>
      <c r="N34" s="85"/>
    </row>
    <row r="35" spans="2:14" x14ac:dyDescent="0.35">
      <c r="B35" s="148"/>
      <c r="C35" s="27"/>
      <c r="D35" s="31"/>
      <c r="E35" s="99"/>
      <c r="F35" s="27"/>
      <c r="G35" s="100"/>
      <c r="H35" s="186"/>
      <c r="L35" s="1"/>
      <c r="M35" s="2"/>
      <c r="N35" s="85"/>
    </row>
    <row r="36" spans="2:14" x14ac:dyDescent="0.35">
      <c r="B36" s="148"/>
      <c r="C36" s="27"/>
      <c r="D36" s="31"/>
      <c r="E36" s="99"/>
      <c r="F36" s="27"/>
      <c r="G36" s="100"/>
      <c r="H36" s="186"/>
    </row>
    <row r="37" spans="2:14" x14ac:dyDescent="0.35">
      <c r="B37" s="148"/>
      <c r="C37" s="27"/>
      <c r="D37" s="31"/>
      <c r="E37" s="99"/>
      <c r="F37" s="27"/>
      <c r="G37" s="100"/>
      <c r="H37" s="186"/>
    </row>
    <row r="38" spans="2:14" x14ac:dyDescent="0.35">
      <c r="B38" s="148"/>
      <c r="C38" s="27"/>
      <c r="D38" s="99"/>
      <c r="E38" s="99"/>
      <c r="F38" s="27"/>
      <c r="G38" s="100"/>
      <c r="H38" s="186"/>
    </row>
    <row r="39" spans="2:14" x14ac:dyDescent="0.35">
      <c r="B39" s="148"/>
      <c r="C39" s="27"/>
      <c r="D39" s="99"/>
      <c r="E39" s="99"/>
      <c r="F39" s="27"/>
      <c r="G39" s="100"/>
      <c r="H39" s="186"/>
    </row>
    <row r="40" spans="2:14" x14ac:dyDescent="0.35">
      <c r="B40" s="148"/>
      <c r="C40" s="27"/>
      <c r="D40" s="99"/>
      <c r="E40" s="99"/>
      <c r="F40" s="27"/>
      <c r="G40" s="100"/>
      <c r="H40" s="186"/>
    </row>
    <row r="41" spans="2:14" x14ac:dyDescent="0.35">
      <c r="B41" s="148"/>
      <c r="C41" s="27"/>
      <c r="D41" s="99"/>
      <c r="E41" s="99"/>
      <c r="F41" s="27"/>
      <c r="G41" s="100"/>
      <c r="H41" s="186"/>
    </row>
    <row r="42" spans="2:14" x14ac:dyDescent="0.35">
      <c r="B42" s="148"/>
      <c r="C42" s="27"/>
      <c r="D42" s="99"/>
      <c r="E42" s="99"/>
      <c r="F42" s="27"/>
      <c r="G42" s="100"/>
      <c r="H42" s="186"/>
    </row>
    <row r="43" spans="2:14" x14ac:dyDescent="0.35">
      <c r="B43" s="148"/>
      <c r="C43" s="27"/>
      <c r="D43" s="99"/>
      <c r="E43" s="99"/>
      <c r="F43" s="27"/>
      <c r="G43" s="100"/>
      <c r="H43" s="186"/>
    </row>
  </sheetData>
  <mergeCells count="18">
    <mergeCell ref="J2:L2"/>
    <mergeCell ref="N2:P2"/>
    <mergeCell ref="B4:B6"/>
    <mergeCell ref="H4:H6"/>
    <mergeCell ref="B7:B9"/>
    <mergeCell ref="H7:H9"/>
    <mergeCell ref="I18:I23"/>
    <mergeCell ref="P18:P21"/>
    <mergeCell ref="B24:B29"/>
    <mergeCell ref="H24:H29"/>
    <mergeCell ref="I24:I29"/>
    <mergeCell ref="B34:B37"/>
    <mergeCell ref="H34:H37"/>
    <mergeCell ref="B38:B43"/>
    <mergeCell ref="H38:H43"/>
    <mergeCell ref="H12:H13"/>
    <mergeCell ref="B18:B23"/>
    <mergeCell ref="H18:H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3694-DB17-4D66-AE68-1202151581B6}">
  <dimension ref="A2:AC46"/>
  <sheetViews>
    <sheetView zoomScale="85" zoomScaleNormal="85" workbookViewId="0">
      <selection activeCell="H3" sqref="H3"/>
    </sheetView>
  </sheetViews>
  <sheetFormatPr defaultRowHeight="14.5" x14ac:dyDescent="0.35"/>
  <sheetData>
    <row r="2" spans="2:29" x14ac:dyDescent="0.35">
      <c r="J2" s="181" t="s">
        <v>55</v>
      </c>
      <c r="K2" s="181"/>
      <c r="L2" s="181"/>
      <c r="M2" s="101"/>
      <c r="N2" s="181" t="s">
        <v>56</v>
      </c>
      <c r="O2" s="181"/>
      <c r="P2" s="181"/>
    </row>
    <row r="3" spans="2:29" ht="58" x14ac:dyDescent="0.35">
      <c r="B3" s="29" t="s">
        <v>19</v>
      </c>
      <c r="C3" s="32" t="s">
        <v>20</v>
      </c>
      <c r="D3" s="29" t="s">
        <v>21</v>
      </c>
      <c r="E3" s="29" t="s">
        <v>22</v>
      </c>
      <c r="F3" s="30" t="s">
        <v>27</v>
      </c>
      <c r="G3" s="30" t="s">
        <v>57</v>
      </c>
      <c r="H3" s="30" t="s">
        <v>143</v>
      </c>
      <c r="I3" s="29" t="s">
        <v>53</v>
      </c>
      <c r="J3" s="30" t="s">
        <v>137</v>
      </c>
      <c r="K3" s="30" t="s">
        <v>138</v>
      </c>
      <c r="L3" s="30" t="s">
        <v>135</v>
      </c>
      <c r="M3" s="84"/>
      <c r="N3" s="30" t="s">
        <v>136</v>
      </c>
      <c r="O3" s="30" t="s">
        <v>139</v>
      </c>
      <c r="P3" s="30" t="s">
        <v>140</v>
      </c>
      <c r="Q3" s="84"/>
      <c r="R3" s="30" t="s">
        <v>63</v>
      </c>
      <c r="S3" s="30" t="s">
        <v>64</v>
      </c>
    </row>
    <row r="4" spans="2:29" x14ac:dyDescent="0.35">
      <c r="B4" s="151" t="s">
        <v>28</v>
      </c>
      <c r="C4" s="5">
        <v>1</v>
      </c>
      <c r="D4" s="8">
        <f>AVERAGE(J4:L4)</f>
        <v>31</v>
      </c>
      <c r="E4" s="8">
        <f>AVERAGE(N4:P4)</f>
        <v>39</v>
      </c>
      <c r="F4" s="8">
        <v>1338</v>
      </c>
      <c r="G4" s="7">
        <f>1.5*F4*100/(D4*E4^2)</f>
        <v>4.2565375071578542</v>
      </c>
      <c r="H4" s="180">
        <f>AVERAGE(G4:G6)</f>
        <v>4.5725839624681184</v>
      </c>
      <c r="I4" s="84"/>
      <c r="J4" s="84">
        <v>30</v>
      </c>
      <c r="K4" s="84">
        <v>31</v>
      </c>
      <c r="L4" s="84">
        <v>32</v>
      </c>
      <c r="M4" s="84"/>
      <c r="N4" s="84">
        <v>40</v>
      </c>
      <c r="O4" s="84">
        <v>39</v>
      </c>
      <c r="P4" s="84">
        <v>38</v>
      </c>
      <c r="Q4" s="84"/>
      <c r="R4" s="89">
        <v>363.15</v>
      </c>
      <c r="S4" s="89">
        <f t="shared" ref="S4:S9" si="0">R4*1000/(D4*E4*0.16)</f>
        <v>1877.3263027295286</v>
      </c>
    </row>
    <row r="5" spans="2:29" x14ac:dyDescent="0.35">
      <c r="B5" s="151"/>
      <c r="C5" s="5">
        <v>2</v>
      </c>
      <c r="D5" s="8">
        <f t="shared" ref="D5:D9" si="1">AVERAGE(J5:L5)</f>
        <v>37</v>
      </c>
      <c r="E5" s="8">
        <f t="shared" ref="E5:E9" si="2">AVERAGE(N5:P5)</f>
        <v>40</v>
      </c>
      <c r="F5" s="8">
        <v>1513</v>
      </c>
      <c r="G5" s="7">
        <f t="shared" ref="G5:G6" si="3">1.5*F5*100/(D5*E5^2)</f>
        <v>3.8336148648648649</v>
      </c>
      <c r="H5" s="180"/>
      <c r="I5" s="84">
        <f>STDEV(G4:G6)</f>
        <v>0.9378215464618439</v>
      </c>
      <c r="J5" s="84">
        <v>36</v>
      </c>
      <c r="K5" s="84">
        <v>37</v>
      </c>
      <c r="L5" s="84">
        <v>38</v>
      </c>
      <c r="M5" s="84"/>
      <c r="N5" s="84">
        <v>40</v>
      </c>
      <c r="O5" s="84">
        <v>40</v>
      </c>
      <c r="P5" s="84">
        <v>40</v>
      </c>
      <c r="Q5" s="84"/>
      <c r="R5" s="89">
        <v>467.85</v>
      </c>
      <c r="S5" s="89">
        <f t="shared" si="0"/>
        <v>1975.7179054054054</v>
      </c>
      <c r="V5">
        <f>AVERAGE(S4:S6)</f>
        <v>1921.092726710662</v>
      </c>
    </row>
    <row r="6" spans="2:29" x14ac:dyDescent="0.35">
      <c r="B6" s="151"/>
      <c r="C6" s="5">
        <v>3</v>
      </c>
      <c r="D6" s="8">
        <f t="shared" si="1"/>
        <v>23</v>
      </c>
      <c r="E6" s="8">
        <f t="shared" si="2"/>
        <v>39.333333333333336</v>
      </c>
      <c r="F6" s="8">
        <v>1335</v>
      </c>
      <c r="G6" s="7">
        <f t="shared" si="3"/>
        <v>5.6275995153816361</v>
      </c>
      <c r="H6" s="180"/>
      <c r="I6" s="84"/>
      <c r="J6" s="84">
        <v>23</v>
      </c>
      <c r="K6" s="84">
        <v>23</v>
      </c>
      <c r="L6" s="84">
        <v>23</v>
      </c>
      <c r="M6" s="84"/>
      <c r="N6" s="84">
        <v>39</v>
      </c>
      <c r="O6" s="84">
        <v>39</v>
      </c>
      <c r="P6" s="84">
        <v>40</v>
      </c>
      <c r="Q6" s="84"/>
      <c r="R6" s="89">
        <v>276.5</v>
      </c>
      <c r="S6" s="89">
        <f t="shared" si="0"/>
        <v>1910.2339719970523</v>
      </c>
      <c r="T6">
        <f>STDEV(S4:S9)</f>
        <v>34.831446585203679</v>
      </c>
      <c r="AC6">
        <f>T6*100/Z7</f>
        <v>1.8514562581833669</v>
      </c>
    </row>
    <row r="7" spans="2:29" x14ac:dyDescent="0.35">
      <c r="B7" s="151" t="s">
        <v>29</v>
      </c>
      <c r="C7" s="5">
        <v>1</v>
      </c>
      <c r="D7" s="8">
        <f t="shared" si="1"/>
        <v>34</v>
      </c>
      <c r="E7" s="8">
        <f t="shared" si="2"/>
        <v>37.333333333333336</v>
      </c>
      <c r="F7" s="8">
        <v>1345</v>
      </c>
      <c r="G7" s="7">
        <f>1.5*F7*100/(E7*D7^2)</f>
        <v>4.6747559317844782</v>
      </c>
      <c r="H7" s="180">
        <f>AVERAGE(G7:G9)</f>
        <v>5.0476088677872539</v>
      </c>
      <c r="I7" s="84"/>
      <c r="J7" s="84">
        <v>34</v>
      </c>
      <c r="K7" s="84">
        <v>34</v>
      </c>
      <c r="L7" s="84">
        <v>34</v>
      </c>
      <c r="M7" s="84"/>
      <c r="N7" s="84">
        <v>40</v>
      </c>
      <c r="O7" s="84">
        <v>39</v>
      </c>
      <c r="P7" s="84">
        <v>33</v>
      </c>
      <c r="Q7" s="84"/>
      <c r="R7" s="89">
        <v>385.1</v>
      </c>
      <c r="S7" s="89">
        <f t="shared" si="0"/>
        <v>1896.1725315126048</v>
      </c>
      <c r="X7" s="85">
        <f>AVERAGE(V5:V8)</f>
        <v>1914.9641211535627</v>
      </c>
      <c r="Z7">
        <v>1881.3</v>
      </c>
    </row>
    <row r="8" spans="2:29" x14ac:dyDescent="0.35">
      <c r="B8" s="151"/>
      <c r="C8" s="5">
        <v>2</v>
      </c>
      <c r="D8" s="8">
        <f t="shared" si="1"/>
        <v>29.333333333333332</v>
      </c>
      <c r="E8" s="8">
        <f t="shared" si="2"/>
        <v>39.333333333333336</v>
      </c>
      <c r="F8" s="8">
        <v>1012</v>
      </c>
      <c r="G8" s="7">
        <f t="shared" ref="G8:G9" si="4">1.5*F8*100/(E8*D8^2)</f>
        <v>4.4852657935285061</v>
      </c>
      <c r="H8" s="180"/>
      <c r="I8" s="84">
        <f>STDEV(G7:G9)</f>
        <v>0.81542645979320627</v>
      </c>
      <c r="J8" s="84">
        <v>30</v>
      </c>
      <c r="K8" s="84">
        <v>29</v>
      </c>
      <c r="L8" s="84">
        <v>29</v>
      </c>
      <c r="M8" s="84"/>
      <c r="N8" s="84">
        <v>39</v>
      </c>
      <c r="O8" s="84">
        <v>39</v>
      </c>
      <c r="P8" s="84">
        <v>40</v>
      </c>
      <c r="Q8" s="84"/>
      <c r="R8" s="89">
        <v>356.7</v>
      </c>
      <c r="S8" s="89">
        <f t="shared" si="0"/>
        <v>1932.239503081664</v>
      </c>
      <c r="V8">
        <f>AVERAGE(S7:S9)</f>
        <v>1908.8355155964637</v>
      </c>
    </row>
    <row r="9" spans="2:29" x14ac:dyDescent="0.35">
      <c r="B9" s="151"/>
      <c r="C9" s="5">
        <v>3</v>
      </c>
      <c r="D9" s="8">
        <f t="shared" si="1"/>
        <v>33.333333333333336</v>
      </c>
      <c r="E9" s="8">
        <f t="shared" si="2"/>
        <v>41</v>
      </c>
      <c r="F9" s="8">
        <v>1817</v>
      </c>
      <c r="G9" s="7">
        <f t="shared" si="4"/>
        <v>5.9828048780487793</v>
      </c>
      <c r="H9" s="180"/>
      <c r="I9" s="84"/>
      <c r="J9" s="84">
        <v>33</v>
      </c>
      <c r="K9" s="84">
        <v>33</v>
      </c>
      <c r="L9" s="84">
        <v>34</v>
      </c>
      <c r="M9" s="84"/>
      <c r="N9" s="84">
        <v>41</v>
      </c>
      <c r="O9" s="84">
        <v>41</v>
      </c>
      <c r="P9" s="84">
        <v>41</v>
      </c>
      <c r="Q9" s="84"/>
      <c r="R9" s="89">
        <v>415.05</v>
      </c>
      <c r="S9" s="89">
        <f t="shared" si="0"/>
        <v>1898.0945121951218</v>
      </c>
      <c r="Y9">
        <f>(X7-Z7)*100/Z7</f>
        <v>1.7894073860395869</v>
      </c>
    </row>
    <row r="11" spans="2:29" x14ac:dyDescent="0.35"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</row>
    <row r="12" spans="2:29" x14ac:dyDescent="0.35">
      <c r="B12" s="90"/>
      <c r="C12" s="91"/>
      <c r="D12" s="92"/>
      <c r="E12" s="92"/>
      <c r="F12" s="93"/>
      <c r="G12" s="94"/>
      <c r="H12" s="187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</row>
    <row r="13" spans="2:29" x14ac:dyDescent="0.35">
      <c r="B13" s="90"/>
      <c r="C13" s="91"/>
      <c r="D13" s="92"/>
      <c r="E13" s="92"/>
      <c r="F13" s="93"/>
      <c r="G13" s="94"/>
      <c r="H13" s="187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</row>
    <row r="14" spans="2:29" x14ac:dyDescent="0.35"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</row>
    <row r="15" spans="2:29" x14ac:dyDescent="0.35"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</row>
    <row r="17" spans="1:17" ht="58" x14ac:dyDescent="0.35">
      <c r="B17" s="29" t="s">
        <v>19</v>
      </c>
      <c r="C17" s="29" t="s">
        <v>24</v>
      </c>
      <c r="D17" s="29" t="s">
        <v>25</v>
      </c>
      <c r="E17" s="29" t="s">
        <v>26</v>
      </c>
      <c r="F17" s="30" t="s">
        <v>51</v>
      </c>
      <c r="G17" s="30" t="s">
        <v>52</v>
      </c>
      <c r="H17" s="81" t="s">
        <v>142</v>
      </c>
      <c r="I17" s="192" t="s">
        <v>66</v>
      </c>
      <c r="J17" s="90"/>
      <c r="K17" s="90"/>
      <c r="L17" s="90"/>
      <c r="M17" s="90"/>
      <c r="N17" s="90"/>
      <c r="O17" s="90"/>
      <c r="P17" s="90"/>
      <c r="Q17" s="90"/>
    </row>
    <row r="18" spans="1:17" x14ac:dyDescent="0.35">
      <c r="B18" s="151" t="s">
        <v>28</v>
      </c>
      <c r="C18" s="82">
        <v>1</v>
      </c>
      <c r="D18" s="8">
        <f>D4</f>
        <v>31</v>
      </c>
      <c r="E18" s="83">
        <v>40</v>
      </c>
      <c r="F18" s="82">
        <v>41740</v>
      </c>
      <c r="G18" s="58">
        <f>F18/(E18*D18)</f>
        <v>33.661290322580648</v>
      </c>
      <c r="H18" s="169">
        <f>AVERAGE(G18:G23)</f>
        <v>32.793434037122672</v>
      </c>
      <c r="I18" s="155">
        <f>STDEV(G18:G23)</f>
        <v>2.774893810473241</v>
      </c>
      <c r="J18" s="90"/>
      <c r="K18" s="96"/>
      <c r="L18" s="92"/>
      <c r="M18" s="96"/>
      <c r="N18" s="96"/>
      <c r="O18" s="95"/>
      <c r="P18" s="187"/>
      <c r="Q18" s="90"/>
    </row>
    <row r="19" spans="1:17" x14ac:dyDescent="0.35">
      <c r="B19" s="151"/>
      <c r="C19" s="82">
        <v>2</v>
      </c>
      <c r="D19" s="8">
        <f>D4</f>
        <v>31</v>
      </c>
      <c r="E19" s="83">
        <v>40</v>
      </c>
      <c r="F19" s="82">
        <v>37910</v>
      </c>
      <c r="G19" s="58">
        <f t="shared" ref="G19:G29" si="5">F19/(E19*D19)</f>
        <v>30.572580645161292</v>
      </c>
      <c r="H19" s="169"/>
      <c r="I19" s="155"/>
      <c r="J19" s="90"/>
      <c r="K19" s="96"/>
      <c r="L19" s="92"/>
      <c r="M19" s="96"/>
      <c r="N19" s="96"/>
      <c r="O19" s="95"/>
      <c r="P19" s="187"/>
      <c r="Q19" s="90"/>
    </row>
    <row r="20" spans="1:17" x14ac:dyDescent="0.35">
      <c r="B20" s="151"/>
      <c r="C20" s="82">
        <v>3</v>
      </c>
      <c r="D20" s="8">
        <f>D5</f>
        <v>37</v>
      </c>
      <c r="E20" s="83">
        <v>40</v>
      </c>
      <c r="F20" s="82">
        <v>47640</v>
      </c>
      <c r="G20" s="58">
        <f t="shared" si="5"/>
        <v>32.189189189189186</v>
      </c>
      <c r="H20" s="169"/>
      <c r="I20" s="155"/>
      <c r="J20" s="90"/>
      <c r="K20" s="96"/>
      <c r="L20" s="92"/>
      <c r="M20" s="96"/>
      <c r="N20" s="96"/>
      <c r="O20" s="95"/>
      <c r="P20" s="187"/>
      <c r="Q20" s="90"/>
    </row>
    <row r="21" spans="1:17" x14ac:dyDescent="0.35">
      <c r="B21" s="151"/>
      <c r="C21" s="82">
        <v>4</v>
      </c>
      <c r="D21" s="8">
        <f>D5</f>
        <v>37</v>
      </c>
      <c r="E21" s="83">
        <v>40</v>
      </c>
      <c r="F21" s="82">
        <v>53120</v>
      </c>
      <c r="G21" s="58">
        <f t="shared" si="5"/>
        <v>35.891891891891895</v>
      </c>
      <c r="H21" s="169"/>
      <c r="I21" s="155"/>
      <c r="J21" s="90"/>
      <c r="K21" s="96"/>
      <c r="L21" s="92"/>
      <c r="M21" s="96"/>
      <c r="N21" s="96"/>
      <c r="O21" s="95"/>
      <c r="P21" s="187"/>
      <c r="Q21" s="90"/>
    </row>
    <row r="22" spans="1:17" x14ac:dyDescent="0.35">
      <c r="B22" s="151"/>
      <c r="C22" s="82">
        <v>5</v>
      </c>
      <c r="D22" s="8">
        <f>D6</f>
        <v>23</v>
      </c>
      <c r="E22" s="83">
        <v>40</v>
      </c>
      <c r="F22" s="82">
        <v>26580</v>
      </c>
      <c r="G22" s="58">
        <f t="shared" si="5"/>
        <v>28.891304347826086</v>
      </c>
      <c r="H22" s="169"/>
      <c r="I22" s="155"/>
      <c r="J22" s="90"/>
      <c r="K22" s="96"/>
      <c r="L22" s="92"/>
      <c r="M22" s="96"/>
      <c r="N22" s="96"/>
      <c r="O22" s="95"/>
      <c r="P22" s="97"/>
      <c r="Q22" s="90"/>
    </row>
    <row r="23" spans="1:17" x14ac:dyDescent="0.35">
      <c r="B23" s="151"/>
      <c r="C23" s="82">
        <v>6</v>
      </c>
      <c r="D23" s="8">
        <f>D6</f>
        <v>23</v>
      </c>
      <c r="E23" s="83">
        <v>40</v>
      </c>
      <c r="F23" s="82">
        <v>32710</v>
      </c>
      <c r="G23" s="58">
        <f t="shared" si="5"/>
        <v>35.554347826086953</v>
      </c>
      <c r="H23" s="169"/>
      <c r="I23" s="155"/>
      <c r="J23" s="90"/>
      <c r="K23" s="96"/>
      <c r="L23" s="92"/>
      <c r="M23" s="96"/>
      <c r="N23" s="96"/>
      <c r="O23" s="95"/>
      <c r="P23" s="97" t="s">
        <v>73</v>
      </c>
      <c r="Q23" s="90"/>
    </row>
    <row r="24" spans="1:17" x14ac:dyDescent="0.35">
      <c r="B24" s="151" t="s">
        <v>29</v>
      </c>
      <c r="C24" s="82">
        <v>1</v>
      </c>
      <c r="D24" s="83">
        <f>E7</f>
        <v>37.333333333333336</v>
      </c>
      <c r="E24" s="83">
        <v>40</v>
      </c>
      <c r="F24" s="82">
        <v>45310</v>
      </c>
      <c r="G24" s="58">
        <f t="shared" si="5"/>
        <v>30.341517857142854</v>
      </c>
      <c r="H24" s="169">
        <f>AVERAGE(G24:G29)</f>
        <v>30.438172072777018</v>
      </c>
      <c r="I24" s="155">
        <f>STDEV(G24:G29)</f>
        <v>3.9856089690005549</v>
      </c>
      <c r="J24" s="90"/>
      <c r="K24" s="90"/>
      <c r="L24" s="90"/>
      <c r="M24" s="90"/>
      <c r="N24" s="90"/>
      <c r="O24" s="90"/>
      <c r="P24" s="90"/>
      <c r="Q24" s="90"/>
    </row>
    <row r="25" spans="1:17" x14ac:dyDescent="0.35">
      <c r="B25" s="151"/>
      <c r="C25" s="82">
        <v>2</v>
      </c>
      <c r="D25" s="83">
        <f>E7</f>
        <v>37.333333333333336</v>
      </c>
      <c r="E25" s="83">
        <v>40</v>
      </c>
      <c r="F25" s="82">
        <v>40710</v>
      </c>
      <c r="G25" s="58">
        <f t="shared" si="5"/>
        <v>27.261160714285712</v>
      </c>
      <c r="H25" s="169"/>
      <c r="I25" s="155"/>
      <c r="J25" s="90"/>
      <c r="K25" s="90"/>
      <c r="L25" s="90"/>
      <c r="M25" s="90"/>
      <c r="N25" s="90"/>
      <c r="O25" s="90"/>
      <c r="P25" s="90"/>
      <c r="Q25" s="90"/>
    </row>
    <row r="26" spans="1:17" x14ac:dyDescent="0.35">
      <c r="B26" s="151"/>
      <c r="C26" s="82">
        <v>3</v>
      </c>
      <c r="D26" s="83">
        <f>E8</f>
        <v>39.333333333333336</v>
      </c>
      <c r="E26" s="83">
        <v>40</v>
      </c>
      <c r="F26" s="82">
        <v>59590</v>
      </c>
      <c r="G26" s="58">
        <f t="shared" si="5"/>
        <v>37.874999999999993</v>
      </c>
      <c r="H26" s="169"/>
      <c r="I26" s="155"/>
    </row>
    <row r="27" spans="1:17" x14ac:dyDescent="0.35">
      <c r="B27" s="151"/>
      <c r="C27" s="82">
        <v>4</v>
      </c>
      <c r="D27" s="83">
        <f>E8</f>
        <v>39.333333333333336</v>
      </c>
      <c r="E27" s="83">
        <v>40</v>
      </c>
      <c r="F27" s="82">
        <v>42910</v>
      </c>
      <c r="G27" s="58">
        <f t="shared" si="5"/>
        <v>27.273305084745761</v>
      </c>
      <c r="H27" s="169"/>
      <c r="I27" s="155"/>
    </row>
    <row r="28" spans="1:17" x14ac:dyDescent="0.35">
      <c r="B28" s="151"/>
      <c r="C28" s="82">
        <v>5</v>
      </c>
      <c r="D28" s="83">
        <f>E9</f>
        <v>41</v>
      </c>
      <c r="E28" s="83">
        <v>40</v>
      </c>
      <c r="F28" s="82">
        <v>46930</v>
      </c>
      <c r="G28" s="58">
        <f t="shared" si="5"/>
        <v>28.615853658536587</v>
      </c>
      <c r="H28" s="169"/>
      <c r="I28" s="155"/>
    </row>
    <row r="29" spans="1:17" x14ac:dyDescent="0.35">
      <c r="B29" s="151"/>
      <c r="C29" s="82">
        <v>6</v>
      </c>
      <c r="D29" s="83">
        <f>E9</f>
        <v>41</v>
      </c>
      <c r="E29" s="83">
        <v>40</v>
      </c>
      <c r="F29" s="82">
        <v>51270</v>
      </c>
      <c r="G29" s="58">
        <f t="shared" si="5"/>
        <v>31.262195121951219</v>
      </c>
      <c r="H29" s="169"/>
      <c r="I29" s="155"/>
    </row>
    <row r="32" spans="1:17" x14ac:dyDescent="0.35">
      <c r="A32" s="193"/>
      <c r="B32" s="193"/>
      <c r="C32" s="193"/>
      <c r="D32" s="193"/>
      <c r="E32" s="193"/>
      <c r="F32" s="204"/>
      <c r="G32" s="193"/>
      <c r="H32" s="193"/>
      <c r="I32" s="193"/>
      <c r="J32" s="193"/>
      <c r="K32" s="193"/>
    </row>
    <row r="33" spans="1:14" x14ac:dyDescent="0.35">
      <c r="A33" s="193"/>
      <c r="B33" s="205"/>
      <c r="C33" s="205"/>
      <c r="D33" s="205"/>
      <c r="E33" s="205"/>
      <c r="F33" s="206"/>
      <c r="G33" s="206"/>
      <c r="H33" s="206"/>
      <c r="I33" s="193"/>
      <c r="J33" s="193"/>
      <c r="K33" s="193"/>
    </row>
    <row r="34" spans="1:14" x14ac:dyDescent="0.35">
      <c r="A34" s="193"/>
      <c r="B34" s="207"/>
      <c r="C34" s="194"/>
      <c r="D34" s="208"/>
      <c r="E34" s="201"/>
      <c r="F34" s="194"/>
      <c r="G34" s="196"/>
      <c r="H34" s="197"/>
      <c r="I34" s="193"/>
      <c r="J34" s="193"/>
      <c r="K34" s="193"/>
      <c r="L34" s="1"/>
      <c r="M34" s="2"/>
      <c r="N34" s="85"/>
    </row>
    <row r="35" spans="1:14" x14ac:dyDescent="0.35">
      <c r="A35" s="193"/>
      <c r="B35" s="207"/>
      <c r="C35" s="194"/>
      <c r="D35" s="208"/>
      <c r="E35" s="201"/>
      <c r="F35" s="194"/>
      <c r="G35" s="196"/>
      <c r="H35" s="197"/>
      <c r="I35" s="193"/>
      <c r="J35" s="193"/>
      <c r="K35" s="193"/>
      <c r="L35" s="1"/>
      <c r="M35" s="2"/>
      <c r="N35" s="85"/>
    </row>
    <row r="36" spans="1:14" x14ac:dyDescent="0.35">
      <c r="A36" s="193"/>
      <c r="B36" s="207"/>
      <c r="C36" s="194"/>
      <c r="D36" s="208"/>
      <c r="E36" s="201"/>
      <c r="F36" s="194"/>
      <c r="G36" s="196"/>
      <c r="H36" s="197"/>
      <c r="I36" s="193"/>
      <c r="J36" s="193"/>
      <c r="K36" s="193"/>
    </row>
    <row r="37" spans="1:14" x14ac:dyDescent="0.35">
      <c r="A37" s="193"/>
      <c r="B37" s="207"/>
      <c r="C37" s="194"/>
      <c r="D37" s="208"/>
      <c r="E37" s="201"/>
      <c r="F37" s="194"/>
      <c r="G37" s="196"/>
      <c r="H37" s="197"/>
      <c r="I37" s="193"/>
      <c r="J37" s="193"/>
      <c r="K37" s="193"/>
    </row>
    <row r="38" spans="1:14" x14ac:dyDescent="0.35">
      <c r="A38" s="193"/>
      <c r="B38" s="207"/>
      <c r="C38" s="194"/>
      <c r="D38" s="201"/>
      <c r="E38" s="201"/>
      <c r="F38" s="194"/>
      <c r="G38" s="196"/>
      <c r="H38" s="197"/>
      <c r="I38" s="193"/>
      <c r="J38" s="193"/>
      <c r="K38" s="193"/>
    </row>
    <row r="39" spans="1:14" x14ac:dyDescent="0.35">
      <c r="A39" s="193"/>
      <c r="B39" s="207"/>
      <c r="C39" s="194"/>
      <c r="D39" s="201"/>
      <c r="E39" s="201"/>
      <c r="F39" s="194"/>
      <c r="G39" s="196"/>
      <c r="H39" s="197"/>
      <c r="I39" s="193"/>
      <c r="J39" s="193"/>
      <c r="K39" s="193"/>
    </row>
    <row r="40" spans="1:14" x14ac:dyDescent="0.35">
      <c r="A40" s="193"/>
      <c r="B40" s="207"/>
      <c r="C40" s="194"/>
      <c r="D40" s="201"/>
      <c r="E40" s="201"/>
      <c r="F40" s="194"/>
      <c r="G40" s="196"/>
      <c r="H40" s="197"/>
      <c r="I40" s="193"/>
      <c r="J40" s="193"/>
      <c r="K40" s="193"/>
    </row>
    <row r="41" spans="1:14" x14ac:dyDescent="0.35">
      <c r="A41" s="193"/>
      <c r="B41" s="207"/>
      <c r="C41" s="194"/>
      <c r="D41" s="201"/>
      <c r="E41" s="201"/>
      <c r="F41" s="194"/>
      <c r="G41" s="196"/>
      <c r="H41" s="197"/>
      <c r="I41" s="193"/>
      <c r="J41" s="193"/>
      <c r="K41" s="193"/>
    </row>
    <row r="42" spans="1:14" x14ac:dyDescent="0.35">
      <c r="A42" s="193"/>
      <c r="B42" s="207"/>
      <c r="C42" s="194"/>
      <c r="D42" s="201"/>
      <c r="E42" s="201"/>
      <c r="F42" s="194"/>
      <c r="G42" s="196"/>
      <c r="H42" s="197"/>
      <c r="I42" s="193"/>
      <c r="J42" s="193"/>
      <c r="K42" s="193"/>
    </row>
    <row r="43" spans="1:14" x14ac:dyDescent="0.35">
      <c r="A43" s="193"/>
      <c r="B43" s="207"/>
      <c r="C43" s="194"/>
      <c r="D43" s="201"/>
      <c r="E43" s="201"/>
      <c r="F43" s="194"/>
      <c r="G43" s="196"/>
      <c r="H43" s="197"/>
      <c r="I43" s="193"/>
      <c r="J43" s="193"/>
      <c r="K43" s="193"/>
    </row>
    <row r="44" spans="1:14" x14ac:dyDescent="0.35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</row>
    <row r="45" spans="1:14" x14ac:dyDescent="0.35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</row>
    <row r="46" spans="1:14" x14ac:dyDescent="0.35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</row>
  </sheetData>
  <mergeCells count="18">
    <mergeCell ref="J2:L2"/>
    <mergeCell ref="N2:P2"/>
    <mergeCell ref="B4:B6"/>
    <mergeCell ref="H4:H6"/>
    <mergeCell ref="B7:B9"/>
    <mergeCell ref="H7:H9"/>
    <mergeCell ref="I18:I23"/>
    <mergeCell ref="P18:P21"/>
    <mergeCell ref="B24:B29"/>
    <mergeCell ref="H24:H29"/>
    <mergeCell ref="I24:I29"/>
    <mergeCell ref="B34:B37"/>
    <mergeCell ref="H34:H37"/>
    <mergeCell ref="B38:B43"/>
    <mergeCell ref="H38:H43"/>
    <mergeCell ref="H12:H13"/>
    <mergeCell ref="B18:B23"/>
    <mergeCell ref="H18:H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F3D9-8F44-4ED1-9E46-B88B548B45CF}">
  <dimension ref="B2:AK43"/>
  <sheetViews>
    <sheetView topLeftCell="D1" zoomScale="85" zoomScaleNormal="85" workbookViewId="0">
      <selection activeCell="H3" sqref="H3"/>
    </sheetView>
  </sheetViews>
  <sheetFormatPr defaultRowHeight="14.5" x14ac:dyDescent="0.35"/>
  <sheetData>
    <row r="2" spans="2:37" x14ac:dyDescent="0.35">
      <c r="J2" s="181" t="s">
        <v>55</v>
      </c>
      <c r="K2" s="181"/>
      <c r="L2" s="181"/>
      <c r="M2" s="84"/>
      <c r="N2" s="181" t="s">
        <v>56</v>
      </c>
      <c r="O2" s="181"/>
      <c r="P2" s="181"/>
    </row>
    <row r="3" spans="2:37" ht="58" x14ac:dyDescent="0.35">
      <c r="B3" s="29" t="s">
        <v>19</v>
      </c>
      <c r="C3" s="32" t="s">
        <v>20</v>
      </c>
      <c r="D3" s="29" t="s">
        <v>21</v>
      </c>
      <c r="E3" s="29" t="s">
        <v>22</v>
      </c>
      <c r="F3" s="30" t="s">
        <v>27</v>
      </c>
      <c r="G3" s="30" t="s">
        <v>57</v>
      </c>
      <c r="H3" s="30" t="s">
        <v>143</v>
      </c>
      <c r="I3" s="29" t="s">
        <v>53</v>
      </c>
      <c r="J3" s="30" t="s">
        <v>137</v>
      </c>
      <c r="K3" s="30" t="s">
        <v>141</v>
      </c>
      <c r="L3" s="30" t="s">
        <v>135</v>
      </c>
      <c r="M3" s="84"/>
      <c r="N3" s="30" t="s">
        <v>136</v>
      </c>
      <c r="O3" s="30" t="s">
        <v>139</v>
      </c>
      <c r="P3" s="30" t="s">
        <v>140</v>
      </c>
      <c r="Q3" s="84"/>
      <c r="R3" s="30" t="s">
        <v>63</v>
      </c>
      <c r="S3" s="30" t="s">
        <v>64</v>
      </c>
      <c r="Z3" t="s">
        <v>74</v>
      </c>
      <c r="AA3" t="s">
        <v>58</v>
      </c>
      <c r="AB3" t="s">
        <v>59</v>
      </c>
      <c r="AD3" t="s">
        <v>60</v>
      </c>
      <c r="AE3" t="s">
        <v>61</v>
      </c>
      <c r="AF3" t="s">
        <v>62</v>
      </c>
    </row>
    <row r="4" spans="2:37" x14ac:dyDescent="0.35">
      <c r="B4" s="151" t="s">
        <v>28</v>
      </c>
      <c r="C4" s="5">
        <v>1</v>
      </c>
      <c r="D4" s="8">
        <f>AVERAGE(J4:L4)</f>
        <v>45.666666666666664</v>
      </c>
      <c r="E4" s="8">
        <f>AVERAGE(N4:P4)</f>
        <v>36.333333333333336</v>
      </c>
      <c r="F4" s="8">
        <v>1368</v>
      </c>
      <c r="G4" s="7">
        <f>1.5*F4*100/(D4*E4^2)</f>
        <v>3.4038276165649992</v>
      </c>
      <c r="H4" s="180">
        <f>AVERAGE(G4:G6)</f>
        <v>1.7898130503121423</v>
      </c>
      <c r="I4" s="84"/>
      <c r="J4" s="84">
        <v>48</v>
      </c>
      <c r="K4" s="84">
        <v>46</v>
      </c>
      <c r="L4" s="84">
        <v>43</v>
      </c>
      <c r="M4" s="84"/>
      <c r="N4" s="84">
        <v>36</v>
      </c>
      <c r="O4" s="84">
        <v>36</v>
      </c>
      <c r="P4" s="84">
        <v>37</v>
      </c>
      <c r="Q4" s="84"/>
      <c r="R4" s="89">
        <v>564.79999999999995</v>
      </c>
      <c r="S4" s="89">
        <f t="shared" ref="S4:S8" si="0">R4*1000/(D4*E4*0.16)</f>
        <v>2127.5028460456706</v>
      </c>
      <c r="Y4" s="102">
        <f>AVERAGE(Z4:AB4)</f>
        <v>39.666666666666664</v>
      </c>
      <c r="Z4">
        <v>38</v>
      </c>
      <c r="AA4">
        <v>40</v>
      </c>
      <c r="AB4">
        <v>41</v>
      </c>
      <c r="AC4" s="102">
        <f>AVERAGE(AD4:AF4)</f>
        <v>52</v>
      </c>
      <c r="AD4">
        <v>52</v>
      </c>
      <c r="AE4">
        <v>53</v>
      </c>
      <c r="AF4">
        <v>51</v>
      </c>
      <c r="AH4" s="85">
        <v>598.6</v>
      </c>
      <c r="AI4" s="85">
        <f>AH4*1000/(Y4*AC4*0.15)</f>
        <v>1934.7123464770525</v>
      </c>
      <c r="AK4" s="85">
        <f>AVERAGE(AI4:AI5)</f>
        <v>1947.1929178779023</v>
      </c>
    </row>
    <row r="5" spans="2:37" x14ac:dyDescent="0.35">
      <c r="B5" s="151"/>
      <c r="C5" s="5">
        <v>2</v>
      </c>
      <c r="D5" s="8">
        <f t="shared" ref="D5:D12" si="1">AVERAGE(J5:L5)</f>
        <v>44.666666666666664</v>
      </c>
      <c r="E5" s="8">
        <f t="shared" ref="E5:E12" si="2">AVERAGE(N5:P5)</f>
        <v>33</v>
      </c>
      <c r="F5" s="8">
        <v>367</v>
      </c>
      <c r="G5" s="7">
        <f t="shared" ref="G5:G6" si="3">1.5*F5*100/(D5*E5^2)</f>
        <v>1.1317380041939065</v>
      </c>
      <c r="H5" s="180"/>
      <c r="I5" s="84">
        <f>STDEV(G4:G6)</f>
        <v>1.40568953765672</v>
      </c>
      <c r="J5" s="84">
        <v>46</v>
      </c>
      <c r="K5" s="84">
        <v>45</v>
      </c>
      <c r="L5" s="84">
        <v>43</v>
      </c>
      <c r="M5" s="84"/>
      <c r="N5" s="84">
        <v>33</v>
      </c>
      <c r="O5" s="84">
        <v>33</v>
      </c>
      <c r="P5" s="84">
        <v>33</v>
      </c>
      <c r="Q5" s="84"/>
      <c r="R5" s="89">
        <v>471.3</v>
      </c>
      <c r="S5" s="89">
        <f t="shared" si="0"/>
        <v>1998.388738127544</v>
      </c>
      <c r="U5" s="85">
        <f>AVERAGE(S4:S6)</f>
        <v>2026.7422102129995</v>
      </c>
      <c r="Y5" s="102">
        <f>AVERAGE(Z5:AB5)</f>
        <v>38</v>
      </c>
      <c r="Z5">
        <v>36</v>
      </c>
      <c r="AA5">
        <v>38</v>
      </c>
      <c r="AB5">
        <v>40</v>
      </c>
      <c r="AC5" s="102">
        <f>AVERAGE(AD5:AF5)</f>
        <v>54</v>
      </c>
      <c r="AD5">
        <v>53</v>
      </c>
      <c r="AE5">
        <v>55</v>
      </c>
      <c r="AF5">
        <v>54</v>
      </c>
      <c r="AH5" s="85">
        <v>643.4</v>
      </c>
      <c r="AI5" s="85">
        <f>AH5*1000/(Y5*AC5*0.16)</f>
        <v>1959.6734892787524</v>
      </c>
      <c r="AJ5">
        <f>STDEV(AI4:AI5)</f>
        <v>17.650193341247782</v>
      </c>
    </row>
    <row r="6" spans="2:37" x14ac:dyDescent="0.35">
      <c r="B6" s="151"/>
      <c r="C6" s="5">
        <v>3</v>
      </c>
      <c r="D6" s="8">
        <f t="shared" si="1"/>
        <v>44.666666666666664</v>
      </c>
      <c r="E6" s="8">
        <f t="shared" si="2"/>
        <v>35.333333333333336</v>
      </c>
      <c r="F6" s="8">
        <v>310</v>
      </c>
      <c r="G6" s="7">
        <f t="shared" si="3"/>
        <v>0.83387353017752108</v>
      </c>
      <c r="H6" s="180"/>
      <c r="I6" s="84"/>
      <c r="J6" s="84">
        <v>46</v>
      </c>
      <c r="K6" s="84">
        <v>45</v>
      </c>
      <c r="L6" s="84">
        <v>43</v>
      </c>
      <c r="M6" s="84"/>
      <c r="N6" s="84">
        <v>36</v>
      </c>
      <c r="O6" s="84">
        <v>35</v>
      </c>
      <c r="P6" s="84">
        <v>35</v>
      </c>
      <c r="Q6" s="84"/>
      <c r="R6" s="89">
        <v>493.5</v>
      </c>
      <c r="S6" s="89">
        <f t="shared" si="0"/>
        <v>1954.3350464657842</v>
      </c>
    </row>
    <row r="7" spans="2:37" x14ac:dyDescent="0.35">
      <c r="B7" s="151" t="s">
        <v>31</v>
      </c>
      <c r="C7" s="5">
        <v>1</v>
      </c>
      <c r="D7" s="8">
        <f t="shared" si="1"/>
        <v>47.333333333333336</v>
      </c>
      <c r="E7" s="8">
        <f t="shared" si="2"/>
        <v>33.333333333333336</v>
      </c>
      <c r="F7" s="8">
        <v>1833</v>
      </c>
      <c r="G7" s="7">
        <f>1.5*F7*100/(E7*D7^2)</f>
        <v>3.681635588176948</v>
      </c>
      <c r="H7" s="180">
        <f>AVERAGE(G7:G8)</f>
        <v>3.4640630947727011</v>
      </c>
      <c r="I7" s="84"/>
      <c r="J7" s="84">
        <v>46</v>
      </c>
      <c r="K7" s="84">
        <v>48</v>
      </c>
      <c r="L7" s="84">
        <v>48</v>
      </c>
      <c r="M7" s="84"/>
      <c r="N7" s="84">
        <v>33</v>
      </c>
      <c r="O7" s="84">
        <v>34</v>
      </c>
      <c r="P7" s="84">
        <v>33</v>
      </c>
      <c r="Q7" s="84"/>
      <c r="R7" s="89">
        <v>503.4</v>
      </c>
      <c r="S7" s="89">
        <f t="shared" si="0"/>
        <v>1994.1021126760561</v>
      </c>
      <c r="T7">
        <f>STDEV(S4:S12)</f>
        <v>55.44788574654504</v>
      </c>
      <c r="U7" s="85">
        <f>AVERAGE(S7:S8)</f>
        <v>2030.6524740043315</v>
      </c>
      <c r="X7" s="85"/>
    </row>
    <row r="8" spans="2:37" x14ac:dyDescent="0.35">
      <c r="B8" s="151"/>
      <c r="C8" s="5">
        <v>2</v>
      </c>
      <c r="D8" s="8">
        <f t="shared" si="1"/>
        <v>43.666666666666664</v>
      </c>
      <c r="E8" s="8">
        <f t="shared" si="2"/>
        <v>39.666666666666664</v>
      </c>
      <c r="F8" s="8">
        <v>1637</v>
      </c>
      <c r="G8" s="7">
        <f t="shared" ref="G8:G9" si="4">1.5*F8*100/(E8*D8^2)</f>
        <v>3.2464906013684538</v>
      </c>
      <c r="H8" s="180"/>
      <c r="I8" s="84">
        <f>STDEV(G7:G8)</f>
        <v>0.30769397097161705</v>
      </c>
      <c r="J8" s="84">
        <v>45</v>
      </c>
      <c r="K8" s="84">
        <v>44</v>
      </c>
      <c r="L8" s="84">
        <v>42</v>
      </c>
      <c r="M8" s="84"/>
      <c r="N8" s="84">
        <v>40</v>
      </c>
      <c r="O8" s="84">
        <v>41</v>
      </c>
      <c r="P8" s="84">
        <v>38</v>
      </c>
      <c r="Q8" s="84"/>
      <c r="R8" s="89">
        <v>572.9</v>
      </c>
      <c r="S8" s="89">
        <f t="shared" si="0"/>
        <v>2067.2028353326068</v>
      </c>
      <c r="W8" s="85">
        <f>AVERAGE(U5:U11)</f>
        <v>2034.0942991290485</v>
      </c>
    </row>
    <row r="9" spans="2:37" x14ac:dyDescent="0.35">
      <c r="B9" s="151"/>
      <c r="C9" s="103">
        <v>3</v>
      </c>
      <c r="D9" s="104">
        <f t="shared" si="1"/>
        <v>33.333333333333336</v>
      </c>
      <c r="E9" s="104">
        <f t="shared" si="2"/>
        <v>41</v>
      </c>
      <c r="F9" s="104">
        <v>1817</v>
      </c>
      <c r="G9" s="105">
        <f t="shared" si="4"/>
        <v>5.9828048780487793</v>
      </c>
      <c r="H9" s="180"/>
      <c r="I9" s="106"/>
      <c r="J9" s="106">
        <v>33</v>
      </c>
      <c r="K9" s="106">
        <v>33</v>
      </c>
      <c r="L9" s="106">
        <v>34</v>
      </c>
      <c r="M9" s="106"/>
      <c r="N9" s="106">
        <v>41</v>
      </c>
      <c r="O9" s="106">
        <v>41</v>
      </c>
      <c r="P9" s="106">
        <v>41</v>
      </c>
      <c r="Q9" s="106"/>
      <c r="R9" s="107">
        <v>415.05</v>
      </c>
      <c r="S9" s="107"/>
    </row>
    <row r="10" spans="2:37" x14ac:dyDescent="0.35">
      <c r="B10" s="151" t="s">
        <v>75</v>
      </c>
      <c r="C10" s="5">
        <v>1</v>
      </c>
      <c r="D10" s="8">
        <f t="shared" si="1"/>
        <v>42.333333333333336</v>
      </c>
      <c r="E10" s="8">
        <f t="shared" si="2"/>
        <v>37.333333333333336</v>
      </c>
      <c r="F10" s="8">
        <v>1120</v>
      </c>
      <c r="G10" s="7">
        <f>1.5*F10*100/(E10*D10^2)</f>
        <v>2.5110050220100439</v>
      </c>
      <c r="H10" s="180">
        <f>AVERAGE(G10:G12)</f>
        <v>2.4093281105020115</v>
      </c>
      <c r="I10" s="84"/>
      <c r="J10" s="108">
        <v>42</v>
      </c>
      <c r="K10" s="108">
        <v>42</v>
      </c>
      <c r="L10" s="108">
        <v>43</v>
      </c>
      <c r="M10" s="108"/>
      <c r="N10" s="108">
        <v>38</v>
      </c>
      <c r="O10" s="108">
        <v>37</v>
      </c>
      <c r="P10" s="84">
        <v>37</v>
      </c>
      <c r="Q10" s="84"/>
      <c r="R10" s="89">
        <v>507.6</v>
      </c>
      <c r="S10" s="89">
        <f t="shared" ref="S10:S12" si="5">R10*1000/(D10*E10*0.16)</f>
        <v>2007.3467379077613</v>
      </c>
    </row>
    <row r="11" spans="2:37" x14ac:dyDescent="0.35">
      <c r="B11" s="151"/>
      <c r="C11" s="5">
        <v>2</v>
      </c>
      <c r="D11" s="8">
        <f t="shared" si="1"/>
        <v>41.333333333333336</v>
      </c>
      <c r="E11" s="8">
        <f t="shared" si="2"/>
        <v>34.333333333333336</v>
      </c>
      <c r="F11" s="8">
        <v>983</v>
      </c>
      <c r="G11" s="7">
        <f t="shared" ref="G11:G12" si="6">1.5*F11*100/(E11*D11^2)</f>
        <v>2.5137839325944857</v>
      </c>
      <c r="H11" s="180"/>
      <c r="I11" s="84">
        <f>STDEV(G10:G12)</f>
        <v>0.17852159108136553</v>
      </c>
      <c r="J11" s="108">
        <v>42</v>
      </c>
      <c r="K11" s="108">
        <v>41</v>
      </c>
      <c r="L11" s="108">
        <v>41</v>
      </c>
      <c r="M11" s="108"/>
      <c r="N11" s="108">
        <v>34</v>
      </c>
      <c r="O11" s="108">
        <v>34</v>
      </c>
      <c r="P11" s="84">
        <v>35</v>
      </c>
      <c r="Q11" s="84"/>
      <c r="R11" s="89">
        <v>468.8</v>
      </c>
      <c r="S11" s="89">
        <f t="shared" si="5"/>
        <v>2064.6727215784526</v>
      </c>
      <c r="T11" s="90"/>
      <c r="U11" s="85">
        <f>AVERAGE(S10:S12)</f>
        <v>2044.8882131698144</v>
      </c>
    </row>
    <row r="12" spans="2:37" x14ac:dyDescent="0.35">
      <c r="B12" s="151"/>
      <c r="C12" s="5">
        <v>3</v>
      </c>
      <c r="D12" s="8">
        <f t="shared" si="1"/>
        <v>41</v>
      </c>
      <c r="E12" s="8">
        <f t="shared" si="2"/>
        <v>42</v>
      </c>
      <c r="F12" s="8">
        <v>1037</v>
      </c>
      <c r="G12" s="7">
        <f t="shared" si="6"/>
        <v>2.2031953769015042</v>
      </c>
      <c r="H12" s="180"/>
      <c r="I12" s="109"/>
      <c r="J12" s="108">
        <v>40</v>
      </c>
      <c r="K12" s="108">
        <v>41</v>
      </c>
      <c r="L12" s="108">
        <v>42</v>
      </c>
      <c r="M12" s="108"/>
      <c r="N12" s="108">
        <v>42</v>
      </c>
      <c r="O12" s="108">
        <v>42</v>
      </c>
      <c r="P12" s="84">
        <v>42</v>
      </c>
      <c r="Q12" s="84"/>
      <c r="R12" s="89">
        <v>568.29999999999995</v>
      </c>
      <c r="S12" s="89">
        <f t="shared" si="5"/>
        <v>2062.6451800232289</v>
      </c>
      <c r="T12" s="90"/>
    </row>
    <row r="13" spans="2:37" x14ac:dyDescent="0.35">
      <c r="B13" s="90"/>
      <c r="C13" s="91"/>
      <c r="D13" s="92"/>
      <c r="E13" s="92"/>
      <c r="F13" s="93"/>
      <c r="G13" s="94"/>
      <c r="H13" s="97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</row>
    <row r="14" spans="2:37" x14ac:dyDescent="0.35"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</row>
    <row r="15" spans="2:37" x14ac:dyDescent="0.35"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</row>
    <row r="17" spans="2:27" ht="58" x14ac:dyDescent="0.35">
      <c r="B17" s="29" t="s">
        <v>19</v>
      </c>
      <c r="C17" s="29" t="s">
        <v>24</v>
      </c>
      <c r="D17" s="29" t="s">
        <v>25</v>
      </c>
      <c r="E17" s="29" t="s">
        <v>26</v>
      </c>
      <c r="F17" s="30" t="s">
        <v>51</v>
      </c>
      <c r="G17" s="30" t="s">
        <v>52</v>
      </c>
      <c r="H17" s="81" t="s">
        <v>142</v>
      </c>
      <c r="J17" s="90"/>
      <c r="K17" s="90"/>
      <c r="L17" s="90"/>
      <c r="M17" s="90"/>
      <c r="N17" s="90"/>
      <c r="O17" s="90"/>
      <c r="P17" s="90"/>
      <c r="Q17" s="90"/>
    </row>
    <row r="18" spans="2:27" x14ac:dyDescent="0.35">
      <c r="B18" s="151" t="s">
        <v>28</v>
      </c>
      <c r="C18" s="82">
        <v>1</v>
      </c>
      <c r="D18" s="8">
        <f>D4</f>
        <v>45.666666666666664</v>
      </c>
      <c r="E18" s="83">
        <v>40</v>
      </c>
      <c r="F18" s="82">
        <v>26670</v>
      </c>
      <c r="G18" s="58">
        <f>F18/(E18*D18)</f>
        <v>14.600364963503651</v>
      </c>
      <c r="H18" s="169">
        <f>AVERAGE(G18:G23)</f>
        <v>14.108100010894432</v>
      </c>
      <c r="J18" s="90"/>
      <c r="K18" s="96"/>
      <c r="L18" s="92"/>
      <c r="M18" s="96"/>
      <c r="N18" s="96"/>
      <c r="O18" s="95"/>
      <c r="P18" s="187"/>
      <c r="Q18" s="90"/>
      <c r="R18" t="s">
        <v>28</v>
      </c>
      <c r="S18">
        <v>1.8</v>
      </c>
      <c r="T18">
        <v>1.4</v>
      </c>
      <c r="V18">
        <v>21.9</v>
      </c>
      <c r="W18">
        <v>0.9</v>
      </c>
      <c r="Z18" t="s">
        <v>76</v>
      </c>
      <c r="AA18">
        <v>1947.2</v>
      </c>
    </row>
    <row r="19" spans="2:27" x14ac:dyDescent="0.35">
      <c r="B19" s="151"/>
      <c r="C19" s="82">
        <v>2</v>
      </c>
      <c r="D19" s="8">
        <f>D4</f>
        <v>45.666666666666664</v>
      </c>
      <c r="E19" s="83">
        <v>40</v>
      </c>
      <c r="F19" s="82">
        <v>24530</v>
      </c>
      <c r="G19" s="58">
        <f t="shared" ref="G19:G35" si="7">F19/(E19*D19)</f>
        <v>13.428832116788323</v>
      </c>
      <c r="H19" s="169"/>
      <c r="J19" s="90"/>
      <c r="K19" s="96"/>
      <c r="L19" s="92"/>
      <c r="M19" s="96"/>
      <c r="N19" s="96"/>
      <c r="O19" s="95"/>
      <c r="P19" s="187"/>
      <c r="Q19" s="90"/>
      <c r="R19" t="s">
        <v>29</v>
      </c>
      <c r="S19">
        <v>3.5</v>
      </c>
      <c r="T19">
        <v>0.3</v>
      </c>
      <c r="V19">
        <v>19.3</v>
      </c>
      <c r="W19">
        <v>1.3</v>
      </c>
      <c r="Z19" t="s">
        <v>77</v>
      </c>
      <c r="AA19">
        <v>2034.1</v>
      </c>
    </row>
    <row r="20" spans="2:27" x14ac:dyDescent="0.35">
      <c r="B20" s="151"/>
      <c r="C20" s="82">
        <v>3</v>
      </c>
      <c r="D20" s="8">
        <f>D5</f>
        <v>44.666666666666664</v>
      </c>
      <c r="E20" s="83">
        <v>40</v>
      </c>
      <c r="F20" s="82">
        <v>25090</v>
      </c>
      <c r="G20" s="58">
        <f t="shared" si="7"/>
        <v>14.042910447761194</v>
      </c>
      <c r="H20" s="169"/>
      <c r="I20">
        <f>STDEV(G18:G23)</f>
        <v>0.45970119541309123</v>
      </c>
      <c r="J20" s="90"/>
      <c r="K20" s="96"/>
      <c r="L20" s="92"/>
      <c r="M20" s="96"/>
      <c r="N20" s="96"/>
      <c r="O20" s="95"/>
      <c r="P20" s="187"/>
      <c r="Q20" s="90"/>
      <c r="R20" t="s">
        <v>78</v>
      </c>
      <c r="S20">
        <v>2.4</v>
      </c>
      <c r="T20">
        <v>0.2</v>
      </c>
    </row>
    <row r="21" spans="2:27" x14ac:dyDescent="0.35">
      <c r="B21" s="151"/>
      <c r="C21" s="82">
        <v>4</v>
      </c>
      <c r="D21" s="8">
        <f>D5</f>
        <v>44.666666666666664</v>
      </c>
      <c r="E21" s="83">
        <v>40</v>
      </c>
      <c r="F21" s="82">
        <v>26010</v>
      </c>
      <c r="G21" s="58">
        <f t="shared" si="7"/>
        <v>14.557835820895523</v>
      </c>
      <c r="H21" s="169"/>
      <c r="J21" s="90"/>
      <c r="K21" s="96"/>
      <c r="L21" s="92"/>
      <c r="M21" s="96"/>
      <c r="N21" s="96"/>
      <c r="O21" s="95"/>
      <c r="P21" s="187"/>
      <c r="Q21" s="90"/>
    </row>
    <row r="22" spans="2:27" x14ac:dyDescent="0.35">
      <c r="B22" s="151"/>
      <c r="C22" s="82">
        <v>5</v>
      </c>
      <c r="D22" s="8">
        <f>D6</f>
        <v>44.666666666666664</v>
      </c>
      <c r="E22" s="83">
        <v>40</v>
      </c>
      <c r="F22" s="82">
        <v>24580</v>
      </c>
      <c r="G22" s="58">
        <f t="shared" si="7"/>
        <v>13.757462686567166</v>
      </c>
      <c r="H22" s="169"/>
      <c r="J22" s="90"/>
      <c r="K22" s="96"/>
      <c r="L22" s="92"/>
      <c r="M22" s="96"/>
      <c r="N22" s="96"/>
      <c r="O22" s="95"/>
      <c r="P22" s="97"/>
      <c r="Q22" s="90"/>
    </row>
    <row r="23" spans="2:27" x14ac:dyDescent="0.35">
      <c r="B23" s="151"/>
      <c r="C23" s="82">
        <v>6</v>
      </c>
      <c r="D23" s="8">
        <f>D6</f>
        <v>44.666666666666664</v>
      </c>
      <c r="E23" s="83">
        <v>40</v>
      </c>
      <c r="F23" s="82">
        <v>25480</v>
      </c>
      <c r="G23" s="58">
        <f t="shared" si="7"/>
        <v>14.261194029850747</v>
      </c>
      <c r="H23" s="169"/>
      <c r="J23" s="90"/>
      <c r="K23" s="96"/>
      <c r="L23" s="92"/>
      <c r="M23" s="96"/>
      <c r="N23" s="96"/>
      <c r="O23" s="95"/>
      <c r="P23" s="97" t="s">
        <v>73</v>
      </c>
      <c r="Q23" s="90"/>
      <c r="R23" t="s">
        <v>28</v>
      </c>
      <c r="S23">
        <v>14.1</v>
      </c>
      <c r="T23">
        <v>0.5</v>
      </c>
      <c r="V23">
        <v>5.9</v>
      </c>
      <c r="W23">
        <v>1</v>
      </c>
    </row>
    <row r="24" spans="2:27" x14ac:dyDescent="0.35">
      <c r="B24" s="151" t="s">
        <v>29</v>
      </c>
      <c r="C24" s="82">
        <v>1</v>
      </c>
      <c r="D24" s="83">
        <f>E7</f>
        <v>33.333333333333336</v>
      </c>
      <c r="E24" s="83">
        <v>40</v>
      </c>
      <c r="F24" s="82">
        <v>18440</v>
      </c>
      <c r="G24" s="58">
        <f t="shared" si="7"/>
        <v>13.829999999999998</v>
      </c>
      <c r="H24" s="169">
        <f>AVERAGE(G24:G29)</f>
        <v>12.819353778096604</v>
      </c>
      <c r="J24" s="90"/>
      <c r="K24" s="90"/>
      <c r="L24" s="90"/>
      <c r="M24" s="90"/>
      <c r="N24" s="90"/>
      <c r="O24" s="90"/>
      <c r="P24" s="90"/>
      <c r="Q24" s="90"/>
      <c r="R24" t="s">
        <v>29</v>
      </c>
      <c r="S24">
        <v>12.8</v>
      </c>
      <c r="T24">
        <v>3.2</v>
      </c>
      <c r="V24">
        <v>6.2</v>
      </c>
      <c r="W24">
        <v>1.3</v>
      </c>
    </row>
    <row r="25" spans="2:27" x14ac:dyDescent="0.35">
      <c r="B25" s="151"/>
      <c r="C25" s="82">
        <v>2</v>
      </c>
      <c r="D25" s="83">
        <f>E7</f>
        <v>33.333333333333336</v>
      </c>
      <c r="E25" s="83">
        <v>40</v>
      </c>
      <c r="F25" s="82">
        <v>20210</v>
      </c>
      <c r="G25" s="58">
        <f t="shared" si="7"/>
        <v>15.157499999999999</v>
      </c>
      <c r="H25" s="169"/>
      <c r="J25" s="90"/>
      <c r="K25" s="90"/>
      <c r="L25" s="90"/>
      <c r="M25" s="90"/>
      <c r="N25" s="90"/>
      <c r="O25" s="90"/>
      <c r="P25" s="90"/>
      <c r="Q25" s="90"/>
      <c r="R25" t="s">
        <v>78</v>
      </c>
      <c r="S25">
        <v>15.4</v>
      </c>
      <c r="T25">
        <v>1.2</v>
      </c>
    </row>
    <row r="26" spans="2:27" x14ac:dyDescent="0.35">
      <c r="B26" s="151"/>
      <c r="C26" s="82">
        <v>3</v>
      </c>
      <c r="D26" s="83">
        <f>E8</f>
        <v>39.666666666666664</v>
      </c>
      <c r="E26" s="83">
        <v>40</v>
      </c>
      <c r="F26" s="82">
        <v>19390</v>
      </c>
      <c r="G26" s="58">
        <f t="shared" si="7"/>
        <v>12.22058823529412</v>
      </c>
      <c r="H26" s="169"/>
      <c r="I26">
        <f>STDEV(G24:G29)</f>
        <v>3.1991453273445773</v>
      </c>
    </row>
    <row r="27" spans="2:27" x14ac:dyDescent="0.35">
      <c r="B27" s="151"/>
      <c r="C27" s="82">
        <v>4</v>
      </c>
      <c r="D27" s="83">
        <f>E8</f>
        <v>39.666666666666664</v>
      </c>
      <c r="E27" s="83">
        <v>40</v>
      </c>
      <c r="F27" s="82">
        <v>19670</v>
      </c>
      <c r="G27" s="58">
        <f t="shared" si="7"/>
        <v>12.397058823529413</v>
      </c>
      <c r="H27" s="169"/>
    </row>
    <row r="28" spans="2:27" x14ac:dyDescent="0.35">
      <c r="B28" s="151"/>
      <c r="C28" s="82">
        <v>5</v>
      </c>
      <c r="D28" s="83">
        <f>E9</f>
        <v>41</v>
      </c>
      <c r="E28" s="83">
        <v>40</v>
      </c>
      <c r="F28" s="82">
        <v>11650</v>
      </c>
      <c r="G28" s="58">
        <f t="shared" si="7"/>
        <v>7.1036585365853657</v>
      </c>
      <c r="H28" s="169"/>
    </row>
    <row r="29" spans="2:27" x14ac:dyDescent="0.35">
      <c r="B29" s="151"/>
      <c r="C29" s="82">
        <v>6</v>
      </c>
      <c r="D29" s="83">
        <f>E9</f>
        <v>41</v>
      </c>
      <c r="E29" s="83">
        <v>40</v>
      </c>
      <c r="F29" s="82">
        <v>26580</v>
      </c>
      <c r="G29" s="58">
        <f t="shared" si="7"/>
        <v>16.207317073170731</v>
      </c>
      <c r="H29" s="169"/>
    </row>
    <row r="30" spans="2:27" x14ac:dyDescent="0.35">
      <c r="B30" s="151" t="s">
        <v>78</v>
      </c>
      <c r="C30" s="82">
        <v>1</v>
      </c>
      <c r="D30" s="83">
        <f>D10</f>
        <v>42.333333333333336</v>
      </c>
      <c r="E30" s="83">
        <v>40</v>
      </c>
      <c r="F30" s="82">
        <v>23830</v>
      </c>
      <c r="G30" s="58">
        <f t="shared" si="7"/>
        <v>14.072834645669291</v>
      </c>
      <c r="H30" s="169">
        <f>AVERAGE(G30:G35)</f>
        <v>15.410054328746869</v>
      </c>
    </row>
    <row r="31" spans="2:27" x14ac:dyDescent="0.35">
      <c r="B31" s="151"/>
      <c r="C31" s="82">
        <v>2</v>
      </c>
      <c r="D31" s="83">
        <f>D10</f>
        <v>42.333333333333336</v>
      </c>
      <c r="E31" s="83">
        <v>40</v>
      </c>
      <c r="F31" s="82">
        <v>25720</v>
      </c>
      <c r="G31" s="58">
        <f t="shared" si="7"/>
        <v>15.188976377952754</v>
      </c>
      <c r="H31" s="169"/>
    </row>
    <row r="32" spans="2:27" x14ac:dyDescent="0.35">
      <c r="B32" s="151"/>
      <c r="C32" s="82">
        <v>3</v>
      </c>
      <c r="D32" s="83">
        <f>D11</f>
        <v>41.333333333333336</v>
      </c>
      <c r="E32" s="83">
        <v>40</v>
      </c>
      <c r="F32" s="82">
        <v>23260</v>
      </c>
      <c r="G32" s="58">
        <f t="shared" si="7"/>
        <v>14.068548387096772</v>
      </c>
      <c r="H32" s="169"/>
      <c r="I32">
        <f>STDEV(G30:G35)</f>
        <v>1.1681600005520958</v>
      </c>
    </row>
    <row r="33" spans="2:14" x14ac:dyDescent="0.35">
      <c r="B33" s="151"/>
      <c r="C33" s="82">
        <v>4</v>
      </c>
      <c r="D33" s="83">
        <f>D11</f>
        <v>41.333333333333336</v>
      </c>
      <c r="E33" s="83">
        <v>40</v>
      </c>
      <c r="F33" s="82">
        <v>26890</v>
      </c>
      <c r="G33" s="58">
        <f t="shared" si="7"/>
        <v>16.264112903225804</v>
      </c>
      <c r="H33" s="169"/>
    </row>
    <row r="34" spans="2:14" x14ac:dyDescent="0.35">
      <c r="B34" s="151"/>
      <c r="C34" s="82">
        <v>5</v>
      </c>
      <c r="D34" s="83">
        <f>D12</f>
        <v>41</v>
      </c>
      <c r="E34" s="83">
        <v>40</v>
      </c>
      <c r="F34" s="82">
        <v>26250</v>
      </c>
      <c r="G34" s="58">
        <f t="shared" si="7"/>
        <v>16.006097560975611</v>
      </c>
      <c r="H34" s="169"/>
      <c r="L34" s="1"/>
      <c r="M34" s="2"/>
      <c r="N34" s="85"/>
    </row>
    <row r="35" spans="2:14" x14ac:dyDescent="0.35">
      <c r="B35" s="150"/>
      <c r="C35" s="110">
        <v>6</v>
      </c>
      <c r="D35" s="83">
        <f>D12</f>
        <v>41</v>
      </c>
      <c r="E35" s="111">
        <v>40</v>
      </c>
      <c r="F35" s="110">
        <v>27650</v>
      </c>
      <c r="G35" s="88">
        <f t="shared" si="7"/>
        <v>16.859756097560975</v>
      </c>
      <c r="H35" s="188"/>
      <c r="L35" s="1"/>
      <c r="M35" s="2"/>
      <c r="N35" s="85"/>
    </row>
    <row r="36" spans="2:14" x14ac:dyDescent="0.35">
      <c r="B36" s="112"/>
      <c r="C36" s="112"/>
      <c r="D36" s="112"/>
      <c r="E36" s="112"/>
      <c r="F36" s="112"/>
      <c r="G36" s="112"/>
      <c r="H36" s="112"/>
    </row>
    <row r="37" spans="2:14" x14ac:dyDescent="0.35">
      <c r="B37" s="112"/>
      <c r="C37" s="112"/>
      <c r="D37" s="112"/>
      <c r="E37" s="112"/>
      <c r="F37" s="112"/>
      <c r="G37" s="112"/>
      <c r="H37" s="112"/>
    </row>
    <row r="38" spans="2:14" x14ac:dyDescent="0.35">
      <c r="B38" s="112"/>
      <c r="C38" s="112"/>
      <c r="D38" s="112"/>
      <c r="E38" s="112"/>
      <c r="F38" s="112"/>
      <c r="G38" s="112"/>
      <c r="H38" s="112"/>
    </row>
    <row r="39" spans="2:14" x14ac:dyDescent="0.35">
      <c r="B39" s="112"/>
      <c r="C39" s="112"/>
      <c r="D39" s="112"/>
      <c r="E39" s="112"/>
      <c r="F39" s="112"/>
      <c r="G39" s="112"/>
      <c r="H39" s="112"/>
    </row>
    <row r="40" spans="2:14" x14ac:dyDescent="0.35">
      <c r="B40" s="112"/>
      <c r="C40" s="112"/>
      <c r="D40" s="112"/>
      <c r="E40" s="112"/>
      <c r="F40" s="112"/>
      <c r="G40" s="112"/>
      <c r="H40" s="112"/>
    </row>
    <row r="41" spans="2:14" x14ac:dyDescent="0.35">
      <c r="B41" s="112"/>
      <c r="C41" s="112"/>
      <c r="D41" s="112"/>
      <c r="E41" s="112"/>
      <c r="F41" s="112"/>
      <c r="G41" s="112"/>
      <c r="H41" s="112"/>
    </row>
    <row r="42" spans="2:14" x14ac:dyDescent="0.35">
      <c r="B42" s="112"/>
      <c r="C42" s="112"/>
      <c r="D42" s="112"/>
      <c r="E42" s="112"/>
      <c r="F42" s="112"/>
      <c r="G42" s="112"/>
      <c r="H42" s="112"/>
    </row>
    <row r="43" spans="2:14" x14ac:dyDescent="0.35">
      <c r="B43" s="112"/>
      <c r="C43" s="112"/>
      <c r="D43" s="112"/>
      <c r="E43" s="112"/>
      <c r="F43" s="112"/>
      <c r="G43" s="112"/>
      <c r="H43" s="112"/>
    </row>
  </sheetData>
  <mergeCells count="15">
    <mergeCell ref="P18:P21"/>
    <mergeCell ref="B24:B29"/>
    <mergeCell ref="H24:H29"/>
    <mergeCell ref="J2:L2"/>
    <mergeCell ref="N2:P2"/>
    <mergeCell ref="B4:B6"/>
    <mergeCell ref="H4:H6"/>
    <mergeCell ref="B7:B9"/>
    <mergeCell ref="H7:H9"/>
    <mergeCell ref="B30:B35"/>
    <mergeCell ref="H30:H35"/>
    <mergeCell ref="B10:B12"/>
    <mergeCell ref="H10:H12"/>
    <mergeCell ref="B18:B23"/>
    <mergeCell ref="H18:H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AC_IFSTTAR</vt:lpstr>
      <vt:lpstr>Mix Design&amp;Proportioning</vt:lpstr>
      <vt:lpstr>Strength_3%CO2_full prog.</vt:lpstr>
      <vt:lpstr>Strength_20%CO2_7 d</vt:lpstr>
      <vt:lpstr>Strength_20%CO2_1 d</vt:lpstr>
      <vt:lpstr>Strength_20%CO2_2 d</vt:lpstr>
      <vt:lpstr>Block Strength_3% CO2_7d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Ayena Lorika</dc:creator>
  <cp:lastModifiedBy>Denis Ayena Lorika</cp:lastModifiedBy>
  <dcterms:created xsi:type="dcterms:W3CDTF">2025-08-20T10:16:00Z</dcterms:created>
  <dcterms:modified xsi:type="dcterms:W3CDTF">2025-08-28T16:24:38Z</dcterms:modified>
</cp:coreProperties>
</file>