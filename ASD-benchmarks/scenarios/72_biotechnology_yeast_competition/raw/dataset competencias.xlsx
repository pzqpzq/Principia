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a\Desktop\"/>
    </mc:Choice>
  </mc:AlternateContent>
  <xr:revisionPtr revIDLastSave="0" documentId="8_{7B189714-4B42-4452-A3BF-1F5B8B02CE4F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HPLC" sheetId="2" r:id="rId1"/>
    <sheet name="HPLCaa" sheetId="4" r:id="rId2"/>
    <sheet name="T73" sheetId="5" r:id="rId3"/>
    <sheet name="Chr96,2" sheetId="6" r:id="rId4"/>
    <sheet name="GRE" sheetId="7" r:id="rId5"/>
    <sheet name="QA23" sheetId="8" r:id="rId6"/>
    <sheet name="Clos" sheetId="9" r:id="rId7"/>
    <sheet name="Ec1118" sheetId="10" r:id="rId8"/>
    <sheet name="NCAIM" sheetId="11" r:id="rId9"/>
    <sheet name="D245" sheetId="12" r:id="rId10"/>
  </sheets>
  <externalReferences>
    <externalReference r:id="rId11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7" i="12" l="1"/>
  <c r="O17" i="12" s="1"/>
  <c r="N16" i="12"/>
  <c r="O16" i="12" s="1"/>
  <c r="N15" i="12"/>
  <c r="R15" i="12" s="1"/>
  <c r="N14" i="12"/>
  <c r="O14" i="12" s="1"/>
  <c r="N13" i="12"/>
  <c r="O13" i="12" s="1"/>
  <c r="N12" i="12"/>
  <c r="R12" i="12" s="1"/>
  <c r="N11" i="12"/>
  <c r="O11" i="12" s="1"/>
  <c r="N10" i="12"/>
  <c r="O10" i="12" s="1"/>
  <c r="N9" i="12"/>
  <c r="R9" i="12" s="1"/>
  <c r="N8" i="12"/>
  <c r="O8" i="12" s="1"/>
  <c r="N7" i="12"/>
  <c r="O7" i="12" s="1"/>
  <c r="N6" i="12"/>
  <c r="R6" i="12" s="1"/>
  <c r="N5" i="12"/>
  <c r="O5" i="12" s="1"/>
  <c r="N4" i="12"/>
  <c r="O4" i="12" s="1"/>
  <c r="N3" i="12"/>
  <c r="R3" i="12" s="1"/>
  <c r="N17" i="11"/>
  <c r="O17" i="11" s="1"/>
  <c r="N16" i="11"/>
  <c r="O16" i="11" s="1"/>
  <c r="N15" i="11"/>
  <c r="R15" i="11" s="1"/>
  <c r="N14" i="11"/>
  <c r="O14" i="11" s="1"/>
  <c r="N13" i="11"/>
  <c r="O13" i="11" s="1"/>
  <c r="N12" i="11"/>
  <c r="R12" i="11" s="1"/>
  <c r="N11" i="11"/>
  <c r="O11" i="11" s="1"/>
  <c r="N10" i="11"/>
  <c r="O10" i="11" s="1"/>
  <c r="N9" i="11"/>
  <c r="P9" i="11" s="1"/>
  <c r="N8" i="11"/>
  <c r="O8" i="11" s="1"/>
  <c r="N7" i="11"/>
  <c r="O7" i="11" s="1"/>
  <c r="O6" i="11"/>
  <c r="Q6" i="11" s="1"/>
  <c r="N6" i="11"/>
  <c r="P6" i="11" s="1"/>
  <c r="N5" i="11"/>
  <c r="O5" i="11" s="1"/>
  <c r="N4" i="11"/>
  <c r="O4" i="11" s="1"/>
  <c r="R3" i="11"/>
  <c r="N3" i="11"/>
  <c r="P3" i="11" s="1"/>
  <c r="N16" i="10"/>
  <c r="O16" i="10" s="1"/>
  <c r="N15" i="10"/>
  <c r="O15" i="10" s="1"/>
  <c r="N14" i="10"/>
  <c r="R14" i="10" s="1"/>
  <c r="N13" i="10"/>
  <c r="O13" i="10" s="1"/>
  <c r="N12" i="10"/>
  <c r="O12" i="10" s="1"/>
  <c r="P11" i="10"/>
  <c r="N11" i="10"/>
  <c r="R11" i="10" s="1"/>
  <c r="N10" i="10"/>
  <c r="O10" i="10" s="1"/>
  <c r="N9" i="10"/>
  <c r="O9" i="10" s="1"/>
  <c r="N8" i="10"/>
  <c r="P8" i="10" s="1"/>
  <c r="N7" i="10"/>
  <c r="O7" i="10" s="1"/>
  <c r="N6" i="10"/>
  <c r="O6" i="10" s="1"/>
  <c r="N5" i="10"/>
  <c r="R5" i="10" s="1"/>
  <c r="N4" i="10"/>
  <c r="O4" i="10" s="1"/>
  <c r="R3" i="10"/>
  <c r="N3" i="10"/>
  <c r="P3" i="10" s="1"/>
  <c r="M16" i="9"/>
  <c r="N16" i="9" s="1"/>
  <c r="N15" i="9"/>
  <c r="M15" i="9"/>
  <c r="N14" i="9"/>
  <c r="P14" i="9" s="1"/>
  <c r="M14" i="9"/>
  <c r="Q14" i="9" s="1"/>
  <c r="M13" i="9"/>
  <c r="N13" i="9" s="1"/>
  <c r="M12" i="9"/>
  <c r="N12" i="9" s="1"/>
  <c r="N11" i="9"/>
  <c r="P11" i="9" s="1"/>
  <c r="M11" i="9"/>
  <c r="Q11" i="9" s="1"/>
  <c r="M10" i="9"/>
  <c r="N10" i="9" s="1"/>
  <c r="M9" i="9"/>
  <c r="N9" i="9" s="1"/>
  <c r="M8" i="9"/>
  <c r="O8" i="9" s="1"/>
  <c r="M7" i="9"/>
  <c r="N7" i="9" s="1"/>
  <c r="M6" i="9"/>
  <c r="N6" i="9" s="1"/>
  <c r="N5" i="9"/>
  <c r="P5" i="9" s="1"/>
  <c r="M5" i="9"/>
  <c r="O5" i="9" s="1"/>
  <c r="M4" i="9"/>
  <c r="N4" i="9" s="1"/>
  <c r="Q3" i="9"/>
  <c r="N3" i="9"/>
  <c r="P3" i="9" s="1"/>
  <c r="M3" i="9"/>
  <c r="O3" i="9" s="1"/>
  <c r="O17" i="8"/>
  <c r="N17" i="8"/>
  <c r="N16" i="8"/>
  <c r="O16" i="8" s="1"/>
  <c r="N15" i="8"/>
  <c r="R15" i="8" s="1"/>
  <c r="N14" i="8"/>
  <c r="O14" i="8" s="1"/>
  <c r="N13" i="8"/>
  <c r="O13" i="8" s="1"/>
  <c r="N12" i="8"/>
  <c r="R12" i="8" s="1"/>
  <c r="N11" i="8"/>
  <c r="R9" i="8" s="1"/>
  <c r="O10" i="8"/>
  <c r="N10" i="8"/>
  <c r="N9" i="8"/>
  <c r="O9" i="8" s="1"/>
  <c r="N8" i="8"/>
  <c r="O8" i="8" s="1"/>
  <c r="N7" i="8"/>
  <c r="O7" i="8" s="1"/>
  <c r="R6" i="8"/>
  <c r="N6" i="8"/>
  <c r="P6" i="8" s="1"/>
  <c r="N5" i="8"/>
  <c r="O5" i="8" s="1"/>
  <c r="N4" i="8"/>
  <c r="O4" i="8" s="1"/>
  <c r="N3" i="8"/>
  <c r="P3" i="8" s="1"/>
  <c r="O17" i="7"/>
  <c r="P17" i="7" s="1"/>
  <c r="O16" i="7"/>
  <c r="P16" i="7" s="1"/>
  <c r="O15" i="7"/>
  <c r="S15" i="7" s="1"/>
  <c r="O14" i="7"/>
  <c r="P14" i="7" s="1"/>
  <c r="O13" i="7"/>
  <c r="P13" i="7" s="1"/>
  <c r="O12" i="7"/>
  <c r="S12" i="7" s="1"/>
  <c r="O11" i="7"/>
  <c r="P11" i="7" s="1"/>
  <c r="O10" i="7"/>
  <c r="P10" i="7" s="1"/>
  <c r="O9" i="7"/>
  <c r="Q9" i="7" s="1"/>
  <c r="O8" i="7"/>
  <c r="P8" i="7" s="1"/>
  <c r="O7" i="7"/>
  <c r="P7" i="7" s="1"/>
  <c r="O6" i="7"/>
  <c r="S6" i="7" s="1"/>
  <c r="O5" i="7"/>
  <c r="P5" i="7" s="1"/>
  <c r="O4" i="7"/>
  <c r="P4" i="7" s="1"/>
  <c r="O3" i="7"/>
  <c r="S3" i="7" s="1"/>
  <c r="N16" i="6"/>
  <c r="O16" i="6" s="1"/>
  <c r="N15" i="6"/>
  <c r="R15" i="6" s="1"/>
  <c r="N14" i="6"/>
  <c r="O14" i="6" s="1"/>
  <c r="N13" i="6"/>
  <c r="O13" i="6" s="1"/>
  <c r="N12" i="6"/>
  <c r="P12" i="6" s="1"/>
  <c r="N11" i="6"/>
  <c r="O11" i="6" s="1"/>
  <c r="N10" i="6"/>
  <c r="O10" i="6" s="1"/>
  <c r="R9" i="6"/>
  <c r="N9" i="6"/>
  <c r="P9" i="6" s="1"/>
  <c r="N8" i="6"/>
  <c r="O8" i="6" s="1"/>
  <c r="N7" i="6"/>
  <c r="O7" i="6" s="1"/>
  <c r="N6" i="6"/>
  <c r="R6" i="6" s="1"/>
  <c r="N5" i="6"/>
  <c r="O5" i="6" s="1"/>
  <c r="N4" i="6"/>
  <c r="O4" i="6" s="1"/>
  <c r="R3" i="6"/>
  <c r="P3" i="6"/>
  <c r="O3" i="6"/>
  <c r="Q3" i="6" s="1"/>
  <c r="N3" i="6"/>
  <c r="N17" i="5"/>
  <c r="O17" i="5" s="1"/>
  <c r="N16" i="5"/>
  <c r="O16" i="5" s="1"/>
  <c r="N15" i="5"/>
  <c r="R15" i="5" s="1"/>
  <c r="N14" i="5"/>
  <c r="O14" i="5" s="1"/>
  <c r="N13" i="5"/>
  <c r="O13" i="5" s="1"/>
  <c r="N12" i="5"/>
  <c r="R12" i="5" s="1"/>
  <c r="N11" i="5"/>
  <c r="O11" i="5" s="1"/>
  <c r="N10" i="5"/>
  <c r="O10" i="5" s="1"/>
  <c r="N9" i="5"/>
  <c r="R9" i="5" s="1"/>
  <c r="N8" i="5"/>
  <c r="O8" i="5" s="1"/>
  <c r="N7" i="5"/>
  <c r="O7" i="5" s="1"/>
  <c r="N6" i="5"/>
  <c r="R6" i="5" s="1"/>
  <c r="N5" i="5"/>
  <c r="O5" i="5" s="1"/>
  <c r="N4" i="5"/>
  <c r="O4" i="5" s="1"/>
  <c r="N3" i="5"/>
  <c r="R3" i="5" s="1"/>
  <c r="O15" i="12" l="1"/>
  <c r="Q15" i="12" s="1"/>
  <c r="P15" i="12"/>
  <c r="O9" i="12"/>
  <c r="Q9" i="12" s="1"/>
  <c r="P9" i="12"/>
  <c r="O3" i="12"/>
  <c r="Q3" i="12" s="1"/>
  <c r="P3" i="12"/>
  <c r="O12" i="12"/>
  <c r="Q12" i="12" s="1"/>
  <c r="P12" i="12"/>
  <c r="O6" i="12"/>
  <c r="Q6" i="12" s="1"/>
  <c r="P6" i="12"/>
  <c r="Q15" i="11"/>
  <c r="R6" i="11"/>
  <c r="O15" i="11"/>
  <c r="P15" i="11"/>
  <c r="O12" i="11"/>
  <c r="Q12" i="11" s="1"/>
  <c r="P12" i="11"/>
  <c r="O9" i="11"/>
  <c r="O3" i="11"/>
  <c r="Q3" i="11" s="1"/>
  <c r="O11" i="10"/>
  <c r="Q11" i="10" s="1"/>
  <c r="O5" i="10"/>
  <c r="Q5" i="10" s="1"/>
  <c r="P5" i="10"/>
  <c r="O14" i="10"/>
  <c r="Q14" i="10" s="1"/>
  <c r="P14" i="10"/>
  <c r="O8" i="10"/>
  <c r="O3" i="10"/>
  <c r="Q3" i="10" s="1"/>
  <c r="Q5" i="9"/>
  <c r="O14" i="9"/>
  <c r="O11" i="9"/>
  <c r="N8" i="9"/>
  <c r="R3" i="8"/>
  <c r="O11" i="8"/>
  <c r="Q9" i="8" s="1"/>
  <c r="O12" i="8"/>
  <c r="Q12" i="8" s="1"/>
  <c r="P12" i="8"/>
  <c r="O6" i="8"/>
  <c r="Q6" i="8" s="1"/>
  <c r="O15" i="8"/>
  <c r="Q15" i="8" s="1"/>
  <c r="P15" i="8"/>
  <c r="P9" i="8"/>
  <c r="O3" i="8"/>
  <c r="Q3" i="8" s="1"/>
  <c r="P6" i="7"/>
  <c r="R6" i="7" s="1"/>
  <c r="Q6" i="7"/>
  <c r="Q3" i="7"/>
  <c r="S9" i="7"/>
  <c r="P15" i="7"/>
  <c r="R15" i="7" s="1"/>
  <c r="P12" i="7"/>
  <c r="R12" i="7" s="1"/>
  <c r="Q12" i="7"/>
  <c r="Q15" i="7"/>
  <c r="P9" i="7"/>
  <c r="R9" i="7" s="1"/>
  <c r="P3" i="7"/>
  <c r="R3" i="7" s="1"/>
  <c r="O15" i="6"/>
  <c r="Q15" i="6" s="1"/>
  <c r="O6" i="6"/>
  <c r="Q6" i="6" s="1"/>
  <c r="P15" i="6"/>
  <c r="R12" i="6"/>
  <c r="O12" i="6"/>
  <c r="Q12" i="6" s="1"/>
  <c r="P6" i="6"/>
  <c r="O9" i="6"/>
  <c r="Q9" i="6" s="1"/>
  <c r="O12" i="5"/>
  <c r="Q12" i="5" s="1"/>
  <c r="P12" i="5"/>
  <c r="O6" i="5"/>
  <c r="Q6" i="5" s="1"/>
  <c r="P6" i="5"/>
  <c r="O15" i="5"/>
  <c r="Q15" i="5" s="1"/>
  <c r="P15" i="5"/>
  <c r="O9" i="5"/>
  <c r="Q9" i="5" s="1"/>
  <c r="P9" i="5"/>
  <c r="O3" i="5"/>
  <c r="Q3" i="5" s="1"/>
  <c r="P3" i="5"/>
  <c r="R9" i="11" l="1"/>
  <c r="Q9" i="11"/>
  <c r="R8" i="10"/>
  <c r="Q8" i="10"/>
  <c r="Q8" i="9"/>
  <c r="P8" i="9"/>
</calcChain>
</file>

<file path=xl/sharedStrings.xml><?xml version="1.0" encoding="utf-8"?>
<sst xmlns="http://schemas.openxmlformats.org/spreadsheetml/2006/main" count="2867" uniqueCount="792">
  <si>
    <t>Summary</t>
  </si>
  <si>
    <t>Sequence Details</t>
  </si>
  <si>
    <t>Name:</t>
  </si>
  <si>
    <t>8cepas_Noviembre 2020</t>
  </si>
  <si>
    <t>Created By:</t>
  </si>
  <si>
    <t>IATA</t>
  </si>
  <si>
    <t>Directory:</t>
  </si>
  <si>
    <t>Lab 307\Alba\Competencias</t>
  </si>
  <si>
    <t>Updated On:</t>
  </si>
  <si>
    <t>Data Vault:</t>
  </si>
  <si>
    <t>ChromeleonLocal</t>
  </si>
  <si>
    <t>No. of Injections:</t>
  </si>
  <si>
    <t>Updated By:</t>
  </si>
  <si>
    <t>Results</t>
  </si>
  <si>
    <t>Injection Details</t>
  </si>
  <si>
    <t>glucosa</t>
  </si>
  <si>
    <t>fructosa</t>
  </si>
  <si>
    <t>glicerol</t>
  </si>
  <si>
    <t>etanol</t>
  </si>
  <si>
    <t>ac. acético</t>
  </si>
  <si>
    <t>ac. cítrico</t>
  </si>
  <si>
    <t>ac. tartárico</t>
  </si>
  <si>
    <t>L-ac. málico</t>
  </si>
  <si>
    <t>ac. succínico</t>
  </si>
  <si>
    <t>L-ac. láctico</t>
  </si>
  <si>
    <t>alpha-ketoglutarato</t>
  </si>
  <si>
    <t>2-3 butanediol</t>
  </si>
  <si>
    <t>erythritol</t>
  </si>
  <si>
    <t xml:space="preserve">No. </t>
  </si>
  <si>
    <t>Injection Name</t>
  </si>
  <si>
    <t xml:space="preserve">Dilution </t>
  </si>
  <si>
    <t>Amount</t>
  </si>
  <si>
    <t xml:space="preserve">Amount </t>
  </si>
  <si>
    <t/>
  </si>
  <si>
    <t>[g/l]</t>
  </si>
  <si>
    <t>[%]</t>
  </si>
  <si>
    <t>RI_1</t>
  </si>
  <si>
    <t>UV_VIS_1</t>
  </si>
  <si>
    <t>R1 CR85_22h</t>
  </si>
  <si>
    <t>n.a.</t>
  </si>
  <si>
    <t>R2 CR85_22h</t>
  </si>
  <si>
    <t>R3 CR85_22h</t>
  </si>
  <si>
    <t>R1 T73_22h</t>
  </si>
  <si>
    <t>R2 T73_22h</t>
  </si>
  <si>
    <t>R3 T73_22h</t>
  </si>
  <si>
    <t>R1 T73+CR85_22h</t>
  </si>
  <si>
    <t>R2 T73+CR85_22h</t>
  </si>
  <si>
    <t>R3 T73+CR85_22h</t>
  </si>
  <si>
    <t>R1 ICV D245_22h</t>
  </si>
  <si>
    <t>R2 ICV D245_22h</t>
  </si>
  <si>
    <t>R3 ICV D245 _22h</t>
  </si>
  <si>
    <t>R1 ICV D245 +CR85_22h</t>
  </si>
  <si>
    <t>R2 ICV D245 +CR85_22h</t>
  </si>
  <si>
    <t>R3 ICV D245 +CR85_22h</t>
  </si>
  <si>
    <t>R1 Chr96,2_22h</t>
  </si>
  <si>
    <t>R2 Chr96,2_22h</t>
  </si>
  <si>
    <t>R3 Chr96,2_22h</t>
  </si>
  <si>
    <t>R1 Chr96,2 +CR85_22h</t>
  </si>
  <si>
    <t>R2 Chr96,2 +CR85_22h</t>
  </si>
  <si>
    <t>R3 Chr96,2 +CR85_22h</t>
  </si>
  <si>
    <t xml:space="preserve"> R1 ICV GRE _22h</t>
  </si>
  <si>
    <t>R2 ICV GRE_22h</t>
  </si>
  <si>
    <t>R3  ICV GRE_22h</t>
  </si>
  <si>
    <t xml:space="preserve"> R1 ICV GRE  +CR85_22h</t>
  </si>
  <si>
    <t>R2 ICV GRE  +CR85_22h</t>
  </si>
  <si>
    <t>R3  ICV GRE  +CR85 _22h</t>
  </si>
  <si>
    <t>R1 QA23_22h</t>
  </si>
  <si>
    <t>R2 QA23_22h</t>
  </si>
  <si>
    <t>R3 QA23_22h</t>
  </si>
  <si>
    <t>R1 QA23 +CR85_22h</t>
  </si>
  <si>
    <t>R2 QA23 +CR85_22h</t>
  </si>
  <si>
    <t>R3 QA23 +CR85_22h</t>
  </si>
  <si>
    <t>R1 Clos_22h</t>
  </si>
  <si>
    <t>R2 Clos_22h</t>
  </si>
  <si>
    <t>R3  Clos_22h</t>
  </si>
  <si>
    <t>R1 Clos +CR85 _22h</t>
  </si>
  <si>
    <t>R2 Clos +CR85_22h</t>
  </si>
  <si>
    <t>R3  Clos +CR85 _22h</t>
  </si>
  <si>
    <t>R1 NCAIM _22h</t>
  </si>
  <si>
    <t>R2 NCAIM _22h</t>
  </si>
  <si>
    <t>R3  NCAIM _22h</t>
  </si>
  <si>
    <t>R1 NCAIM   +Cr85_22h</t>
  </si>
  <si>
    <t>R2 NCAIM   +Cr85_22h</t>
  </si>
  <si>
    <t>R3  NCAIM  +Cr85_22h</t>
  </si>
  <si>
    <t>R1 EC1118_22h</t>
  </si>
  <si>
    <t>R2 EC1118_22h</t>
  </si>
  <si>
    <t>R3 EC1118_22h</t>
  </si>
  <si>
    <t>R1 EC1118 +CR85 _22h</t>
  </si>
  <si>
    <t>R2 EC1118 +CR85 _22h</t>
  </si>
  <si>
    <t>R3   EC1118 +CR85_22h</t>
  </si>
  <si>
    <t>Mosto inicial</t>
  </si>
  <si>
    <t>R1 CR85_72h</t>
  </si>
  <si>
    <t>R2 CR85_72h</t>
  </si>
  <si>
    <t>R3 CR85_72h</t>
  </si>
  <si>
    <t>R1 T73_72h</t>
  </si>
  <si>
    <t>R2 T73_72h</t>
  </si>
  <si>
    <t>R3 T73_72h</t>
  </si>
  <si>
    <t>R1 T73+CR85_72h</t>
  </si>
  <si>
    <t>R2 T73+CR85_72h</t>
  </si>
  <si>
    <t>R3 T73+CR85_72h</t>
  </si>
  <si>
    <t>R1 ICV D245_72h</t>
  </si>
  <si>
    <t>R2 ICV D245_72h</t>
  </si>
  <si>
    <t>R3 ICV D245 _72h</t>
  </si>
  <si>
    <t>R1 ICV D245 +CR85_72h</t>
  </si>
  <si>
    <t>R2 ICV D245 +CR85_72h</t>
  </si>
  <si>
    <t>R3 ICV D245 +CR85_72h</t>
  </si>
  <si>
    <t>R1 Chr96,2_72h</t>
  </si>
  <si>
    <t>R2 Chr96,2_72h</t>
  </si>
  <si>
    <t>R3 Chr96,2_72h</t>
  </si>
  <si>
    <t>R1 Chr96,2 +CR85_72h</t>
  </si>
  <si>
    <t>R2 Chr96,2 +CR85_72h</t>
  </si>
  <si>
    <t>R3 Chr96,2 +CR85_72h</t>
  </si>
  <si>
    <t xml:space="preserve"> R1 ICV GRE _72h</t>
  </si>
  <si>
    <t>R2 ICV GRE_72h</t>
  </si>
  <si>
    <t>R3  ICV GRE_72h</t>
  </si>
  <si>
    <t xml:space="preserve"> R1 ICV GRE  +CR85_72h</t>
  </si>
  <si>
    <t>R2 ICV GRE  +CR85_72h</t>
  </si>
  <si>
    <t>R3  ICV GRE  +CR85 _72h</t>
  </si>
  <si>
    <t>R1 QA23_72h</t>
  </si>
  <si>
    <t>R2 QA23_72h</t>
  </si>
  <si>
    <t>R3 QA23_72h</t>
  </si>
  <si>
    <t>R1 QA23 +CR85_72h</t>
  </si>
  <si>
    <t>R2 QA23 +CR85_72h</t>
  </si>
  <si>
    <t>R3 QA23 +CR85_72h</t>
  </si>
  <si>
    <t>R1 Clos_72h</t>
  </si>
  <si>
    <t>R2 Clos_72h</t>
  </si>
  <si>
    <t>R3  Clos_72h</t>
  </si>
  <si>
    <t>R1 Clos +CR85 _72h</t>
  </si>
  <si>
    <t>R2 Clos +CR85_72h</t>
  </si>
  <si>
    <t>R3  Clos +CR85 _72h</t>
  </si>
  <si>
    <t>R1 NCAIM _72h</t>
  </si>
  <si>
    <t>R2 NCAIM _72h</t>
  </si>
  <si>
    <t>R3  NCAIM _72h</t>
  </si>
  <si>
    <t>R1 NCAIM   +Cr85_72h</t>
  </si>
  <si>
    <t>R2 NCAIM   +Cr85_72h</t>
  </si>
  <si>
    <t>R3  NCAIM  +Cr85_72h</t>
  </si>
  <si>
    <t>R1 EC1118_72h</t>
  </si>
  <si>
    <t>R2 EC1118_72h</t>
  </si>
  <si>
    <t>R3   EC1118_72h</t>
  </si>
  <si>
    <t>R1 EC1118 +CR85 _72h</t>
  </si>
  <si>
    <t>R2 EC1118 +CR85 _72h</t>
  </si>
  <si>
    <t>R3   EC1118 +CR85_72h</t>
  </si>
  <si>
    <t>MOSTO 2</t>
  </si>
  <si>
    <t>R1 CR85_96h</t>
  </si>
  <si>
    <t>R2 CR85_96h</t>
  </si>
  <si>
    <t>R3 CR85_96h</t>
  </si>
  <si>
    <t>R1 T73_96h</t>
  </si>
  <si>
    <t>R2 T73_96h</t>
  </si>
  <si>
    <t>R3 T73_96h</t>
  </si>
  <si>
    <t>R1 T73+CR85_96h</t>
  </si>
  <si>
    <t>R2 T73+CR85_96h</t>
  </si>
  <si>
    <t>R3 T73+CR85_96h</t>
  </si>
  <si>
    <t>R1 ICV D245_96h</t>
  </si>
  <si>
    <t>R2 ICV D245_96h</t>
  </si>
  <si>
    <t>R3 ICV D245 _96h</t>
  </si>
  <si>
    <t>R1 ICV D245 +CR85_96h</t>
  </si>
  <si>
    <t>R2 ICV D245 +CR85_96h</t>
  </si>
  <si>
    <t>R3 ICV D245 +CR85_96h</t>
  </si>
  <si>
    <t>R1 Chr96,2_96h</t>
  </si>
  <si>
    <t>R2 Chr96,2_96h</t>
  </si>
  <si>
    <t>R3 Chr96,2_96h</t>
  </si>
  <si>
    <t>R1 Chr96,2 +CR85_96h</t>
  </si>
  <si>
    <t>R2 Chr96,2 +CR85_96h</t>
  </si>
  <si>
    <t>R3 Chr96,2 +CR85_96h</t>
  </si>
  <si>
    <t xml:space="preserve"> R1 ICV GRE _96h</t>
  </si>
  <si>
    <t>R2 ICV GRE_96h</t>
  </si>
  <si>
    <t>R3  ICV GRE_96h</t>
  </si>
  <si>
    <t xml:space="preserve"> R1 ICV GRE  +CR85_96h</t>
  </si>
  <si>
    <t>R2 ICV GRE  +CR85_96h</t>
  </si>
  <si>
    <t>R3  ICV GRE  +CR85 _96h</t>
  </si>
  <si>
    <t>R1 QA23_96h</t>
  </si>
  <si>
    <t>R2 QA23_96h</t>
  </si>
  <si>
    <t>R3 QA23_96h</t>
  </si>
  <si>
    <t>R1 QA23 +CR85_96h</t>
  </si>
  <si>
    <t>R2 QA23 +CR85_96h</t>
  </si>
  <si>
    <t>R3 QA23 +CR85_96h</t>
  </si>
  <si>
    <t>R1 Clos_96h</t>
  </si>
  <si>
    <t>R2 Clos_96h</t>
  </si>
  <si>
    <t>R3  Clos_96h</t>
  </si>
  <si>
    <t>R1 Clos +CR85 _96h</t>
  </si>
  <si>
    <t>R2 Clos +CR85_96h</t>
  </si>
  <si>
    <t>R3  Clos +CR85 _96h</t>
  </si>
  <si>
    <t>R1 NCAIM _96h</t>
  </si>
  <si>
    <t>R2 NCAIM _96h</t>
  </si>
  <si>
    <t>R3  NCAIM _96h</t>
  </si>
  <si>
    <t>R1 NCAIM   +Cr85_96h</t>
  </si>
  <si>
    <t>R2 NCAIM   +Cr85_96h</t>
  </si>
  <si>
    <t>R3  NCAIM  +Cr85_96h</t>
  </si>
  <si>
    <t>R1 EC1118_96h</t>
  </si>
  <si>
    <t>R2 EC1118_96h</t>
  </si>
  <si>
    <t>R3   EC1118_96h</t>
  </si>
  <si>
    <t>R1 EC1118 +CR85 _96h</t>
  </si>
  <si>
    <t>R2 EC1118 +CR85 _96h</t>
  </si>
  <si>
    <t>R3   EC1118 +CR85_96h</t>
  </si>
  <si>
    <t>R1 CR85_168h</t>
  </si>
  <si>
    <t>R2 CR85_168h</t>
  </si>
  <si>
    <t>R3 CR85_168h</t>
  </si>
  <si>
    <t>R1 T73_168h</t>
  </si>
  <si>
    <t>R2 T73_168h</t>
  </si>
  <si>
    <t>R3 T73_168h</t>
  </si>
  <si>
    <t>R1 T73+CR85_168h</t>
  </si>
  <si>
    <t>R2 T73+CR85_168h</t>
  </si>
  <si>
    <t>R3 T73+CR85_168h</t>
  </si>
  <si>
    <t>R1 ICV D245_168h</t>
  </si>
  <si>
    <t>R2 ICV D245_168h</t>
  </si>
  <si>
    <t>R3 ICV D245 _168h</t>
  </si>
  <si>
    <t>R1 ICV D245 +CR85_168h</t>
  </si>
  <si>
    <t>R2 ICV D245 +CR85_168h</t>
  </si>
  <si>
    <t>R3 ICV D245 +CR85_168h</t>
  </si>
  <si>
    <t>R1 Chr96,2_168h</t>
  </si>
  <si>
    <t>R2 Chr96,2_168h</t>
  </si>
  <si>
    <t>R3 Chr96,2_168h</t>
  </si>
  <si>
    <t>R1 Chr96,2 +CR85_168h</t>
  </si>
  <si>
    <t>R2 Chr96,2 +CR85_168h</t>
  </si>
  <si>
    <t>R3 Chr96,2 +CR85_168h</t>
  </si>
  <si>
    <t xml:space="preserve"> R1 ICV GRE _168h</t>
  </si>
  <si>
    <t>R2 ICV GRE_168h</t>
  </si>
  <si>
    <t>R3  ICV GRE_168h</t>
  </si>
  <si>
    <t xml:space="preserve"> R1 ICV GRE  +CR85_168h</t>
  </si>
  <si>
    <t>R2 ICV GRE  +CR85_168h</t>
  </si>
  <si>
    <t>R3  ICV GRE  +CR85 _168h</t>
  </si>
  <si>
    <t>R1 QA23_168h</t>
  </si>
  <si>
    <t>R2 QA23_168h</t>
  </si>
  <si>
    <t>R3 QA23_168h</t>
  </si>
  <si>
    <t>R1 QA23 +CR85_168h</t>
  </si>
  <si>
    <t>R2 QA23 +CR85_168h</t>
  </si>
  <si>
    <t>R3 QA23 +CR85_168h</t>
  </si>
  <si>
    <t>R1 Clos_168h</t>
  </si>
  <si>
    <t>R2 Clos_168h</t>
  </si>
  <si>
    <t>R3  Clos_168h</t>
  </si>
  <si>
    <t>R1 Clos +CR85 _168h</t>
  </si>
  <si>
    <t>R2 Clos +CR85_168h</t>
  </si>
  <si>
    <t>R3  Clos +CR85 _168h</t>
  </si>
  <si>
    <t>R1 NCAIM _168h</t>
  </si>
  <si>
    <t>R2 NCAIM _168h</t>
  </si>
  <si>
    <t>R3  NCAIM _168h</t>
  </si>
  <si>
    <t>R1 NCAIM   +Cr85_168h</t>
  </si>
  <si>
    <t>R2 NCAIM   +Cr85_168h</t>
  </si>
  <si>
    <t>R3  NCAIM  +Cr85_168h</t>
  </si>
  <si>
    <t>R1 EC1118_168h</t>
  </si>
  <si>
    <t>R2 EC1118_168h</t>
  </si>
  <si>
    <t>R3   EC1118_168h</t>
  </si>
  <si>
    <t>R1 EC1118 +CR85 _168h</t>
  </si>
  <si>
    <t>R2 EC1118 +CR85 _168h</t>
  </si>
  <si>
    <t>R3   EC1118 +CR85_168h</t>
  </si>
  <si>
    <t>R1 CR85_216h</t>
  </si>
  <si>
    <t>R2 CR85_216h</t>
  </si>
  <si>
    <t>R3 CR85_216h</t>
  </si>
  <si>
    <t>R1 T73_216h</t>
  </si>
  <si>
    <t>R2 T73_216h</t>
  </si>
  <si>
    <t>R3 T73_216h</t>
  </si>
  <si>
    <t>R1 T73+CR85_216h</t>
  </si>
  <si>
    <t>R2 T73+CR85_216h</t>
  </si>
  <si>
    <t>R3 T73+CR85_216h</t>
  </si>
  <si>
    <t>R1 ICV D245_216h</t>
  </si>
  <si>
    <t>R2 ICV D245_216h</t>
  </si>
  <si>
    <t>R3 ICV D245 _216h</t>
  </si>
  <si>
    <t>R1 ICV D245 +CR85_216h</t>
  </si>
  <si>
    <t>R2 ICV D245 +CR85_216h</t>
  </si>
  <si>
    <t>R3 ICV D245 +CR85_216h</t>
  </si>
  <si>
    <t>R1 Chr96,2_216h</t>
  </si>
  <si>
    <t>R2 Chr96,2_216h</t>
  </si>
  <si>
    <t>R3 Chr96,2_216h</t>
  </si>
  <si>
    <t>R1 Chr96,2 +CR85_216h</t>
  </si>
  <si>
    <t>R2 Chr96,2 +CR85_216h</t>
  </si>
  <si>
    <t>R3 Chr96,2 +CR85_216h</t>
  </si>
  <si>
    <t xml:space="preserve"> R1 ICV GRE _216h</t>
  </si>
  <si>
    <t>R2 ICV GRE_216h</t>
  </si>
  <si>
    <t>R3  ICV GRE_216h</t>
  </si>
  <si>
    <t xml:space="preserve"> R1 ICV GRE  +CR85_216h</t>
  </si>
  <si>
    <t>R2 ICV GRE  +CR85_216h</t>
  </si>
  <si>
    <t>R3  ICV GRE  +CR85 _216h</t>
  </si>
  <si>
    <t>R1 QA23_216h</t>
  </si>
  <si>
    <t>R2 QA23_216h</t>
  </si>
  <si>
    <t>R3 QA23_216h</t>
  </si>
  <si>
    <t>R1 QA23 +CR85_216h</t>
  </si>
  <si>
    <t>R2 QA23 +CR85_216h</t>
  </si>
  <si>
    <t>R3 QA23 +CR85_216h</t>
  </si>
  <si>
    <t>R1 Clos_216h</t>
  </si>
  <si>
    <t>R2 Clos_216h</t>
  </si>
  <si>
    <t>R3  Clos_216h</t>
  </si>
  <si>
    <t>R1 Clos +CR85 _216h</t>
  </si>
  <si>
    <t>R2 Clos +CR85_216h</t>
  </si>
  <si>
    <t>R3  Clos +CR85 _216h</t>
  </si>
  <si>
    <t>R1 NCAIM _216h</t>
  </si>
  <si>
    <t>R2 NCAIM _216h</t>
  </si>
  <si>
    <t>R3  NCAIM _216h</t>
  </si>
  <si>
    <t>R1 NCAIM   +Cr85_216h</t>
  </si>
  <si>
    <t>R2 NCAIM   +Cr85_216h</t>
  </si>
  <si>
    <t>R3  NCAIM  +Cr85_216h</t>
  </si>
  <si>
    <t>R1 EC1118_216h</t>
  </si>
  <si>
    <t>R2 EC1118_216h</t>
  </si>
  <si>
    <t>R3   EC1118_216h</t>
  </si>
  <si>
    <t>R1 EC1118 +CR85 _216h</t>
  </si>
  <si>
    <t>R2 EC1118 +CR85 _216h</t>
  </si>
  <si>
    <t>R3   EC1118 +CR85_216h</t>
  </si>
  <si>
    <t>R1 CR85_260h</t>
  </si>
  <si>
    <t>R2 CR85_260h</t>
  </si>
  <si>
    <t>R3 CR85_260h</t>
  </si>
  <si>
    <t>R1 T73_260h</t>
  </si>
  <si>
    <t>R2 T73_260h</t>
  </si>
  <si>
    <t>R3 T73_260h</t>
  </si>
  <si>
    <t>R1 T73+CR85_260h</t>
  </si>
  <si>
    <t>R2 T73+CR85_260h</t>
  </si>
  <si>
    <t>R3 T73+CR85_260h</t>
  </si>
  <si>
    <t>R1 ICV D245_260h</t>
  </si>
  <si>
    <t>R2 ICV D245_260h</t>
  </si>
  <si>
    <t>R3 ICV D245 _260h</t>
  </si>
  <si>
    <t>R1 ICV D245 +CR85_260h</t>
  </si>
  <si>
    <t>R2 ICV D245 +CR85_260h</t>
  </si>
  <si>
    <t>R3 ICV D245 +CR85_260h</t>
  </si>
  <si>
    <t>R1 Chr96,2_260h</t>
  </si>
  <si>
    <t>R2 Chr96,2_260h</t>
  </si>
  <si>
    <t>R3 Chr96,2_260h</t>
  </si>
  <si>
    <t>R1 Chr96,2 +CR85_260h</t>
  </si>
  <si>
    <t>R2 Chr96,2 +CR85_260h</t>
  </si>
  <si>
    <t>R3 Chr96,2 +CR85_260h</t>
  </si>
  <si>
    <t xml:space="preserve"> R1 ICV GRE _260h</t>
  </si>
  <si>
    <t>R2 ICV GRE_260h</t>
  </si>
  <si>
    <t>R3  ICV GRE_260h</t>
  </si>
  <si>
    <t xml:space="preserve"> R1 ICV GRE  +CR85_260h</t>
  </si>
  <si>
    <t>R2 ICV GRE  +CR85_260h</t>
  </si>
  <si>
    <t>R3  ICV GRE  +CR85 _260h</t>
  </si>
  <si>
    <t>R1 QA23_260h</t>
  </si>
  <si>
    <t>R2 QA23_260h</t>
  </si>
  <si>
    <t>R3 QA23_260h</t>
  </si>
  <si>
    <t>R1 QA23 +CR85_260h</t>
  </si>
  <si>
    <t>R2 QA23 +CR85_260h</t>
  </si>
  <si>
    <t>R3 QA23 +CR85_260h</t>
  </si>
  <si>
    <t>R1 Clos_260h</t>
  </si>
  <si>
    <t>R2 Clos_260h</t>
  </si>
  <si>
    <t>R3  Clos_260h</t>
  </si>
  <si>
    <t>R1 Clos +CR85 _260h</t>
  </si>
  <si>
    <t>R2 Clos +CR85_260h</t>
  </si>
  <si>
    <t>R3  Clos +CR85 _260h</t>
  </si>
  <si>
    <t>R1 NCAIM _260h</t>
  </si>
  <si>
    <t>R2 NCAIM _260h</t>
  </si>
  <si>
    <t>R3  NCAIM _260h</t>
  </si>
  <si>
    <t>R1 NCAIM   +Cr85_260h</t>
  </si>
  <si>
    <t>R2 NCAIM   +Cr85_260h</t>
  </si>
  <si>
    <t>R3  NCAIM  +Cr85_260h</t>
  </si>
  <si>
    <t>R1 EC1118_260h</t>
  </si>
  <si>
    <t>R2 EC1118_260h</t>
  </si>
  <si>
    <t>R3   EC1118_260h</t>
  </si>
  <si>
    <t>R1 EC1118 +CR85 _260h</t>
  </si>
  <si>
    <t>R2 EC1118 +CR85 _260h</t>
  </si>
  <si>
    <t>R3   EC1118 +CR85_260h</t>
  </si>
  <si>
    <t>R1 CR85_336h</t>
  </si>
  <si>
    <t>R2 CR85_336h</t>
  </si>
  <si>
    <t>R3 CR85_336h</t>
  </si>
  <si>
    <t>R1 T73_336h</t>
  </si>
  <si>
    <t>R2 T73_336h</t>
  </si>
  <si>
    <t>R3 T73_336h</t>
  </si>
  <si>
    <t>R1 T73+CR85_336h</t>
  </si>
  <si>
    <t>R2 T73+CR85_336h</t>
  </si>
  <si>
    <t>R3 T73+CR85_336h</t>
  </si>
  <si>
    <t>R1 ICV D245_336h</t>
  </si>
  <si>
    <t>R2 ICV D245_336h</t>
  </si>
  <si>
    <t>R3 ICV D245 _336h</t>
  </si>
  <si>
    <t>R1 ICV D245 +CR85_336h</t>
  </si>
  <si>
    <t>R2 ICV D245 +CR85_336h</t>
  </si>
  <si>
    <t>R3 ICV D245 +CR85_336h</t>
  </si>
  <si>
    <t>R1 Chr96,2_336h</t>
  </si>
  <si>
    <t>R2 Chr96,2_336h</t>
  </si>
  <si>
    <t>R3 Chr96,2_336h</t>
  </si>
  <si>
    <t>R1 Chr96,2 +CR85_336h</t>
  </si>
  <si>
    <t>R2 Chr96,2 +CR85_336h</t>
  </si>
  <si>
    <t>R3 Chr96,2 +CR85_336h</t>
  </si>
  <si>
    <t xml:space="preserve"> R1 ICV GRE _336h</t>
  </si>
  <si>
    <t>R2 ICV GRE_336h</t>
  </si>
  <si>
    <t>R3  ICV GRE_336h</t>
  </si>
  <si>
    <t xml:space="preserve"> R1 ICV GRE  +CR85_336h</t>
  </si>
  <si>
    <t>R2 ICV GRE  +CR85_336h</t>
  </si>
  <si>
    <t>R3  ICV GRE  +CR85 _336h</t>
  </si>
  <si>
    <t>R1 QA23_336h</t>
  </si>
  <si>
    <t>R2 QA23_336h</t>
  </si>
  <si>
    <t>R3 QA23_336h</t>
  </si>
  <si>
    <t>R1 QA23 +CR85_336h</t>
  </si>
  <si>
    <t>R2 QA23 +CR85_336h</t>
  </si>
  <si>
    <t>R3 QA23 +CR85_336h</t>
  </si>
  <si>
    <t>R1 Clos_336h</t>
  </si>
  <si>
    <t>R2 Clos_336h</t>
  </si>
  <si>
    <t>R3  Clos_336h</t>
  </si>
  <si>
    <t>R1 Clos +CR85 _336h</t>
  </si>
  <si>
    <t>R2 Clos +CR85_336h</t>
  </si>
  <si>
    <t>R3  Clos +CR85 _336h</t>
  </si>
  <si>
    <t>R1 NCAIM _336h</t>
  </si>
  <si>
    <t>R2 NCAIM _336h</t>
  </si>
  <si>
    <t>R3  NCAIM _336h</t>
  </si>
  <si>
    <t>R1 NCAIM   +Cr85_336h</t>
  </si>
  <si>
    <t>R2 NCAIM   +Cr85_336h</t>
  </si>
  <si>
    <t>R3  NCAIM  +Cr85_336h</t>
  </si>
  <si>
    <t>R1 EC1118_336h</t>
  </si>
  <si>
    <t>R2 EC1118_336h</t>
  </si>
  <si>
    <t>R3   EC1118_336h</t>
  </si>
  <si>
    <t>R1 EC1118 +CR85 _336h</t>
  </si>
  <si>
    <t>R2 EC1118 +CR85 _336h</t>
  </si>
  <si>
    <t>R3   EC1118 +CR85_336h</t>
  </si>
  <si>
    <t>R1 T73_360h</t>
  </si>
  <si>
    <t>R2 T73_360h</t>
  </si>
  <si>
    <t>R3 T73_360h</t>
  </si>
  <si>
    <t>R1 T73+CR85_360h</t>
  </si>
  <si>
    <t>R2 T73+CR85_360h</t>
  </si>
  <si>
    <t>R3 T73+CR85_360h</t>
  </si>
  <si>
    <t>R1 ICV D245_360h</t>
  </si>
  <si>
    <t>R2 ICV D245_360h</t>
  </si>
  <si>
    <t>R3 ICV D245 _360h</t>
  </si>
  <si>
    <t>R1 Chr96,2_360h</t>
  </si>
  <si>
    <t>R2 Chr96,2_360h</t>
  </si>
  <si>
    <t>R3 Chr96,2_360h</t>
  </si>
  <si>
    <t xml:space="preserve"> R1 ICV GRE _360h</t>
  </si>
  <si>
    <t>R2 ICV GRE_360h</t>
  </si>
  <si>
    <t>R3  ICV GRE_360h</t>
  </si>
  <si>
    <t xml:space="preserve"> R1 ICV GRE  +CR85_360h</t>
  </si>
  <si>
    <t>R2 ICV GRE  +CR85_360h</t>
  </si>
  <si>
    <t>R3  ICV GRE  +CR85 _360h</t>
  </si>
  <si>
    <t>R1 QA23 +CR85_360h</t>
  </si>
  <si>
    <t>R2 QA23 +CR85_360h</t>
  </si>
  <si>
    <t>R3 QA23 +CR85_360h</t>
  </si>
  <si>
    <t>R1 Clos_360h</t>
  </si>
  <si>
    <t>R2 Clos_360h</t>
  </si>
  <si>
    <t>R3  Clos_360h</t>
  </si>
  <si>
    <t>R1 NCAIM _360h</t>
  </si>
  <si>
    <t>R2 NCAIM _360h</t>
  </si>
  <si>
    <t>R3  NCAIM _360h</t>
  </si>
  <si>
    <t>R1 EC1118 +CR85 _360h</t>
  </si>
  <si>
    <t>R2 EC1118 +CR85 _360h</t>
  </si>
  <si>
    <t>R3   EC1118 +CR85_360h</t>
  </si>
  <si>
    <t>R1 T73_384h</t>
  </si>
  <si>
    <t>R2 T73_384h</t>
  </si>
  <si>
    <t>R3 T73+CR85_384h</t>
  </si>
  <si>
    <t>R1 Chr96,2_384h</t>
  </si>
  <si>
    <t>R2 Chr96,2_384h</t>
  </si>
  <si>
    <t>R3 Chr96,2_384h</t>
  </si>
  <si>
    <t xml:space="preserve"> R1 ICV GRE  +CR85_384h</t>
  </si>
  <si>
    <t>R2 ICV GRE  +CR85_384h</t>
  </si>
  <si>
    <t>R3  ICV GRE  +CR85 _384h</t>
  </si>
  <si>
    <t>R1 QA23 +CR85_384h</t>
  </si>
  <si>
    <t>R2 QA23 +CR85_384h</t>
  </si>
  <si>
    <t>R3 QA23 +CR85_384h</t>
  </si>
  <si>
    <t>R1 NCAIM _384h</t>
  </si>
  <si>
    <t>R2 NCAIM _384h</t>
  </si>
  <si>
    <t>R3  NCAIM _384h</t>
  </si>
  <si>
    <t>R1 EC1118 +CR85 _384h</t>
  </si>
  <si>
    <t>R2 EC1118 +CR85 _384h</t>
  </si>
  <si>
    <t>R3   EC1118 +CR85_384h</t>
  </si>
  <si>
    <t>R1 T73_432h</t>
  </si>
  <si>
    <t>R2 T73_432h</t>
  </si>
  <si>
    <t>R3 T73+CR85_432h</t>
  </si>
  <si>
    <t>R1 Chr96,2_432h</t>
  </si>
  <si>
    <t>R2 Chr96,2_432h</t>
  </si>
  <si>
    <t>R3 Chr96,2_432h</t>
  </si>
  <si>
    <t xml:space="preserve"> R1 ICV GRE  +CR85_432h</t>
  </si>
  <si>
    <t>R2 ICV GRE  +CR85_432h</t>
  </si>
  <si>
    <t>R3  ICV GRE  +CR85 _432h</t>
  </si>
  <si>
    <t>R1 QA23 +CR85_432h</t>
  </si>
  <si>
    <t>R2 QA23 +CR85_432h</t>
  </si>
  <si>
    <t>R3 QA23 +CR85_432h</t>
  </si>
  <si>
    <t>R1 NCAIM _432h</t>
  </si>
  <si>
    <t>R2 NCAIM _432h</t>
  </si>
  <si>
    <t>R3  NCAIM _432h</t>
  </si>
  <si>
    <t>R1 EC1118 +CR85 _432h</t>
  </si>
  <si>
    <t>R2 EC1118 +CR85 _432h</t>
  </si>
  <si>
    <t>R3   EC1118 +CR85_432h</t>
  </si>
  <si>
    <t>R1 QA23 +CR85_504h</t>
  </si>
  <si>
    <t>R2 QA23 +CR85_504h</t>
  </si>
  <si>
    <t>R3 QA23 +CR85_504h</t>
  </si>
  <si>
    <t>R1 EC1118 +CR85 _504h</t>
  </si>
  <si>
    <t>R2 EC1118 +CR85 _504h</t>
  </si>
  <si>
    <t>R3   EC1118 +CR85_504h</t>
  </si>
  <si>
    <t>NH4Cl</t>
  </si>
  <si>
    <t>aminoacidos_competencias_nitrogeno</t>
  </si>
  <si>
    <t>Lab 307\Alba\Competencias\Nitrogeno_NoaAmparo</t>
  </si>
  <si>
    <t>mg/L</t>
  </si>
  <si>
    <t>Alanine</t>
  </si>
  <si>
    <t>Arginine</t>
  </si>
  <si>
    <t>Aspartate</t>
  </si>
  <si>
    <t>Cysteine</t>
  </si>
  <si>
    <t>Glutamate</t>
  </si>
  <si>
    <t>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</si>
  <si>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</si>
  <si>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</si>
  <si>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</si>
  <si>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</si>
  <si>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</si>
  <si>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</si>
  <si>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</si>
  <si>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</si>
  <si>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</si>
  <si>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</si>
  <si>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</si>
  <si>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</si>
  <si>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</si>
  <si>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R1 MS300</t>
  </si>
  <si>
    <t>R2 MS300</t>
  </si>
  <si>
    <t xml:space="preserve">CR85 R1 MS300 10h </t>
  </si>
  <si>
    <t xml:space="preserve">CR85 R2 MS300 10h </t>
  </si>
  <si>
    <t xml:space="preserve">CR85 R3 MS300 10h </t>
  </si>
  <si>
    <t>CR85 24h R1 MS300</t>
  </si>
  <si>
    <t>CR85 24h R2 MS300</t>
  </si>
  <si>
    <t>CR85 24h R3 MS300</t>
  </si>
  <si>
    <t>CR85 48h R1 300</t>
  </si>
  <si>
    <t>CR85 48h R2 300</t>
  </si>
  <si>
    <t>CR85 48h R3 300</t>
  </si>
  <si>
    <t>GRE R1 MS300 10h</t>
  </si>
  <si>
    <t>GRE R2 MS300 10h</t>
  </si>
  <si>
    <t>GRE R3 MS300 10h</t>
  </si>
  <si>
    <t>GRE 24h R1 MS 300</t>
  </si>
  <si>
    <t>GRE 24h R2 MS 300</t>
  </si>
  <si>
    <t>GRE 24h R3 MS 300</t>
  </si>
  <si>
    <t>GRE 48h R1 MS300</t>
  </si>
  <si>
    <t>GRE 48h R2 MS300</t>
  </si>
  <si>
    <t>GRE 48h R3 MS300</t>
  </si>
  <si>
    <t>GRE + CR85 R1 MS300 10h</t>
  </si>
  <si>
    <t>GRE + CR85 R2 MS300 10h</t>
  </si>
  <si>
    <t xml:space="preserve">GRE + CR85 R3 MS300 10h </t>
  </si>
  <si>
    <t>GRE+  24h R1 MS 300</t>
  </si>
  <si>
    <t>GRE+  24h R2 MS 300</t>
  </si>
  <si>
    <t>GRE+  24h R3 MS 300</t>
  </si>
  <si>
    <t>GRE + 48h R1 MS300</t>
  </si>
  <si>
    <t>GRE + 48h R2 MS300</t>
  </si>
  <si>
    <t>GRE + 48h R3 MS300</t>
  </si>
  <si>
    <t>CHR R1 MS300 10h</t>
  </si>
  <si>
    <t>CHR R2 MS300 10h</t>
  </si>
  <si>
    <t>CHR R3 MS300 10h</t>
  </si>
  <si>
    <t>Chr 24h R1 MS 300</t>
  </si>
  <si>
    <t>Chr 24h R2 MS 300</t>
  </si>
  <si>
    <t>Chr 24h R3 MS 300</t>
  </si>
  <si>
    <t>Chr 48h R1 MS300</t>
  </si>
  <si>
    <t>Chr 48h R2 MS300</t>
  </si>
  <si>
    <t>Chr 48h R3 MS300</t>
  </si>
  <si>
    <t>CHR + R1 MS300 10h</t>
  </si>
  <si>
    <t>CHR + R2 MS300 10h</t>
  </si>
  <si>
    <t>CHR + R3 MS300 10h</t>
  </si>
  <si>
    <t>Chr+ 24h R1 MS 300</t>
  </si>
  <si>
    <t>Chr+ 24h R2 MS 300</t>
  </si>
  <si>
    <t>Chr+ 24h R3 MS 300</t>
  </si>
  <si>
    <t>Chr + 48h R1 MS300</t>
  </si>
  <si>
    <t>Chr + 48h R2 MS300</t>
  </si>
  <si>
    <t>Chr + 48h R3 MS300</t>
  </si>
  <si>
    <t xml:space="preserve">T73 R1 300 10h </t>
  </si>
  <si>
    <t>T73 R2 300 10h</t>
  </si>
  <si>
    <t>T73 R3 300 10h</t>
  </si>
  <si>
    <t>T73 24h R1 MS300</t>
  </si>
  <si>
    <t>T73 24h R2 MS300</t>
  </si>
  <si>
    <t>T73 24h R3 MS300</t>
  </si>
  <si>
    <t>T73 48h R1 MS300</t>
  </si>
  <si>
    <t>T73 48h R2 MS300</t>
  </si>
  <si>
    <t>T73 48h R3 MS300</t>
  </si>
  <si>
    <t>T73 + R1 300 10h</t>
  </si>
  <si>
    <t>T73 + R2 300 10h</t>
  </si>
  <si>
    <t>T73 + R3 300 10h</t>
  </si>
  <si>
    <t>T73 + 24h R1 MS300</t>
  </si>
  <si>
    <t>T73 + 24h R2 MS300</t>
  </si>
  <si>
    <t>T73 + 24h R3 MS300</t>
  </si>
  <si>
    <t>T73+ 48h R1 MS300</t>
  </si>
  <si>
    <t>T73+ 48h R2 MS300</t>
  </si>
  <si>
    <t>T73+ 48h R3 MS300</t>
  </si>
  <si>
    <t>D254  R1 300 10h</t>
  </si>
  <si>
    <t>D254  R2 300 10h</t>
  </si>
  <si>
    <t>D254  R3 300 10h</t>
  </si>
  <si>
    <t>D254 24h R1 MS300</t>
  </si>
  <si>
    <t>D254 24h R2 MS300</t>
  </si>
  <si>
    <t>D254 24h R3 MS300</t>
  </si>
  <si>
    <t>D254 48hR1 MS300</t>
  </si>
  <si>
    <t>D254 48hR2 MS300</t>
  </si>
  <si>
    <t>D254 48hR3  MS300</t>
  </si>
  <si>
    <t xml:space="preserve">D254 + R1 MS 300 10h </t>
  </si>
  <si>
    <t xml:space="preserve">D254 + R2 MS 300 10h </t>
  </si>
  <si>
    <t xml:space="preserve">D254 + R3 MS 300 10h </t>
  </si>
  <si>
    <t>D254 + 24h R1 MS300</t>
  </si>
  <si>
    <t>D254 + 24h R2 MS300</t>
  </si>
  <si>
    <t>D254 + 24h R3 MS300</t>
  </si>
  <si>
    <t>D254 + 48h R1 MS300</t>
  </si>
  <si>
    <t>D254 + 48h R2 MS300</t>
  </si>
  <si>
    <t>D254 + 48h R3 MS300</t>
  </si>
  <si>
    <t>CR85 10h R1 MS300</t>
  </si>
  <si>
    <t>CR85 10h R2 MS300</t>
  </si>
  <si>
    <t>CR85 10h R3 MS300</t>
  </si>
  <si>
    <t>QA23 10h R1 MS 300</t>
  </si>
  <si>
    <t>QA23 10h R2 MS 300</t>
  </si>
  <si>
    <t>QA23 10h R3 MS 300</t>
  </si>
  <si>
    <t>QA23 24h R1 MS 300</t>
  </si>
  <si>
    <t>QA23 24h R2 MS 300</t>
  </si>
  <si>
    <t>QA23 24h R3 MS 300</t>
  </si>
  <si>
    <t>QA23 48h R1 300</t>
  </si>
  <si>
    <t>QA23 48h R2 300</t>
  </si>
  <si>
    <t>QA23 48h R3 300</t>
  </si>
  <si>
    <t>QA23 + 10h R1 MS 300</t>
  </si>
  <si>
    <t>QA23 + 10h R2 MS 300</t>
  </si>
  <si>
    <t>QA23 + 10h R3 MS 300</t>
  </si>
  <si>
    <t>QA23+ 24h R1 MS300</t>
  </si>
  <si>
    <t>QA23+ 24h R2 MS300</t>
  </si>
  <si>
    <t>QA23+ 24h R3 MS300</t>
  </si>
  <si>
    <t>QA23+ 48h R1 300</t>
  </si>
  <si>
    <t>QA23+ 48h R2 300</t>
  </si>
  <si>
    <t>QA23+ 48h R3 300</t>
  </si>
  <si>
    <t>EC1118 10h R1 MS300</t>
  </si>
  <si>
    <t>EC1118 10h R2 MS300</t>
  </si>
  <si>
    <t>EC1118 10h R3 MS300</t>
  </si>
  <si>
    <t>1118 24h R1 MS 300</t>
  </si>
  <si>
    <t>1118 24h R2 MS300</t>
  </si>
  <si>
    <t>1118 24h R3 MS300</t>
  </si>
  <si>
    <t>EC1118 48h R1 300</t>
  </si>
  <si>
    <t>EC1118 48h R2 300</t>
  </si>
  <si>
    <t>EC1118 48h R3 300</t>
  </si>
  <si>
    <t>1118+ 10h R1 MS 300</t>
  </si>
  <si>
    <t>1118+ 10h R2 MS 300</t>
  </si>
  <si>
    <t>1118+ 10h R3 MS 300</t>
  </si>
  <si>
    <t>1118+ 24h R1 300</t>
  </si>
  <si>
    <t>1118+ 24h R2 300</t>
  </si>
  <si>
    <t>1118+ 24h R3 300</t>
  </si>
  <si>
    <t>EC1118+ 48h R1 300</t>
  </si>
  <si>
    <t>EC1118+ 48h R2 300</t>
  </si>
  <si>
    <t>EC1118+ 48h R3 300</t>
  </si>
  <si>
    <t>Clo5 10h R1 MS 300</t>
  </si>
  <si>
    <t>Clo5 10h R2 MS 300</t>
  </si>
  <si>
    <t>Clo5 10h R3 MS 300</t>
  </si>
  <si>
    <t>Clo5 24h R1 300</t>
  </si>
  <si>
    <t>Clo5 24h R2 300</t>
  </si>
  <si>
    <t>Clo5 24h R3 300</t>
  </si>
  <si>
    <t>Clo5 48h R1 300</t>
  </si>
  <si>
    <t>Clo5 48h R2 300</t>
  </si>
  <si>
    <t>Clo5 48h R3 300</t>
  </si>
  <si>
    <t>Clo5 + 10h R1 MS 300</t>
  </si>
  <si>
    <t>Clo5 + 10h R2 MS 300</t>
  </si>
  <si>
    <t>Clo5 + 10h R3 MS 300</t>
  </si>
  <si>
    <t>Clo5+ 24h R1 300</t>
  </si>
  <si>
    <t>Clo5+ 24h R2 300</t>
  </si>
  <si>
    <t>Clo5+ 24h R3 300</t>
  </si>
  <si>
    <t>Clo5+ 48h R1 300</t>
  </si>
  <si>
    <t>Clo5+ 48h R2 300</t>
  </si>
  <si>
    <t>Clo5+ 48h R3 300</t>
  </si>
  <si>
    <t>CAIM 10h R1 MS 300</t>
  </si>
  <si>
    <t>CAIM 10h R2 MS 300</t>
  </si>
  <si>
    <t>CAIM 10h R3 MS 300</t>
  </si>
  <si>
    <t>NCAIM 24h R1 300</t>
  </si>
  <si>
    <t>NCAIM 24h R2 300</t>
  </si>
  <si>
    <t>NCAIM 24h R3 300</t>
  </si>
  <si>
    <t>NCAIM 48h R1 300</t>
  </si>
  <si>
    <t>NCAIM 48h R2 300</t>
  </si>
  <si>
    <t>NCAIM 48h R3 300</t>
  </si>
  <si>
    <t>NCAIM + 10h R1 MS 300</t>
  </si>
  <si>
    <t>NCAIM + 10h R2 MS 300</t>
  </si>
  <si>
    <t>NCAIM + 10h R3 MS 300</t>
  </si>
  <si>
    <t>NCAIM+ 24h R1 300</t>
  </si>
  <si>
    <t>NCAIM+ 24h R2 300</t>
  </si>
  <si>
    <t>NCAIM+ 24h R3 300</t>
  </si>
  <si>
    <t>NCAIM+ 48h R1 300</t>
  </si>
  <si>
    <t>NCAIM+ 48h R2 300</t>
  </si>
  <si>
    <t>NCAIM+ 48h R3 300</t>
  </si>
  <si>
    <t>REPETICIONES</t>
  </si>
  <si>
    <t>CR85 MS 300 10h R1</t>
  </si>
  <si>
    <t>CR85 MS 300 10h R2</t>
  </si>
  <si>
    <t>CR85 MS 300 10h R3</t>
  </si>
  <si>
    <t>CR85 MS 300 24h R1</t>
  </si>
  <si>
    <t>CR85 MS 300 24h R2</t>
  </si>
  <si>
    <t>CR85 MS 300 24h R3</t>
  </si>
  <si>
    <t>CR85 MS 300 48h R1</t>
  </si>
  <si>
    <t>CR85 MS 300 48h R2</t>
  </si>
  <si>
    <t>CR85 MS 300 48h R3</t>
  </si>
  <si>
    <t>T73 MS 300 10h R1</t>
  </si>
  <si>
    <t>T73 MS 300 10h R2</t>
  </si>
  <si>
    <t>T73 MS 300 10h R3</t>
  </si>
  <si>
    <t>T73 MS 300 24h R1</t>
  </si>
  <si>
    <t>T73 MS 300 24h R2</t>
  </si>
  <si>
    <t>T73 MS 300 24h R3</t>
  </si>
  <si>
    <t>T73 MS 300 48h R1</t>
  </si>
  <si>
    <t>T73 MS 300 48h R2</t>
  </si>
  <si>
    <t>T73 MS 300 48h R3</t>
  </si>
  <si>
    <t>T73 + MS 300 10h R1</t>
  </si>
  <si>
    <t>T73 + MS 300 10h R2</t>
  </si>
  <si>
    <t>T73 + MS 300 10h R3</t>
  </si>
  <si>
    <t>T73 + MS 300 24h R1</t>
  </si>
  <si>
    <t>T73 + MS 300 24h R2</t>
  </si>
  <si>
    <t>T73 + MS 300 24h R3</t>
  </si>
  <si>
    <t>T73 + MS 300 48h R1</t>
  </si>
  <si>
    <t>T73 + MS 300 48h R2</t>
  </si>
  <si>
    <t>T73 + MS 300 48h R3</t>
  </si>
  <si>
    <t xml:space="preserve">Gre MS 300 10h R1 </t>
  </si>
  <si>
    <t>Gre MS 300 10h R2</t>
  </si>
  <si>
    <t>Gre MS 300 10h R3</t>
  </si>
  <si>
    <t>Gre + MS 300 10h R1</t>
  </si>
  <si>
    <t>Gre + MS 300 10h R2</t>
  </si>
  <si>
    <t>Gre + MS 300 10h R3</t>
  </si>
  <si>
    <t>Gre MS 300 24h R1</t>
  </si>
  <si>
    <t>Gre MS 300 24h R2</t>
  </si>
  <si>
    <t>Gre  MS 300 24h R3</t>
  </si>
  <si>
    <t>Gre + MS 300 24h R1</t>
  </si>
  <si>
    <t>Gre + MS 300 24h R2</t>
  </si>
  <si>
    <t>Gre + MS 300 24h R3</t>
  </si>
  <si>
    <t>Gre MS 300 48h R1</t>
  </si>
  <si>
    <t>Gre MS 300 48h R2</t>
  </si>
  <si>
    <t>Gre MS 300 48h R3</t>
  </si>
  <si>
    <t>Gre +MS 300 48h R1</t>
  </si>
  <si>
    <t>Gre +MS 300 48h R2</t>
  </si>
  <si>
    <t>Gre +MS 300 48h R3</t>
  </si>
  <si>
    <t>xperiment: 20201217_compt_T73  Active filter: SYBR Green I / HRM Dye (465-510)</t>
  </si>
  <si>
    <t>Chart</t>
  </si>
  <si>
    <t>Pairing</t>
  </si>
  <si>
    <t>Sample Name</t>
  </si>
  <si>
    <t>Targets</t>
  </si>
  <si>
    <t>References</t>
  </si>
  <si>
    <t>Mean Cp</t>
  </si>
  <si>
    <t>CP Error</t>
  </si>
  <si>
    <t>Cp Error</t>
  </si>
  <si>
    <t>Target/Ref</t>
  </si>
  <si>
    <t>Target/Ref Error</t>
  </si>
  <si>
    <t>Sk</t>
  </si>
  <si>
    <t>Sc</t>
  </si>
  <si>
    <t>True</t>
  </si>
  <si>
    <t>A7/A1</t>
  </si>
  <si>
    <t>R122</t>
  </si>
  <si>
    <t>BUDk</t>
  </si>
  <si>
    <t>BUDc</t>
  </si>
  <si>
    <t>B7/B1</t>
  </si>
  <si>
    <t>R222</t>
  </si>
  <si>
    <t>C7/C1</t>
  </si>
  <si>
    <t>R322</t>
  </si>
  <si>
    <t>A11/A5</t>
  </si>
  <si>
    <t>R172</t>
  </si>
  <si>
    <t>B10/B4</t>
  </si>
  <si>
    <t>R272</t>
  </si>
  <si>
    <t>C10/C4</t>
  </si>
  <si>
    <t>R372</t>
  </si>
  <si>
    <t>D7/D1</t>
  </si>
  <si>
    <t>R196</t>
  </si>
  <si>
    <t>E7/E1</t>
  </si>
  <si>
    <t>R296</t>
  </si>
  <si>
    <t>F7/F1</t>
  </si>
  <si>
    <t>R396</t>
  </si>
  <si>
    <t>D10/D4</t>
  </si>
  <si>
    <t>R1260</t>
  </si>
  <si>
    <t>E10/E4</t>
  </si>
  <si>
    <t>R2260</t>
  </si>
  <si>
    <t>F10/F4</t>
  </si>
  <si>
    <t>R3260</t>
  </si>
  <si>
    <t>G7/G1</t>
  </si>
  <si>
    <t>R1336</t>
  </si>
  <si>
    <t>H7/H1</t>
  </si>
  <si>
    <t>R2336</t>
  </si>
  <si>
    <t>G10/G4</t>
  </si>
  <si>
    <t>R3336</t>
  </si>
  <si>
    <t>Experiment: 20201217_compt_Chr96.2  Active filter: SYBR Green I / HRM Dye (465-510)</t>
  </si>
  <si>
    <t>Normalized</t>
  </si>
  <si>
    <t>Normalized Error</t>
  </si>
  <si>
    <t>Status</t>
  </si>
  <si>
    <t>A10/A4</t>
  </si>
  <si>
    <t>R1216</t>
  </si>
  <si>
    <t>R2216</t>
  </si>
  <si>
    <t>R3216</t>
  </si>
  <si>
    <t>Experiment: 20201216_compt_GRE  Active filter: SYBR Green I / HRM Dye (465-510)</t>
  </si>
  <si>
    <t>%Sk</t>
  </si>
  <si>
    <t>%Sc</t>
  </si>
  <si>
    <t>%Sk media</t>
  </si>
  <si>
    <t xml:space="preserve">%Sc media </t>
  </si>
  <si>
    <t>22h</t>
  </si>
  <si>
    <t xml:space="preserve">72h </t>
  </si>
  <si>
    <t xml:space="preserve">96h </t>
  </si>
  <si>
    <t>336 h</t>
  </si>
  <si>
    <t>F11/F5</t>
  </si>
  <si>
    <t xml:space="preserve">432h </t>
  </si>
  <si>
    <t>R1432</t>
  </si>
  <si>
    <t>R3432</t>
  </si>
  <si>
    <t>R2432</t>
  </si>
  <si>
    <t>Experiment: 20201216_compt_QA23  Active filter: SYBR Green I / HRM Dye (465-510)</t>
  </si>
  <si>
    <t>A8/A1</t>
  </si>
  <si>
    <t>R1168</t>
  </si>
  <si>
    <t>R2168</t>
  </si>
  <si>
    <t>R3168</t>
  </si>
  <si>
    <t>R1384</t>
  </si>
  <si>
    <t>R2384</t>
  </si>
  <si>
    <t>R3384</t>
  </si>
  <si>
    <t>R1504</t>
  </si>
  <si>
    <t>R2504</t>
  </si>
  <si>
    <t>R3504</t>
  </si>
  <si>
    <t>Experiment: 20201216_compt_Clos  Active filter: SYBR Green I / HRM Dye (465-510)</t>
  </si>
  <si>
    <t>media sk</t>
  </si>
  <si>
    <t>media sc</t>
  </si>
  <si>
    <t>desvt</t>
  </si>
  <si>
    <t>C8/C2</t>
  </si>
  <si>
    <t>72h</t>
  </si>
  <si>
    <t>96h</t>
  </si>
  <si>
    <t>260h</t>
  </si>
  <si>
    <t>336h</t>
  </si>
  <si>
    <t>H8/H1</t>
  </si>
  <si>
    <t>Experiment: 20201216_compt_EC1118  Active filter: SYBR Green I / HRM Dye (465-510)</t>
  </si>
  <si>
    <t>E8/E2</t>
  </si>
  <si>
    <t>Experiment: 20201217_compt_NCAIM  Active filter: SYBR Green I / HRM Dye (465-510)</t>
  </si>
  <si>
    <t>xperiment: 20201216_compt_ICVD245  Active filter: SYBR Green I / HRM Dye (465-510)</t>
  </si>
  <si>
    <t>H7/G4</t>
  </si>
  <si>
    <t>G10/H1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</si>
</sst>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\ hh:mm:ss"/>
    <numFmt numFmtId="165" formatCode="0.0000"/>
    <numFmt numFmtId="166" formatCode="\ General"/>
    <numFmt numFmtId="167" formatCode="#,##0.0"/>
    <numFmt numFmtId="168" formatCode="0.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2"/>
      <name val="Calibri"/>
      <family val="2"/>
    </font>
    <font>
      <i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42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gray0625"/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3" fillId="2" borderId="1" xfId="1" applyFont="1" applyFill="1" applyBorder="1" applyAlignment="1">
      <alignment horizontal="centerContinuous"/>
    </xf>
    <xf numFmtId="0" fontId="2" fillId="2" borderId="2" xfId="1" applyFill="1" applyBorder="1" applyAlignment="1">
      <alignment horizontal="centerContinuous"/>
    </xf>
    <xf numFmtId="0" fontId="2" fillId="2" borderId="2" xfId="1" applyFill="1" applyBorder="1" applyAlignment="1">
      <alignment horizontal="centerContinuous" vertical="center"/>
    </xf>
    <xf numFmtId="0" fontId="2" fillId="2" borderId="3" xfId="1" applyFill="1" applyBorder="1" applyAlignment="1">
      <alignment horizontal="centerContinuous"/>
    </xf>
    <xf numFmtId="0" fontId="2" fillId="0" borderId="0" xfId="1"/>
    <xf numFmtId="0" fontId="2" fillId="2" borderId="4" xfId="1" applyFill="1" applyBorder="1"/>
    <xf numFmtId="0" fontId="2" fillId="2" borderId="0" xfId="1" applyFill="1"/>
    <xf numFmtId="0" fontId="2" fillId="2" borderId="5" xfId="1" applyFill="1" applyBorder="1"/>
    <xf numFmtId="0" fontId="4" fillId="3" borderId="6" xfId="1" applyFont="1" applyFill="1" applyBorder="1" applyAlignment="1">
      <alignment horizontal="left" vertical="center"/>
    </xf>
    <xf numFmtId="0" fontId="2" fillId="3" borderId="7" xfId="1" applyFill="1" applyBorder="1" applyAlignment="1">
      <alignment horizontal="left"/>
    </xf>
    <xf numFmtId="0" fontId="2" fillId="3" borderId="8" xfId="1" applyFill="1" applyBorder="1" applyAlignment="1">
      <alignment horizontal="left"/>
    </xf>
    <xf numFmtId="0" fontId="5" fillId="0" borderId="4" xfId="1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164" fontId="6" fillId="0" borderId="9" xfId="1" applyNumberFormat="1" applyFont="1" applyBorder="1" applyAlignment="1">
      <alignment horizontal="left" vertical="center" wrapText="1"/>
    </xf>
    <xf numFmtId="0" fontId="2" fillId="0" borderId="5" xfId="1" applyBorder="1"/>
    <xf numFmtId="14" fontId="6" fillId="0" borderId="0" xfId="1" applyNumberFormat="1" applyFont="1" applyAlignment="1">
      <alignment horizontal="left" vertical="center"/>
    </xf>
    <xf numFmtId="21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 vertical="center"/>
    </xf>
    <xf numFmtId="1" fontId="7" fillId="0" borderId="0" xfId="1" applyNumberFormat="1" applyFont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2" fillId="0" borderId="10" xfId="1" applyBorder="1"/>
    <xf numFmtId="0" fontId="2" fillId="0" borderId="11" xfId="1" applyBorder="1"/>
    <xf numFmtId="0" fontId="2" fillId="4" borderId="2" xfId="1" applyFill="1" applyBorder="1"/>
    <xf numFmtId="0" fontId="2" fillId="4" borderId="0" xfId="1" applyFill="1"/>
    <xf numFmtId="0" fontId="3" fillId="2" borderId="12" xfId="1" applyFont="1" applyFill="1" applyBorder="1" applyAlignment="1">
      <alignment horizontal="centerContinuous"/>
    </xf>
    <xf numFmtId="0" fontId="2" fillId="2" borderId="0" xfId="1" applyFill="1" applyAlignment="1">
      <alignment horizontal="centerContinuous"/>
    </xf>
    <xf numFmtId="0" fontId="2" fillId="2" borderId="0" xfId="1" applyFill="1" applyAlignment="1">
      <alignment horizontal="centerContinuous" vertical="center"/>
    </xf>
    <xf numFmtId="0" fontId="2" fillId="2" borderId="12" xfId="1" applyFill="1" applyBorder="1"/>
    <xf numFmtId="0" fontId="4" fillId="3" borderId="13" xfId="1" applyFont="1" applyFill="1" applyBorder="1" applyAlignment="1">
      <alignment horizontal="left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2" fillId="5" borderId="16" xfId="1" applyFill="1" applyBorder="1" applyAlignment="1">
      <alignment horizontal="left" vertical="center"/>
    </xf>
    <xf numFmtId="0" fontId="2" fillId="5" borderId="17" xfId="1" applyFill="1" applyBorder="1" applyAlignment="1">
      <alignment horizontal="left" vertical="center"/>
    </xf>
    <xf numFmtId="2" fontId="2" fillId="5" borderId="16" xfId="1" applyNumberFormat="1" applyFill="1" applyBorder="1" applyAlignment="1">
      <alignment horizontal="center" vertical="center"/>
    </xf>
    <xf numFmtId="2" fontId="2" fillId="5" borderId="17" xfId="1" applyNumberFormat="1" applyFill="1" applyBorder="1" applyAlignment="1">
      <alignment horizontal="center" vertical="center"/>
    </xf>
    <xf numFmtId="0" fontId="8" fillId="5" borderId="17" xfId="1" applyFont="1" applyFill="1" applyBorder="1" applyAlignment="1">
      <alignment horizontal="left" vertical="center"/>
    </xf>
    <xf numFmtId="0" fontId="2" fillId="6" borderId="14" xfId="1" applyFill="1" applyBorder="1" applyAlignment="1">
      <alignment horizontal="left" vertical="center"/>
    </xf>
    <xf numFmtId="0" fontId="2" fillId="6" borderId="14" xfId="1" applyFill="1" applyBorder="1" applyAlignment="1">
      <alignment horizontal="center" vertical="center"/>
    </xf>
    <xf numFmtId="2" fontId="2" fillId="6" borderId="14" xfId="1" applyNumberFormat="1" applyFill="1" applyBorder="1" applyAlignment="1">
      <alignment horizontal="center" vertical="center"/>
    </xf>
    <xf numFmtId="165" fontId="2" fillId="6" borderId="14" xfId="1" applyNumberFormat="1" applyFill="1" applyBorder="1" applyAlignment="1">
      <alignment horizontal="center" vertical="center"/>
    </xf>
    <xf numFmtId="166" fontId="2" fillId="0" borderId="0" xfId="1" applyNumberFormat="1"/>
    <xf numFmtId="167" fontId="2" fillId="0" borderId="0" xfId="1" applyNumberFormat="1"/>
    <xf numFmtId="0" fontId="2" fillId="0" borderId="0" xfId="1" applyAlignment="1">
      <alignment wrapText="1"/>
    </xf>
    <xf numFmtId="2" fontId="2" fillId="5" borderId="0" xfId="1" applyNumberFormat="1" applyFill="1" applyAlignment="1">
      <alignment horizontal="center" vertical="center"/>
    </xf>
    <xf numFmtId="165" fontId="2" fillId="6" borderId="0" xfId="1" applyNumberFormat="1" applyFill="1" applyAlignment="1">
      <alignment horizontal="center" vertical="center"/>
    </xf>
    <xf numFmtId="0" fontId="2" fillId="7" borderId="14" xfId="1" applyFill="1" applyBorder="1" applyAlignment="1">
      <alignment horizontal="left" vertical="center"/>
    </xf>
    <xf numFmtId="0" fontId="2" fillId="7" borderId="14" xfId="1" applyFill="1" applyBorder="1" applyAlignment="1">
      <alignment horizontal="center" vertical="center"/>
    </xf>
    <xf numFmtId="165" fontId="2" fillId="7" borderId="0" xfId="1" applyNumberFormat="1" applyFill="1" applyAlignment="1">
      <alignment horizontal="center" vertical="center"/>
    </xf>
    <xf numFmtId="0" fontId="2" fillId="7" borderId="0" xfId="1" applyFill="1"/>
    <xf numFmtId="166" fontId="2" fillId="7" borderId="0" xfId="1" applyNumberFormat="1" applyFill="1"/>
    <xf numFmtId="0" fontId="2" fillId="8" borderId="17" xfId="1" applyFill="1" applyBorder="1" applyAlignment="1">
      <alignment horizontal="left" vertical="center"/>
    </xf>
    <xf numFmtId="0" fontId="2" fillId="6" borderId="16" xfId="1" applyFill="1" applyBorder="1" applyAlignment="1">
      <alignment horizontal="left" vertical="center"/>
    </xf>
    <xf numFmtId="0" fontId="2" fillId="6" borderId="16" xfId="1" applyFill="1" applyBorder="1" applyAlignment="1">
      <alignment horizontal="center" vertical="center"/>
    </xf>
    <xf numFmtId="0" fontId="2" fillId="6" borderId="14" xfId="1" applyFill="1" applyBorder="1" applyAlignment="1">
      <alignment horizontal="left"/>
    </xf>
    <xf numFmtId="0" fontId="2" fillId="6" borderId="14" xfId="1" applyFill="1" applyBorder="1"/>
    <xf numFmtId="0" fontId="2" fillId="0" borderId="0" xfId="1" applyAlignment="1">
      <alignment horizontal="center" vertical="center"/>
    </xf>
    <xf numFmtId="168" fontId="2" fillId="0" borderId="0" xfId="1" applyNumberFormat="1" applyAlignment="1">
      <alignment horizontal="center" vertical="center"/>
    </xf>
    <xf numFmtId="0" fontId="0" fillId="9" borderId="0" xfId="0" applyFill="1"/>
    <xf numFmtId="11" fontId="0" fillId="0" borderId="0" xfId="0" applyNumberFormat="1"/>
    <xf numFmtId="1" fontId="0" fillId="0" borderId="0" xfId="0" applyNumberFormat="1"/>
    <xf numFmtId="2" fontId="0" fillId="0" borderId="0" xfId="0" applyNumberFormat="1"/>
    <xf numFmtId="0" fontId="9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CF76844C-6172-4B72-932D-89496192E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T73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'T73'!$N$20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'T73'!$M$21:$M$26</c:f>
              <c:numCache>
                <c:formatCode>General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72</c:v>
                </c:pt>
                <c:pt idx="3">
                  <c:v>96</c:v>
                </c:pt>
                <c:pt idx="4">
                  <c:v>260</c:v>
                </c:pt>
                <c:pt idx="5">
                  <c:v>336</c:v>
                </c:pt>
              </c:numCache>
            </c:numRef>
          </c:cat>
          <c:val>
            <c:numRef>
              <c:f>'T73'!$N$21:$N$26</c:f>
              <c:numCache>
                <c:formatCode>0</c:formatCode>
                <c:ptCount val="6"/>
                <c:pt idx="0">
                  <c:v>50</c:v>
                </c:pt>
                <c:pt idx="1">
                  <c:v>53.163976427378202</c:v>
                </c:pt>
                <c:pt idx="2">
                  <c:v>34.957728775971752</c:v>
                </c:pt>
                <c:pt idx="3">
                  <c:v>42.329748484507888</c:v>
                </c:pt>
                <c:pt idx="4">
                  <c:v>39.892802828653807</c:v>
                </c:pt>
                <c:pt idx="5">
                  <c:v>44.125766743244583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1-4CF0-9D90-0586E2E26F10}"/>
            </c:ext>
          </c:extLst>
        </c:ser>
        <c:ser>
          <c:idx val="1"/>
          <c:order val="1"/>
          <c:tx>
            <c:strRef>
              <c:f>'T73'!$O$20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'T73'!$M$21:$M$26</c:f>
              <c:numCache>
                <c:formatCode>General</c:formatCode>
                <c:ptCount val="6"/>
                <c:pt idx="0">
                  <c:v>0</c:v>
                </c:pt>
                <c:pt idx="1">
                  <c:v>22</c:v>
                </c:pt>
                <c:pt idx="2">
                  <c:v>72</c:v>
                </c:pt>
                <c:pt idx="3">
                  <c:v>96</c:v>
                </c:pt>
                <c:pt idx="4">
                  <c:v>260</c:v>
                </c:pt>
                <c:pt idx="5">
                  <c:v>336</c:v>
                </c:pt>
              </c:numCache>
            </c:numRef>
          </c:cat>
          <c:val>
            <c:numRef>
              <c:f>'T73'!$O$21:$O$26</c:f>
              <c:numCache>
                <c:formatCode>0</c:formatCode>
                <c:ptCount val="6"/>
                <c:pt idx="0">
                  <c:v>50</c:v>
                </c:pt>
                <c:pt idx="1">
                  <c:v>46.836023572621798</c:v>
                </c:pt>
                <c:pt idx="2">
                  <c:v>65.042271224028255</c:v>
                </c:pt>
                <c:pt idx="3">
                  <c:v>57.670251515492112</c:v>
                </c:pt>
                <c:pt idx="4">
                  <c:v>60.107197171346193</c:v>
                </c:pt>
                <c:pt idx="5">
                  <c:v>55.874233256755417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01-4CF0-9D90-0586E2E26F1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74984176"/>
        <c:axId val="874973360"/>
      </c:barChart>
      <c:catAx>
        <c:axId val="87498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973360"/>
        <c:crosses val="autoZero"/>
        <c:auto val="1"/>
        <c:lblAlgn val="ctr"/>
        <c:lblOffset val="100"/>
        <c:noMultiLvlLbl val="0"/>
      </c:catAx>
      <c:valAx>
        <c:axId val="874973360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98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Chr96.2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[1]D245!$O$22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'Chr96,2'!$Q$21:$Q$26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9.2960104329657423</c:v>
                  </c:pt>
                  <c:pt idx="2">
                    <c:v>1.3711026768353853</c:v>
                  </c:pt>
                  <c:pt idx="3">
                    <c:v>1.4555984226827332</c:v>
                  </c:pt>
                  <c:pt idx="4">
                    <c:v>3.2647831511557976</c:v>
                  </c:pt>
                  <c:pt idx="5">
                    <c:v>4.8796217025347914</c:v>
                  </c:pt>
                </c:numCache>
              </c:numRef>
            </c:plus>
            <c:minus>
              <c:numRef>
                <c:f>'Chr96,2'!$Q$21:$Q$26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9.2960104329657423</c:v>
                  </c:pt>
                  <c:pt idx="2">
                    <c:v>1.3711026768353853</c:v>
                  </c:pt>
                  <c:pt idx="3">
                    <c:v>1.4555984226827332</c:v>
                  </c:pt>
                  <c:pt idx="4">
                    <c:v>3.2647831511557976</c:v>
                  </c:pt>
                  <c:pt idx="5">
                    <c:v>4.8796217025347914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'Chr96,2'!$O$21:$O$26</c:f>
              <c:numCache>
                <c:formatCode>0.00</c:formatCode>
                <c:ptCount val="6"/>
                <c:pt idx="0">
                  <c:v>50</c:v>
                </c:pt>
                <c:pt idx="1">
                  <c:v>33.24708604678171</c:v>
                </c:pt>
                <c:pt idx="2">
                  <c:v>2.635509297236974</c:v>
                </c:pt>
                <c:pt idx="3">
                  <c:v>5.4322957830736227</c:v>
                </c:pt>
                <c:pt idx="4">
                  <c:v>7.7705899401872216</c:v>
                </c:pt>
                <c:pt idx="5">
                  <c:v>9.1646993097731055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B-467C-B3C8-67057A149911}"/>
            </c:ext>
          </c:extLst>
        </c:ser>
        <c:ser>
          <c:idx val="1"/>
          <c:order val="1"/>
          <c:tx>
            <c:strRef>
              <c:f>[1]D245!$Q$20</c:f>
              <c:strCache>
                <c:ptCount val="1"/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'Chr96,2'!$Q$21:$Q$26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9.2960104329657423</c:v>
                  </c:pt>
                  <c:pt idx="2">
                    <c:v>1.3711026768353853</c:v>
                  </c:pt>
                  <c:pt idx="3">
                    <c:v>1.4555984226827332</c:v>
                  </c:pt>
                  <c:pt idx="4">
                    <c:v>3.2647831511557976</c:v>
                  </c:pt>
                  <c:pt idx="5">
                    <c:v>4.8796217025347914</c:v>
                  </c:pt>
                </c:numCache>
              </c:numRef>
            </c:plus>
            <c:minus>
              <c:numRef>
                <c:f>'Chr96,2'!$Q$21:$Q$26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9.2960104329657423</c:v>
                  </c:pt>
                  <c:pt idx="2">
                    <c:v>1.3711026768353853</c:v>
                  </c:pt>
                  <c:pt idx="3">
                    <c:v>1.4555984226827332</c:v>
                  </c:pt>
                  <c:pt idx="4">
                    <c:v>3.2647831511557976</c:v>
                  </c:pt>
                  <c:pt idx="5">
                    <c:v>4.8796217025347914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'Chr96,2'!$P$21:$P$26</c:f>
              <c:numCache>
                <c:formatCode>0.00</c:formatCode>
                <c:ptCount val="6"/>
                <c:pt idx="0">
                  <c:v>50</c:v>
                </c:pt>
                <c:pt idx="1">
                  <c:v>66.752913953218282</c:v>
                </c:pt>
                <c:pt idx="2">
                  <c:v>97.364490702763021</c:v>
                </c:pt>
                <c:pt idx="3">
                  <c:v>94.567704216926373</c:v>
                </c:pt>
                <c:pt idx="4">
                  <c:v>92.229410059812778</c:v>
                </c:pt>
                <c:pt idx="5">
                  <c:v>90.835300690226887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8B-467C-B3C8-67057A14991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GRE!$P$21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GRE!$R$22:$R$27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3.2543840526946015</c:v>
                  </c:pt>
                  <c:pt idx="2">
                    <c:v>4.8195186535753152</c:v>
                  </c:pt>
                  <c:pt idx="3">
                    <c:v>2.384362015772894</c:v>
                  </c:pt>
                  <c:pt idx="4">
                    <c:v>7.7477476731659971</c:v>
                  </c:pt>
                  <c:pt idx="5">
                    <c:v>2.8284792870369295</c:v>
                  </c:pt>
                </c:numCache>
              </c:numRef>
            </c:plus>
            <c:minus>
              <c:numRef>
                <c:f>GRE!$R$22:$R$27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3.2543840526946015</c:v>
                  </c:pt>
                  <c:pt idx="2">
                    <c:v>4.8195186535753152</c:v>
                  </c:pt>
                  <c:pt idx="3">
                    <c:v>2.384362015772894</c:v>
                  </c:pt>
                  <c:pt idx="4">
                    <c:v>7.7477476731659971</c:v>
                  </c:pt>
                  <c:pt idx="5">
                    <c:v>2.8284792870369295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GRE!$P$22:$P$27</c:f>
              <c:numCache>
                <c:formatCode>0.00</c:formatCode>
                <c:ptCount val="6"/>
                <c:pt idx="0">
                  <c:v>50</c:v>
                </c:pt>
                <c:pt idx="1">
                  <c:v>62.22723001084924</c:v>
                </c:pt>
                <c:pt idx="2">
                  <c:v>85.270184568771029</c:v>
                </c:pt>
                <c:pt idx="3">
                  <c:v>88.19297292793965</c:v>
                </c:pt>
                <c:pt idx="4">
                  <c:v>82.431601007134489</c:v>
                </c:pt>
                <c:pt idx="5">
                  <c:v>80.274606390627625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2-41B1-B17D-915790EFC2D3}"/>
            </c:ext>
          </c:extLst>
        </c:ser>
        <c:ser>
          <c:idx val="1"/>
          <c:order val="1"/>
          <c:tx>
            <c:strRef>
              <c:f>GRE!$Q$21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GRE!$Q$22:$Q$27</c:f>
              <c:numCache>
                <c:formatCode>0.00</c:formatCode>
                <c:ptCount val="6"/>
                <c:pt idx="0">
                  <c:v>50</c:v>
                </c:pt>
                <c:pt idx="1">
                  <c:v>37.77276998915076</c:v>
                </c:pt>
                <c:pt idx="2">
                  <c:v>14.729815431228973</c:v>
                </c:pt>
                <c:pt idx="3">
                  <c:v>11.80702707206035</c:v>
                </c:pt>
                <c:pt idx="4">
                  <c:v>17.568398992865507</c:v>
                </c:pt>
                <c:pt idx="5">
                  <c:v>19.725393609372379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2-41B1-B17D-915790EFC2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'QA23'!$O$20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'QA23'!$Q$21:$Q$26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8.4824279950046364</c:v>
                  </c:pt>
                  <c:pt idx="2">
                    <c:v>5.1061480275276736</c:v>
                  </c:pt>
                  <c:pt idx="3">
                    <c:v>2.8637656181254219</c:v>
                  </c:pt>
                  <c:pt idx="4">
                    <c:v>4.1930783350695622</c:v>
                  </c:pt>
                  <c:pt idx="5">
                    <c:v>1.3734382461114394</c:v>
                  </c:pt>
                </c:numCache>
              </c:numRef>
            </c:plus>
            <c:minus>
              <c:numRef>
                <c:f>'QA23'!$Q$21:$Q$26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8.4824279950046364</c:v>
                  </c:pt>
                  <c:pt idx="2">
                    <c:v>5.1061480275276736</c:v>
                  </c:pt>
                  <c:pt idx="3">
                    <c:v>2.8637656181254219</c:v>
                  </c:pt>
                  <c:pt idx="4">
                    <c:v>4.1930783350695622</c:v>
                  </c:pt>
                  <c:pt idx="5">
                    <c:v>1.3734382461114394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'QA23'!$O$21:$O$26</c:f>
              <c:numCache>
                <c:formatCode>0.00</c:formatCode>
                <c:ptCount val="6"/>
                <c:pt idx="0">
                  <c:v>50</c:v>
                </c:pt>
                <c:pt idx="1">
                  <c:v>78.245357329013558</c:v>
                </c:pt>
                <c:pt idx="2">
                  <c:v>43.310377218247815</c:v>
                </c:pt>
                <c:pt idx="3">
                  <c:v>63.563449626766904</c:v>
                </c:pt>
                <c:pt idx="4">
                  <c:v>61.463717320437659</c:v>
                </c:pt>
                <c:pt idx="5">
                  <c:v>63.819419838753845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7-4D41-AEB2-EABB831DF82D}"/>
            </c:ext>
          </c:extLst>
        </c:ser>
        <c:ser>
          <c:idx val="1"/>
          <c:order val="1"/>
          <c:tx>
            <c:strRef>
              <c:f>'QA23'!$P$20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'QA23'!$P$21:$P$26</c:f>
              <c:numCache>
                <c:formatCode>0.00</c:formatCode>
                <c:ptCount val="6"/>
                <c:pt idx="0">
                  <c:v>50</c:v>
                </c:pt>
                <c:pt idx="1">
                  <c:v>21.754642670986431</c:v>
                </c:pt>
                <c:pt idx="2">
                  <c:v>56.689622781752185</c:v>
                </c:pt>
                <c:pt idx="3">
                  <c:v>36.436550373233096</c:v>
                </c:pt>
                <c:pt idx="4">
                  <c:v>38.536282679562348</c:v>
                </c:pt>
                <c:pt idx="5">
                  <c:v>36.180580161246148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7-4D41-AEB2-EABB831DF8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Clos!$N$21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Clos!$P$22:$P$27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4.3478485611622446</c:v>
                  </c:pt>
                  <c:pt idx="2">
                    <c:v>6.1840731197665972</c:v>
                  </c:pt>
                  <c:pt idx="3">
                    <c:v>7.7033684584868443</c:v>
                  </c:pt>
                  <c:pt idx="4">
                    <c:v>6.3370647515889198</c:v>
                  </c:pt>
                  <c:pt idx="5">
                    <c:v>2.5843498016387176</c:v>
                  </c:pt>
                </c:numCache>
              </c:numRef>
            </c:plus>
            <c:minus>
              <c:numRef>
                <c:f>Clos!$P$22:$P$27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4.3478485611622446</c:v>
                  </c:pt>
                  <c:pt idx="2">
                    <c:v>6.1840731197665972</c:v>
                  </c:pt>
                  <c:pt idx="3">
                    <c:v>7.7033684584868443</c:v>
                  </c:pt>
                  <c:pt idx="4">
                    <c:v>6.3370647515889198</c:v>
                  </c:pt>
                  <c:pt idx="5">
                    <c:v>2.5843498016387176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Clos!$N$22:$N$27</c:f>
              <c:numCache>
                <c:formatCode>0.00</c:formatCode>
                <c:ptCount val="6"/>
                <c:pt idx="0">
                  <c:v>50</c:v>
                </c:pt>
                <c:pt idx="1">
                  <c:v>51.807336670955571</c:v>
                </c:pt>
                <c:pt idx="2">
                  <c:v>35.169031646709008</c:v>
                </c:pt>
                <c:pt idx="3">
                  <c:v>19.98579494919052</c:v>
                </c:pt>
                <c:pt idx="4">
                  <c:v>44.313087072496124</c:v>
                </c:pt>
                <c:pt idx="5">
                  <c:v>58.600913439083534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4E10-BD86-2177587B1A8D}"/>
            </c:ext>
          </c:extLst>
        </c:ser>
        <c:ser>
          <c:idx val="0"/>
          <c:order val="1"/>
          <c:tx>
            <c:strRef>
              <c:f>Clos!$O$21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Clos!$O$22:$O$27</c:f>
              <c:numCache>
                <c:formatCode>0.00</c:formatCode>
                <c:ptCount val="6"/>
                <c:pt idx="0">
                  <c:v>50</c:v>
                </c:pt>
                <c:pt idx="1">
                  <c:v>48.192663329044429</c:v>
                </c:pt>
                <c:pt idx="2">
                  <c:v>64.830968353290999</c:v>
                </c:pt>
                <c:pt idx="3">
                  <c:v>80.01420505080948</c:v>
                </c:pt>
                <c:pt idx="4">
                  <c:v>55.686912927503876</c:v>
                </c:pt>
                <c:pt idx="5">
                  <c:v>41.399086560916466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92-4E10-BD86-2177587B1A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EC1118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'Ec1118'!$O$21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'Ec1118'!$Q$22:$Q$27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3.0411033806754344</c:v>
                  </c:pt>
                  <c:pt idx="2">
                    <c:v>6.9420227893437003</c:v>
                  </c:pt>
                  <c:pt idx="3">
                    <c:v>10.240827573742408</c:v>
                  </c:pt>
                  <c:pt idx="4">
                    <c:v>2.0873087646375152</c:v>
                  </c:pt>
                  <c:pt idx="5">
                    <c:v>8.0445557702276052</c:v>
                  </c:pt>
                </c:numCache>
              </c:numRef>
            </c:plus>
            <c:minus>
              <c:numRef>
                <c:f>'Ec1118'!$Q$22:$Q$27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3.0411033806754344</c:v>
                  </c:pt>
                  <c:pt idx="2">
                    <c:v>6.9420227893437003</c:v>
                  </c:pt>
                  <c:pt idx="3">
                    <c:v>10.240827573742408</c:v>
                  </c:pt>
                  <c:pt idx="4">
                    <c:v>2.0873087646375152</c:v>
                  </c:pt>
                  <c:pt idx="5">
                    <c:v>8.0445557702276052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'Ec1118'!$O$22:$O$27</c:f>
              <c:numCache>
                <c:formatCode>0.00</c:formatCode>
                <c:ptCount val="6"/>
                <c:pt idx="0">
                  <c:v>50</c:v>
                </c:pt>
                <c:pt idx="1">
                  <c:v>59.267131452876882</c:v>
                </c:pt>
                <c:pt idx="2">
                  <c:v>36.557004524869818</c:v>
                </c:pt>
                <c:pt idx="3">
                  <c:v>41.48483401725705</c:v>
                </c:pt>
                <c:pt idx="4">
                  <c:v>69.121689402672203</c:v>
                </c:pt>
                <c:pt idx="5">
                  <c:v>67.634953032975659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3-4B58-A403-A653928BEC00}"/>
            </c:ext>
          </c:extLst>
        </c:ser>
        <c:ser>
          <c:idx val="1"/>
          <c:order val="1"/>
          <c:tx>
            <c:strRef>
              <c:f>'Ec1118'!$P$21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'Ec1118'!$P$22:$P$27</c:f>
              <c:numCache>
                <c:formatCode>0.00</c:formatCode>
                <c:ptCount val="6"/>
                <c:pt idx="0">
                  <c:v>50</c:v>
                </c:pt>
                <c:pt idx="1">
                  <c:v>40.732868547123118</c:v>
                </c:pt>
                <c:pt idx="2">
                  <c:v>63.442995475130182</c:v>
                </c:pt>
                <c:pt idx="3">
                  <c:v>58.51516598274295</c:v>
                </c:pt>
                <c:pt idx="4">
                  <c:v>30.8783105973278</c:v>
                </c:pt>
                <c:pt idx="5">
                  <c:v>32.365046967024341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3-4B58-A403-A653928BEC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NCAIM!$P$23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NCAIM!$R$24:$R$29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4.1800830902989352</c:v>
                  </c:pt>
                  <c:pt idx="2">
                    <c:v>0.30328672738329915</c:v>
                  </c:pt>
                  <c:pt idx="3">
                    <c:v>0.73841283903298449</c:v>
                  </c:pt>
                  <c:pt idx="4">
                    <c:v>2.5921986492144589</c:v>
                  </c:pt>
                  <c:pt idx="5">
                    <c:v>2.6411299295529314</c:v>
                  </c:pt>
                </c:numCache>
              </c:numRef>
            </c:plus>
            <c:minus>
              <c:numRef>
                <c:f>NCAIM!$R$24:$R$29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4.1800830902989352</c:v>
                  </c:pt>
                  <c:pt idx="2">
                    <c:v>0.30328672738329915</c:v>
                  </c:pt>
                  <c:pt idx="3">
                    <c:v>0.73841283903298449</c:v>
                  </c:pt>
                  <c:pt idx="4">
                    <c:v>2.5921986492144589</c:v>
                  </c:pt>
                  <c:pt idx="5">
                    <c:v>2.6411299295529314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NCAIM!$P$24:$P$29</c:f>
              <c:numCache>
                <c:formatCode>0.00</c:formatCode>
                <c:ptCount val="6"/>
                <c:pt idx="0">
                  <c:v>50</c:v>
                </c:pt>
                <c:pt idx="1">
                  <c:v>22.070172323758822</c:v>
                </c:pt>
                <c:pt idx="2">
                  <c:v>3.0143732964511685</c:v>
                </c:pt>
                <c:pt idx="3">
                  <c:v>2.0153971565547693</c:v>
                </c:pt>
                <c:pt idx="4">
                  <c:v>7.0109721506923961</c:v>
                </c:pt>
                <c:pt idx="5">
                  <c:v>6.7620722731157201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C-4E40-AA06-E1DA9E4BC7A3}"/>
            </c:ext>
          </c:extLst>
        </c:ser>
        <c:ser>
          <c:idx val="1"/>
          <c:order val="1"/>
          <c:tx>
            <c:strRef>
              <c:f>NCAIM!$Q$23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'[1]Chr96,2'!$N$21:$N$26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NCAIM!$Q$24:$Q$29</c:f>
              <c:numCache>
                <c:formatCode>0.00</c:formatCode>
                <c:ptCount val="6"/>
                <c:pt idx="0">
                  <c:v>50</c:v>
                </c:pt>
                <c:pt idx="1">
                  <c:v>77.929827676241175</c:v>
                </c:pt>
                <c:pt idx="2">
                  <c:v>96.985626703548817</c:v>
                </c:pt>
                <c:pt idx="3">
                  <c:v>97.984602843445217</c:v>
                </c:pt>
                <c:pt idx="4">
                  <c:v>92.989027849307604</c:v>
                </c:pt>
                <c:pt idx="5">
                  <c:v>93.23792772688428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C-4E40-AA06-E1DA9E4BC7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D254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'D245'!$O$22</c:f>
              <c:strCache>
                <c:ptCount val="1"/>
                <c:pt idx="0">
                  <c:v>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'D245'!$Q$23:$Q$28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5.2841443884783477</c:v>
                  </c:pt>
                  <c:pt idx="2">
                    <c:v>2.5064558894018987</c:v>
                  </c:pt>
                  <c:pt idx="3">
                    <c:v>0.76665194485844101</c:v>
                  </c:pt>
                  <c:pt idx="4">
                    <c:v>4.7807083563246699</c:v>
                  </c:pt>
                  <c:pt idx="5">
                    <c:v>12.288034769456086</c:v>
                  </c:pt>
                </c:numCache>
              </c:numRef>
            </c:plus>
            <c:minus>
              <c:numRef>
                <c:f>'D245'!$Q$23:$Q$28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5.2841443884783477</c:v>
                  </c:pt>
                  <c:pt idx="2">
                    <c:v>2.5064558894018987</c:v>
                  </c:pt>
                  <c:pt idx="3">
                    <c:v>0.76665194485844101</c:v>
                  </c:pt>
                  <c:pt idx="4">
                    <c:v>4.7807083563246699</c:v>
                  </c:pt>
                  <c:pt idx="5">
                    <c:v>12.288034769456086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'D245'!$N$23:$N$28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'D245'!$O$23:$O$28</c:f>
              <c:numCache>
                <c:formatCode>0.00</c:formatCode>
                <c:ptCount val="6"/>
                <c:pt idx="0">
                  <c:v>50</c:v>
                </c:pt>
                <c:pt idx="1">
                  <c:v>52.124525377962861</c:v>
                </c:pt>
                <c:pt idx="2">
                  <c:v>32.957419419431318</c:v>
                </c:pt>
                <c:pt idx="3">
                  <c:v>39.36454222260722</c:v>
                </c:pt>
                <c:pt idx="4">
                  <c:v>29.941305105097186</c:v>
                </c:pt>
                <c:pt idx="5">
                  <c:v>45.124178752679803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A-4BD7-8404-9C726960826E}"/>
            </c:ext>
          </c:extLst>
        </c:ser>
        <c:ser>
          <c:idx val="1"/>
          <c:order val="1"/>
          <c:tx>
            <c:strRef>
              <c:f>'D245'!$P$22</c:f>
              <c:strCache>
                <c:ptCount val="1"/>
                <c:pt idx="0">
                  <c:v>Sk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'D245'!$N$23:$N$28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30</c:v>
                </c:pt>
                <c:pt idx="3">
                  <c:v>50</c:v>
                </c:pt>
                <c:pt idx="4">
                  <c:v>95</c:v>
                </c:pt>
                <c:pt idx="5">
                  <c:v>100</c:v>
                </c:pt>
              </c:numCache>
            </c:numRef>
          </c:cat>
          <c:val>
            <c:numRef>
              <c:f>'D245'!$P$23:$P$28</c:f>
              <c:numCache>
                <c:formatCode>0.00</c:formatCode>
                <c:ptCount val="6"/>
                <c:pt idx="0">
                  <c:v>50</c:v>
                </c:pt>
                <c:pt idx="1">
                  <c:v>47.875474622037139</c:v>
                </c:pt>
                <c:pt idx="2">
                  <c:v>67.042580580568682</c:v>
                </c:pt>
                <c:pt idx="3">
                  <c:v>60.635457777392787</c:v>
                </c:pt>
                <c:pt idx="4">
                  <c:v>70.058694894902814</c:v>
                </c:pt>
                <c:pt idx="5">
                  <c:v>54.875821247320197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A-4BD7-8404-9C72696082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9934240"/>
        <c:axId val="1239935072"/>
      </c:barChart>
      <c:catAx>
        <c:axId val="1239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5072"/>
        <c:crosses val="autoZero"/>
        <c:auto val="1"/>
        <c:lblAlgn val="ctr"/>
        <c:lblOffset val="100"/>
        <c:noMultiLvlLbl val="0"/>
      </c:catAx>
      <c:valAx>
        <c:axId val="12399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9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18</xdr:row>
      <xdr:rowOff>71436</xdr:rowOff>
    </xdr:from>
    <xdr:to>
      <xdr:col>10</xdr:col>
      <xdr:colOff>581025</xdr:colOff>
      <xdr:row>33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60297-3A87-43E5-9BEB-0677D1054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17</xdr:row>
      <xdr:rowOff>95250</xdr:rowOff>
    </xdr:from>
    <xdr:to>
      <xdr:col>13</xdr:col>
      <xdr:colOff>247650</xdr:colOff>
      <xdr:row>34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DC1B96-11D8-4566-BD10-C1BD4F191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18</xdr:row>
      <xdr:rowOff>152400</xdr:rowOff>
    </xdr:from>
    <xdr:to>
      <xdr:col>14</xdr:col>
      <xdr:colOff>123825</xdr:colOff>
      <xdr:row>35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89461C-DC86-4B9D-AA34-53EC420BF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18</xdr:row>
      <xdr:rowOff>133350</xdr:rowOff>
    </xdr:from>
    <xdr:to>
      <xdr:col>12</xdr:col>
      <xdr:colOff>152400</xdr:colOff>
      <xdr:row>35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B76152-2411-44D1-A431-E659FB0A4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16</xdr:row>
      <xdr:rowOff>161925</xdr:rowOff>
    </xdr:from>
    <xdr:to>
      <xdr:col>11</xdr:col>
      <xdr:colOff>742950</xdr:colOff>
      <xdr:row>33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927D1B-1F39-4806-A7C8-29887F15D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16</xdr:row>
      <xdr:rowOff>142875</xdr:rowOff>
    </xdr:from>
    <xdr:to>
      <xdr:col>12</xdr:col>
      <xdr:colOff>533400</xdr:colOff>
      <xdr:row>33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00F51C-50A7-4046-B301-8E19DF9CD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18</xdr:row>
      <xdr:rowOff>133350</xdr:rowOff>
    </xdr:from>
    <xdr:to>
      <xdr:col>13</xdr:col>
      <xdr:colOff>9525</xdr:colOff>
      <xdr:row>35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D6C8AF-017D-4794-A3F8-B3A4A6E37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433387</xdr:colOff>
      <xdr:row>18</xdr:row>
      <xdr:rowOff>14287</xdr:rowOff>
    </xdr:from>
    <xdr:to>
      <xdr:col>12</xdr:col>
      <xdr:colOff>128587</xdr:colOff>
      <xdr:row>32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5CD156-BB39-4231-8EB8-2087A961A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ba\Nextcloud\0.DOCTORADO\Experimentos\0.Competencias\1.Fermentaciones\competencias\qPCR\qPCR_compt.xlsx" TargetMode="External"/><Relationship Id="rId1" Type="http://schemas.openxmlformats.org/officeDocument/2006/relationships/externalLinkPath" Target="/Users/Alba/Nextcloud/0.DOCTORADO/Experimentos/0.Competencias/1.Fermentaciones/competencias/qPCR/qPCR_com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DAS_%Sc"/>
      <sheetName val="T73"/>
      <sheetName val="D245"/>
      <sheetName val="Chr96,2"/>
      <sheetName val="GRE"/>
      <sheetName val="QA23"/>
      <sheetName val="Clos"/>
      <sheetName val="Ec1118"/>
      <sheetName val="NCAIM"/>
      <sheetName val="CECT 1881"/>
      <sheetName val="TODAS"/>
      <sheetName val="Hoja2"/>
    </sheetNames>
    <sheetDataSet>
      <sheetData sheetId="0"/>
      <sheetData sheetId="1"/>
      <sheetData sheetId="2">
        <row r="22">
          <cell r="O22" t="str">
            <v>Sc</v>
          </cell>
        </row>
      </sheetData>
      <sheetData sheetId="3">
        <row r="21">
          <cell r="N21">
            <v>0</v>
          </cell>
        </row>
        <row r="22">
          <cell r="N22">
            <v>20</v>
          </cell>
        </row>
        <row r="23">
          <cell r="N23">
            <v>30</v>
          </cell>
        </row>
        <row r="24">
          <cell r="N24">
            <v>50</v>
          </cell>
        </row>
        <row r="25">
          <cell r="N25">
            <v>95</v>
          </cell>
        </row>
        <row r="26">
          <cell r="N26">
            <v>100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E431C-920A-4CCF-A362-757FEC5772CE}">
  <dimension ref="A1:Z469"/>
  <sheetViews>
    <sheetView workbookViewId="0">
      <selection activeCell="P5" sqref="P5"/>
    </sheetView>
  </sheetViews>
  <sheetFormatPr baseColWidth="10" defaultColWidth="9.140625" defaultRowHeight="12.75" x14ac:dyDescent="0.2"/>
  <cols>
    <col min="1" max="1" width="4.28515625" style="5" customWidth="1"/>
    <col min="2" max="2" width="25" style="5" customWidth="1"/>
    <col min="3" max="3" width="6.7109375" style="5" customWidth="1"/>
    <col min="4" max="6" width="9.28515625" style="5" customWidth="1"/>
    <col min="7" max="7" width="9.140625" style="5"/>
    <col min="8" max="8" width="11" style="5" customWidth="1"/>
    <col min="9" max="9" width="11.5703125" style="5" customWidth="1"/>
    <col min="10" max="10" width="10.7109375" style="5" customWidth="1"/>
    <col min="11" max="11" width="11.7109375" style="5" customWidth="1"/>
    <col min="12" max="12" width="11.140625" style="5" customWidth="1"/>
    <col min="13" max="13" width="10.85546875" style="5" customWidth="1"/>
    <col min="14" max="14" width="17.5703125" style="5" customWidth="1"/>
    <col min="15" max="15" width="13" style="5" customWidth="1"/>
    <col min="16" max="16" width="11" style="5" customWidth="1"/>
    <col min="17" max="256" width="9.140625" style="5"/>
    <col min="257" max="257" width="4.28515625" style="5" customWidth="1"/>
    <col min="258" max="258" width="25" style="5" customWidth="1"/>
    <col min="259" max="259" width="6.7109375" style="5" customWidth="1"/>
    <col min="260" max="262" width="9.28515625" style="5" customWidth="1"/>
    <col min="263" max="263" width="9.140625" style="5"/>
    <col min="264" max="264" width="11" style="5" customWidth="1"/>
    <col min="265" max="265" width="11.5703125" style="5" customWidth="1"/>
    <col min="266" max="266" width="10.7109375" style="5" customWidth="1"/>
    <col min="267" max="267" width="11.7109375" style="5" customWidth="1"/>
    <col min="268" max="268" width="11.140625" style="5" customWidth="1"/>
    <col min="269" max="269" width="10.85546875" style="5" customWidth="1"/>
    <col min="270" max="270" width="17.5703125" style="5" customWidth="1"/>
    <col min="271" max="271" width="13" style="5" customWidth="1"/>
    <col min="272" max="272" width="11" style="5" customWidth="1"/>
    <col min="273" max="512" width="9.140625" style="5"/>
    <col min="513" max="513" width="4.28515625" style="5" customWidth="1"/>
    <col min="514" max="514" width="25" style="5" customWidth="1"/>
    <col min="515" max="515" width="6.7109375" style="5" customWidth="1"/>
    <col min="516" max="518" width="9.28515625" style="5" customWidth="1"/>
    <col min="519" max="519" width="9.140625" style="5"/>
    <col min="520" max="520" width="11" style="5" customWidth="1"/>
    <col min="521" max="521" width="11.5703125" style="5" customWidth="1"/>
    <col min="522" max="522" width="10.7109375" style="5" customWidth="1"/>
    <col min="523" max="523" width="11.7109375" style="5" customWidth="1"/>
    <col min="524" max="524" width="11.140625" style="5" customWidth="1"/>
    <col min="525" max="525" width="10.85546875" style="5" customWidth="1"/>
    <col min="526" max="526" width="17.5703125" style="5" customWidth="1"/>
    <col min="527" max="527" width="13" style="5" customWidth="1"/>
    <col min="528" max="528" width="11" style="5" customWidth="1"/>
    <col min="529" max="768" width="9.140625" style="5"/>
    <col min="769" max="769" width="4.28515625" style="5" customWidth="1"/>
    <col min="770" max="770" width="25" style="5" customWidth="1"/>
    <col min="771" max="771" width="6.7109375" style="5" customWidth="1"/>
    <col min="772" max="774" width="9.28515625" style="5" customWidth="1"/>
    <col min="775" max="775" width="9.140625" style="5"/>
    <col min="776" max="776" width="11" style="5" customWidth="1"/>
    <col min="777" max="777" width="11.5703125" style="5" customWidth="1"/>
    <col min="778" max="778" width="10.7109375" style="5" customWidth="1"/>
    <col min="779" max="779" width="11.7109375" style="5" customWidth="1"/>
    <col min="780" max="780" width="11.140625" style="5" customWidth="1"/>
    <col min="781" max="781" width="10.85546875" style="5" customWidth="1"/>
    <col min="782" max="782" width="17.5703125" style="5" customWidth="1"/>
    <col min="783" max="783" width="13" style="5" customWidth="1"/>
    <col min="784" max="784" width="11" style="5" customWidth="1"/>
    <col min="785" max="1024" width="9.140625" style="5"/>
    <col min="1025" max="1025" width="4.28515625" style="5" customWidth="1"/>
    <col min="1026" max="1026" width="25" style="5" customWidth="1"/>
    <col min="1027" max="1027" width="6.7109375" style="5" customWidth="1"/>
    <col min="1028" max="1030" width="9.28515625" style="5" customWidth="1"/>
    <col min="1031" max="1031" width="9.140625" style="5"/>
    <col min="1032" max="1032" width="11" style="5" customWidth="1"/>
    <col min="1033" max="1033" width="11.5703125" style="5" customWidth="1"/>
    <col min="1034" max="1034" width="10.7109375" style="5" customWidth="1"/>
    <col min="1035" max="1035" width="11.7109375" style="5" customWidth="1"/>
    <col min="1036" max="1036" width="11.140625" style="5" customWidth="1"/>
    <col min="1037" max="1037" width="10.85546875" style="5" customWidth="1"/>
    <col min="1038" max="1038" width="17.5703125" style="5" customWidth="1"/>
    <col min="1039" max="1039" width="13" style="5" customWidth="1"/>
    <col min="1040" max="1040" width="11" style="5" customWidth="1"/>
    <col min="1041" max="1280" width="9.140625" style="5"/>
    <col min="1281" max="1281" width="4.28515625" style="5" customWidth="1"/>
    <col min="1282" max="1282" width="25" style="5" customWidth="1"/>
    <col min="1283" max="1283" width="6.7109375" style="5" customWidth="1"/>
    <col min="1284" max="1286" width="9.28515625" style="5" customWidth="1"/>
    <col min="1287" max="1287" width="9.140625" style="5"/>
    <col min="1288" max="1288" width="11" style="5" customWidth="1"/>
    <col min="1289" max="1289" width="11.5703125" style="5" customWidth="1"/>
    <col min="1290" max="1290" width="10.7109375" style="5" customWidth="1"/>
    <col min="1291" max="1291" width="11.7109375" style="5" customWidth="1"/>
    <col min="1292" max="1292" width="11.140625" style="5" customWidth="1"/>
    <col min="1293" max="1293" width="10.85546875" style="5" customWidth="1"/>
    <col min="1294" max="1294" width="17.5703125" style="5" customWidth="1"/>
    <col min="1295" max="1295" width="13" style="5" customWidth="1"/>
    <col min="1296" max="1296" width="11" style="5" customWidth="1"/>
    <col min="1297" max="1536" width="9.140625" style="5"/>
    <col min="1537" max="1537" width="4.28515625" style="5" customWidth="1"/>
    <col min="1538" max="1538" width="25" style="5" customWidth="1"/>
    <col min="1539" max="1539" width="6.7109375" style="5" customWidth="1"/>
    <col min="1540" max="1542" width="9.28515625" style="5" customWidth="1"/>
    <col min="1543" max="1543" width="9.140625" style="5"/>
    <col min="1544" max="1544" width="11" style="5" customWidth="1"/>
    <col min="1545" max="1545" width="11.5703125" style="5" customWidth="1"/>
    <col min="1546" max="1546" width="10.7109375" style="5" customWidth="1"/>
    <col min="1547" max="1547" width="11.7109375" style="5" customWidth="1"/>
    <col min="1548" max="1548" width="11.140625" style="5" customWidth="1"/>
    <col min="1549" max="1549" width="10.85546875" style="5" customWidth="1"/>
    <col min="1550" max="1550" width="17.5703125" style="5" customWidth="1"/>
    <col min="1551" max="1551" width="13" style="5" customWidth="1"/>
    <col min="1552" max="1552" width="11" style="5" customWidth="1"/>
    <col min="1553" max="1792" width="9.140625" style="5"/>
    <col min="1793" max="1793" width="4.28515625" style="5" customWidth="1"/>
    <col min="1794" max="1794" width="25" style="5" customWidth="1"/>
    <col min="1795" max="1795" width="6.7109375" style="5" customWidth="1"/>
    <col min="1796" max="1798" width="9.28515625" style="5" customWidth="1"/>
    <col min="1799" max="1799" width="9.140625" style="5"/>
    <col min="1800" max="1800" width="11" style="5" customWidth="1"/>
    <col min="1801" max="1801" width="11.5703125" style="5" customWidth="1"/>
    <col min="1802" max="1802" width="10.7109375" style="5" customWidth="1"/>
    <col min="1803" max="1803" width="11.7109375" style="5" customWidth="1"/>
    <col min="1804" max="1804" width="11.140625" style="5" customWidth="1"/>
    <col min="1805" max="1805" width="10.85546875" style="5" customWidth="1"/>
    <col min="1806" max="1806" width="17.5703125" style="5" customWidth="1"/>
    <col min="1807" max="1807" width="13" style="5" customWidth="1"/>
    <col min="1808" max="1808" width="11" style="5" customWidth="1"/>
    <col min="1809" max="2048" width="9.140625" style="5"/>
    <col min="2049" max="2049" width="4.28515625" style="5" customWidth="1"/>
    <col min="2050" max="2050" width="25" style="5" customWidth="1"/>
    <col min="2051" max="2051" width="6.7109375" style="5" customWidth="1"/>
    <col min="2052" max="2054" width="9.28515625" style="5" customWidth="1"/>
    <col min="2055" max="2055" width="9.140625" style="5"/>
    <col min="2056" max="2056" width="11" style="5" customWidth="1"/>
    <col min="2057" max="2057" width="11.5703125" style="5" customWidth="1"/>
    <col min="2058" max="2058" width="10.7109375" style="5" customWidth="1"/>
    <col min="2059" max="2059" width="11.7109375" style="5" customWidth="1"/>
    <col min="2060" max="2060" width="11.140625" style="5" customWidth="1"/>
    <col min="2061" max="2061" width="10.85546875" style="5" customWidth="1"/>
    <col min="2062" max="2062" width="17.5703125" style="5" customWidth="1"/>
    <col min="2063" max="2063" width="13" style="5" customWidth="1"/>
    <col min="2064" max="2064" width="11" style="5" customWidth="1"/>
    <col min="2065" max="2304" width="9.140625" style="5"/>
    <col min="2305" max="2305" width="4.28515625" style="5" customWidth="1"/>
    <col min="2306" max="2306" width="25" style="5" customWidth="1"/>
    <col min="2307" max="2307" width="6.7109375" style="5" customWidth="1"/>
    <col min="2308" max="2310" width="9.28515625" style="5" customWidth="1"/>
    <col min="2311" max="2311" width="9.140625" style="5"/>
    <col min="2312" max="2312" width="11" style="5" customWidth="1"/>
    <col min="2313" max="2313" width="11.5703125" style="5" customWidth="1"/>
    <col min="2314" max="2314" width="10.7109375" style="5" customWidth="1"/>
    <col min="2315" max="2315" width="11.7109375" style="5" customWidth="1"/>
    <col min="2316" max="2316" width="11.140625" style="5" customWidth="1"/>
    <col min="2317" max="2317" width="10.85546875" style="5" customWidth="1"/>
    <col min="2318" max="2318" width="17.5703125" style="5" customWidth="1"/>
    <col min="2319" max="2319" width="13" style="5" customWidth="1"/>
    <col min="2320" max="2320" width="11" style="5" customWidth="1"/>
    <col min="2321" max="2560" width="9.140625" style="5"/>
    <col min="2561" max="2561" width="4.28515625" style="5" customWidth="1"/>
    <col min="2562" max="2562" width="25" style="5" customWidth="1"/>
    <col min="2563" max="2563" width="6.7109375" style="5" customWidth="1"/>
    <col min="2564" max="2566" width="9.28515625" style="5" customWidth="1"/>
    <col min="2567" max="2567" width="9.140625" style="5"/>
    <col min="2568" max="2568" width="11" style="5" customWidth="1"/>
    <col min="2569" max="2569" width="11.5703125" style="5" customWidth="1"/>
    <col min="2570" max="2570" width="10.7109375" style="5" customWidth="1"/>
    <col min="2571" max="2571" width="11.7109375" style="5" customWidth="1"/>
    <col min="2572" max="2572" width="11.140625" style="5" customWidth="1"/>
    <col min="2573" max="2573" width="10.85546875" style="5" customWidth="1"/>
    <col min="2574" max="2574" width="17.5703125" style="5" customWidth="1"/>
    <col min="2575" max="2575" width="13" style="5" customWidth="1"/>
    <col min="2576" max="2576" width="11" style="5" customWidth="1"/>
    <col min="2577" max="2816" width="9.140625" style="5"/>
    <col min="2817" max="2817" width="4.28515625" style="5" customWidth="1"/>
    <col min="2818" max="2818" width="25" style="5" customWidth="1"/>
    <col min="2819" max="2819" width="6.7109375" style="5" customWidth="1"/>
    <col min="2820" max="2822" width="9.28515625" style="5" customWidth="1"/>
    <col min="2823" max="2823" width="9.140625" style="5"/>
    <col min="2824" max="2824" width="11" style="5" customWidth="1"/>
    <col min="2825" max="2825" width="11.5703125" style="5" customWidth="1"/>
    <col min="2826" max="2826" width="10.7109375" style="5" customWidth="1"/>
    <col min="2827" max="2827" width="11.7109375" style="5" customWidth="1"/>
    <col min="2828" max="2828" width="11.140625" style="5" customWidth="1"/>
    <col min="2829" max="2829" width="10.85546875" style="5" customWidth="1"/>
    <col min="2830" max="2830" width="17.5703125" style="5" customWidth="1"/>
    <col min="2831" max="2831" width="13" style="5" customWidth="1"/>
    <col min="2832" max="2832" width="11" style="5" customWidth="1"/>
    <col min="2833" max="3072" width="9.140625" style="5"/>
    <col min="3073" max="3073" width="4.28515625" style="5" customWidth="1"/>
    <col min="3074" max="3074" width="25" style="5" customWidth="1"/>
    <col min="3075" max="3075" width="6.7109375" style="5" customWidth="1"/>
    <col min="3076" max="3078" width="9.28515625" style="5" customWidth="1"/>
    <col min="3079" max="3079" width="9.140625" style="5"/>
    <col min="3080" max="3080" width="11" style="5" customWidth="1"/>
    <col min="3081" max="3081" width="11.5703125" style="5" customWidth="1"/>
    <col min="3082" max="3082" width="10.7109375" style="5" customWidth="1"/>
    <col min="3083" max="3083" width="11.7109375" style="5" customWidth="1"/>
    <col min="3084" max="3084" width="11.140625" style="5" customWidth="1"/>
    <col min="3085" max="3085" width="10.85546875" style="5" customWidth="1"/>
    <col min="3086" max="3086" width="17.5703125" style="5" customWidth="1"/>
    <col min="3087" max="3087" width="13" style="5" customWidth="1"/>
    <col min="3088" max="3088" width="11" style="5" customWidth="1"/>
    <col min="3089" max="3328" width="9.140625" style="5"/>
    <col min="3329" max="3329" width="4.28515625" style="5" customWidth="1"/>
    <col min="3330" max="3330" width="25" style="5" customWidth="1"/>
    <col min="3331" max="3331" width="6.7109375" style="5" customWidth="1"/>
    <col min="3332" max="3334" width="9.28515625" style="5" customWidth="1"/>
    <col min="3335" max="3335" width="9.140625" style="5"/>
    <col min="3336" max="3336" width="11" style="5" customWidth="1"/>
    <col min="3337" max="3337" width="11.5703125" style="5" customWidth="1"/>
    <col min="3338" max="3338" width="10.7109375" style="5" customWidth="1"/>
    <col min="3339" max="3339" width="11.7109375" style="5" customWidth="1"/>
    <col min="3340" max="3340" width="11.140625" style="5" customWidth="1"/>
    <col min="3341" max="3341" width="10.85546875" style="5" customWidth="1"/>
    <col min="3342" max="3342" width="17.5703125" style="5" customWidth="1"/>
    <col min="3343" max="3343" width="13" style="5" customWidth="1"/>
    <col min="3344" max="3344" width="11" style="5" customWidth="1"/>
    <col min="3345" max="3584" width="9.140625" style="5"/>
    <col min="3585" max="3585" width="4.28515625" style="5" customWidth="1"/>
    <col min="3586" max="3586" width="25" style="5" customWidth="1"/>
    <col min="3587" max="3587" width="6.7109375" style="5" customWidth="1"/>
    <col min="3588" max="3590" width="9.28515625" style="5" customWidth="1"/>
    <col min="3591" max="3591" width="9.140625" style="5"/>
    <col min="3592" max="3592" width="11" style="5" customWidth="1"/>
    <col min="3593" max="3593" width="11.5703125" style="5" customWidth="1"/>
    <col min="3594" max="3594" width="10.7109375" style="5" customWidth="1"/>
    <col min="3595" max="3595" width="11.7109375" style="5" customWidth="1"/>
    <col min="3596" max="3596" width="11.140625" style="5" customWidth="1"/>
    <col min="3597" max="3597" width="10.85546875" style="5" customWidth="1"/>
    <col min="3598" max="3598" width="17.5703125" style="5" customWidth="1"/>
    <col min="3599" max="3599" width="13" style="5" customWidth="1"/>
    <col min="3600" max="3600" width="11" style="5" customWidth="1"/>
    <col min="3601" max="3840" width="9.140625" style="5"/>
    <col min="3841" max="3841" width="4.28515625" style="5" customWidth="1"/>
    <col min="3842" max="3842" width="25" style="5" customWidth="1"/>
    <col min="3843" max="3843" width="6.7109375" style="5" customWidth="1"/>
    <col min="3844" max="3846" width="9.28515625" style="5" customWidth="1"/>
    <col min="3847" max="3847" width="9.140625" style="5"/>
    <col min="3848" max="3848" width="11" style="5" customWidth="1"/>
    <col min="3849" max="3849" width="11.5703125" style="5" customWidth="1"/>
    <col min="3850" max="3850" width="10.7109375" style="5" customWidth="1"/>
    <col min="3851" max="3851" width="11.7109375" style="5" customWidth="1"/>
    <col min="3852" max="3852" width="11.140625" style="5" customWidth="1"/>
    <col min="3853" max="3853" width="10.85546875" style="5" customWidth="1"/>
    <col min="3854" max="3854" width="17.5703125" style="5" customWidth="1"/>
    <col min="3855" max="3855" width="13" style="5" customWidth="1"/>
    <col min="3856" max="3856" width="11" style="5" customWidth="1"/>
    <col min="3857" max="4096" width="9.140625" style="5"/>
    <col min="4097" max="4097" width="4.28515625" style="5" customWidth="1"/>
    <col min="4098" max="4098" width="25" style="5" customWidth="1"/>
    <col min="4099" max="4099" width="6.7109375" style="5" customWidth="1"/>
    <col min="4100" max="4102" width="9.28515625" style="5" customWidth="1"/>
    <col min="4103" max="4103" width="9.140625" style="5"/>
    <col min="4104" max="4104" width="11" style="5" customWidth="1"/>
    <col min="4105" max="4105" width="11.5703125" style="5" customWidth="1"/>
    <col min="4106" max="4106" width="10.7109375" style="5" customWidth="1"/>
    <col min="4107" max="4107" width="11.7109375" style="5" customWidth="1"/>
    <col min="4108" max="4108" width="11.140625" style="5" customWidth="1"/>
    <col min="4109" max="4109" width="10.85546875" style="5" customWidth="1"/>
    <col min="4110" max="4110" width="17.5703125" style="5" customWidth="1"/>
    <col min="4111" max="4111" width="13" style="5" customWidth="1"/>
    <col min="4112" max="4112" width="11" style="5" customWidth="1"/>
    <col min="4113" max="4352" width="9.140625" style="5"/>
    <col min="4353" max="4353" width="4.28515625" style="5" customWidth="1"/>
    <col min="4354" max="4354" width="25" style="5" customWidth="1"/>
    <col min="4355" max="4355" width="6.7109375" style="5" customWidth="1"/>
    <col min="4356" max="4358" width="9.28515625" style="5" customWidth="1"/>
    <col min="4359" max="4359" width="9.140625" style="5"/>
    <col min="4360" max="4360" width="11" style="5" customWidth="1"/>
    <col min="4361" max="4361" width="11.5703125" style="5" customWidth="1"/>
    <col min="4362" max="4362" width="10.7109375" style="5" customWidth="1"/>
    <col min="4363" max="4363" width="11.7109375" style="5" customWidth="1"/>
    <col min="4364" max="4364" width="11.140625" style="5" customWidth="1"/>
    <col min="4365" max="4365" width="10.85546875" style="5" customWidth="1"/>
    <col min="4366" max="4366" width="17.5703125" style="5" customWidth="1"/>
    <col min="4367" max="4367" width="13" style="5" customWidth="1"/>
    <col min="4368" max="4368" width="11" style="5" customWidth="1"/>
    <col min="4369" max="4608" width="9.140625" style="5"/>
    <col min="4609" max="4609" width="4.28515625" style="5" customWidth="1"/>
    <col min="4610" max="4610" width="25" style="5" customWidth="1"/>
    <col min="4611" max="4611" width="6.7109375" style="5" customWidth="1"/>
    <col min="4612" max="4614" width="9.28515625" style="5" customWidth="1"/>
    <col min="4615" max="4615" width="9.140625" style="5"/>
    <col min="4616" max="4616" width="11" style="5" customWidth="1"/>
    <col min="4617" max="4617" width="11.5703125" style="5" customWidth="1"/>
    <col min="4618" max="4618" width="10.7109375" style="5" customWidth="1"/>
    <col min="4619" max="4619" width="11.7109375" style="5" customWidth="1"/>
    <col min="4620" max="4620" width="11.140625" style="5" customWidth="1"/>
    <col min="4621" max="4621" width="10.85546875" style="5" customWidth="1"/>
    <col min="4622" max="4622" width="17.5703125" style="5" customWidth="1"/>
    <col min="4623" max="4623" width="13" style="5" customWidth="1"/>
    <col min="4624" max="4624" width="11" style="5" customWidth="1"/>
    <col min="4625" max="4864" width="9.140625" style="5"/>
    <col min="4865" max="4865" width="4.28515625" style="5" customWidth="1"/>
    <col min="4866" max="4866" width="25" style="5" customWidth="1"/>
    <col min="4867" max="4867" width="6.7109375" style="5" customWidth="1"/>
    <col min="4868" max="4870" width="9.28515625" style="5" customWidth="1"/>
    <col min="4871" max="4871" width="9.140625" style="5"/>
    <col min="4872" max="4872" width="11" style="5" customWidth="1"/>
    <col min="4873" max="4873" width="11.5703125" style="5" customWidth="1"/>
    <col min="4874" max="4874" width="10.7109375" style="5" customWidth="1"/>
    <col min="4875" max="4875" width="11.7109375" style="5" customWidth="1"/>
    <col min="4876" max="4876" width="11.140625" style="5" customWidth="1"/>
    <col min="4877" max="4877" width="10.85546875" style="5" customWidth="1"/>
    <col min="4878" max="4878" width="17.5703125" style="5" customWidth="1"/>
    <col min="4879" max="4879" width="13" style="5" customWidth="1"/>
    <col min="4880" max="4880" width="11" style="5" customWidth="1"/>
    <col min="4881" max="5120" width="9.140625" style="5"/>
    <col min="5121" max="5121" width="4.28515625" style="5" customWidth="1"/>
    <col min="5122" max="5122" width="25" style="5" customWidth="1"/>
    <col min="5123" max="5123" width="6.7109375" style="5" customWidth="1"/>
    <col min="5124" max="5126" width="9.28515625" style="5" customWidth="1"/>
    <col min="5127" max="5127" width="9.140625" style="5"/>
    <col min="5128" max="5128" width="11" style="5" customWidth="1"/>
    <col min="5129" max="5129" width="11.5703125" style="5" customWidth="1"/>
    <col min="5130" max="5130" width="10.7109375" style="5" customWidth="1"/>
    <col min="5131" max="5131" width="11.7109375" style="5" customWidth="1"/>
    <col min="5132" max="5132" width="11.140625" style="5" customWidth="1"/>
    <col min="5133" max="5133" width="10.85546875" style="5" customWidth="1"/>
    <col min="5134" max="5134" width="17.5703125" style="5" customWidth="1"/>
    <col min="5135" max="5135" width="13" style="5" customWidth="1"/>
    <col min="5136" max="5136" width="11" style="5" customWidth="1"/>
    <col min="5137" max="5376" width="9.140625" style="5"/>
    <col min="5377" max="5377" width="4.28515625" style="5" customWidth="1"/>
    <col min="5378" max="5378" width="25" style="5" customWidth="1"/>
    <col min="5379" max="5379" width="6.7109375" style="5" customWidth="1"/>
    <col min="5380" max="5382" width="9.28515625" style="5" customWidth="1"/>
    <col min="5383" max="5383" width="9.140625" style="5"/>
    <col min="5384" max="5384" width="11" style="5" customWidth="1"/>
    <col min="5385" max="5385" width="11.5703125" style="5" customWidth="1"/>
    <col min="5386" max="5386" width="10.7109375" style="5" customWidth="1"/>
    <col min="5387" max="5387" width="11.7109375" style="5" customWidth="1"/>
    <col min="5388" max="5388" width="11.140625" style="5" customWidth="1"/>
    <col min="5389" max="5389" width="10.85546875" style="5" customWidth="1"/>
    <col min="5390" max="5390" width="17.5703125" style="5" customWidth="1"/>
    <col min="5391" max="5391" width="13" style="5" customWidth="1"/>
    <col min="5392" max="5392" width="11" style="5" customWidth="1"/>
    <col min="5393" max="5632" width="9.140625" style="5"/>
    <col min="5633" max="5633" width="4.28515625" style="5" customWidth="1"/>
    <col min="5634" max="5634" width="25" style="5" customWidth="1"/>
    <col min="5635" max="5635" width="6.7109375" style="5" customWidth="1"/>
    <col min="5636" max="5638" width="9.28515625" style="5" customWidth="1"/>
    <col min="5639" max="5639" width="9.140625" style="5"/>
    <col min="5640" max="5640" width="11" style="5" customWidth="1"/>
    <col min="5641" max="5641" width="11.5703125" style="5" customWidth="1"/>
    <col min="5642" max="5642" width="10.7109375" style="5" customWidth="1"/>
    <col min="5643" max="5643" width="11.7109375" style="5" customWidth="1"/>
    <col min="5644" max="5644" width="11.140625" style="5" customWidth="1"/>
    <col min="5645" max="5645" width="10.85546875" style="5" customWidth="1"/>
    <col min="5646" max="5646" width="17.5703125" style="5" customWidth="1"/>
    <col min="5647" max="5647" width="13" style="5" customWidth="1"/>
    <col min="5648" max="5648" width="11" style="5" customWidth="1"/>
    <col min="5649" max="5888" width="9.140625" style="5"/>
    <col min="5889" max="5889" width="4.28515625" style="5" customWidth="1"/>
    <col min="5890" max="5890" width="25" style="5" customWidth="1"/>
    <col min="5891" max="5891" width="6.7109375" style="5" customWidth="1"/>
    <col min="5892" max="5894" width="9.28515625" style="5" customWidth="1"/>
    <col min="5895" max="5895" width="9.140625" style="5"/>
    <col min="5896" max="5896" width="11" style="5" customWidth="1"/>
    <col min="5897" max="5897" width="11.5703125" style="5" customWidth="1"/>
    <col min="5898" max="5898" width="10.7109375" style="5" customWidth="1"/>
    <col min="5899" max="5899" width="11.7109375" style="5" customWidth="1"/>
    <col min="5900" max="5900" width="11.140625" style="5" customWidth="1"/>
    <col min="5901" max="5901" width="10.85546875" style="5" customWidth="1"/>
    <col min="5902" max="5902" width="17.5703125" style="5" customWidth="1"/>
    <col min="5903" max="5903" width="13" style="5" customWidth="1"/>
    <col min="5904" max="5904" width="11" style="5" customWidth="1"/>
    <col min="5905" max="6144" width="9.140625" style="5"/>
    <col min="6145" max="6145" width="4.28515625" style="5" customWidth="1"/>
    <col min="6146" max="6146" width="25" style="5" customWidth="1"/>
    <col min="6147" max="6147" width="6.7109375" style="5" customWidth="1"/>
    <col min="6148" max="6150" width="9.28515625" style="5" customWidth="1"/>
    <col min="6151" max="6151" width="9.140625" style="5"/>
    <col min="6152" max="6152" width="11" style="5" customWidth="1"/>
    <col min="6153" max="6153" width="11.5703125" style="5" customWidth="1"/>
    <col min="6154" max="6154" width="10.7109375" style="5" customWidth="1"/>
    <col min="6155" max="6155" width="11.7109375" style="5" customWidth="1"/>
    <col min="6156" max="6156" width="11.140625" style="5" customWidth="1"/>
    <col min="6157" max="6157" width="10.85546875" style="5" customWidth="1"/>
    <col min="6158" max="6158" width="17.5703125" style="5" customWidth="1"/>
    <col min="6159" max="6159" width="13" style="5" customWidth="1"/>
    <col min="6160" max="6160" width="11" style="5" customWidth="1"/>
    <col min="6161" max="6400" width="9.140625" style="5"/>
    <col min="6401" max="6401" width="4.28515625" style="5" customWidth="1"/>
    <col min="6402" max="6402" width="25" style="5" customWidth="1"/>
    <col min="6403" max="6403" width="6.7109375" style="5" customWidth="1"/>
    <col min="6404" max="6406" width="9.28515625" style="5" customWidth="1"/>
    <col min="6407" max="6407" width="9.140625" style="5"/>
    <col min="6408" max="6408" width="11" style="5" customWidth="1"/>
    <col min="6409" max="6409" width="11.5703125" style="5" customWidth="1"/>
    <col min="6410" max="6410" width="10.7109375" style="5" customWidth="1"/>
    <col min="6411" max="6411" width="11.7109375" style="5" customWidth="1"/>
    <col min="6412" max="6412" width="11.140625" style="5" customWidth="1"/>
    <col min="6413" max="6413" width="10.85546875" style="5" customWidth="1"/>
    <col min="6414" max="6414" width="17.5703125" style="5" customWidth="1"/>
    <col min="6415" max="6415" width="13" style="5" customWidth="1"/>
    <col min="6416" max="6416" width="11" style="5" customWidth="1"/>
    <col min="6417" max="6656" width="9.140625" style="5"/>
    <col min="6657" max="6657" width="4.28515625" style="5" customWidth="1"/>
    <col min="6658" max="6658" width="25" style="5" customWidth="1"/>
    <col min="6659" max="6659" width="6.7109375" style="5" customWidth="1"/>
    <col min="6660" max="6662" width="9.28515625" style="5" customWidth="1"/>
    <col min="6663" max="6663" width="9.140625" style="5"/>
    <col min="6664" max="6664" width="11" style="5" customWidth="1"/>
    <col min="6665" max="6665" width="11.5703125" style="5" customWidth="1"/>
    <col min="6666" max="6666" width="10.7109375" style="5" customWidth="1"/>
    <col min="6667" max="6667" width="11.7109375" style="5" customWidth="1"/>
    <col min="6668" max="6668" width="11.140625" style="5" customWidth="1"/>
    <col min="6669" max="6669" width="10.85546875" style="5" customWidth="1"/>
    <col min="6670" max="6670" width="17.5703125" style="5" customWidth="1"/>
    <col min="6671" max="6671" width="13" style="5" customWidth="1"/>
    <col min="6672" max="6672" width="11" style="5" customWidth="1"/>
    <col min="6673" max="6912" width="9.140625" style="5"/>
    <col min="6913" max="6913" width="4.28515625" style="5" customWidth="1"/>
    <col min="6914" max="6914" width="25" style="5" customWidth="1"/>
    <col min="6915" max="6915" width="6.7109375" style="5" customWidth="1"/>
    <col min="6916" max="6918" width="9.28515625" style="5" customWidth="1"/>
    <col min="6919" max="6919" width="9.140625" style="5"/>
    <col min="6920" max="6920" width="11" style="5" customWidth="1"/>
    <col min="6921" max="6921" width="11.5703125" style="5" customWidth="1"/>
    <col min="6922" max="6922" width="10.7109375" style="5" customWidth="1"/>
    <col min="6923" max="6923" width="11.7109375" style="5" customWidth="1"/>
    <col min="6924" max="6924" width="11.140625" style="5" customWidth="1"/>
    <col min="6925" max="6925" width="10.85546875" style="5" customWidth="1"/>
    <col min="6926" max="6926" width="17.5703125" style="5" customWidth="1"/>
    <col min="6927" max="6927" width="13" style="5" customWidth="1"/>
    <col min="6928" max="6928" width="11" style="5" customWidth="1"/>
    <col min="6929" max="7168" width="9.140625" style="5"/>
    <col min="7169" max="7169" width="4.28515625" style="5" customWidth="1"/>
    <col min="7170" max="7170" width="25" style="5" customWidth="1"/>
    <col min="7171" max="7171" width="6.7109375" style="5" customWidth="1"/>
    <col min="7172" max="7174" width="9.28515625" style="5" customWidth="1"/>
    <col min="7175" max="7175" width="9.140625" style="5"/>
    <col min="7176" max="7176" width="11" style="5" customWidth="1"/>
    <col min="7177" max="7177" width="11.5703125" style="5" customWidth="1"/>
    <col min="7178" max="7178" width="10.7109375" style="5" customWidth="1"/>
    <col min="7179" max="7179" width="11.7109375" style="5" customWidth="1"/>
    <col min="7180" max="7180" width="11.140625" style="5" customWidth="1"/>
    <col min="7181" max="7181" width="10.85546875" style="5" customWidth="1"/>
    <col min="7182" max="7182" width="17.5703125" style="5" customWidth="1"/>
    <col min="7183" max="7183" width="13" style="5" customWidth="1"/>
    <col min="7184" max="7184" width="11" style="5" customWidth="1"/>
    <col min="7185" max="7424" width="9.140625" style="5"/>
    <col min="7425" max="7425" width="4.28515625" style="5" customWidth="1"/>
    <col min="7426" max="7426" width="25" style="5" customWidth="1"/>
    <col min="7427" max="7427" width="6.7109375" style="5" customWidth="1"/>
    <col min="7428" max="7430" width="9.28515625" style="5" customWidth="1"/>
    <col min="7431" max="7431" width="9.140625" style="5"/>
    <col min="7432" max="7432" width="11" style="5" customWidth="1"/>
    <col min="7433" max="7433" width="11.5703125" style="5" customWidth="1"/>
    <col min="7434" max="7434" width="10.7109375" style="5" customWidth="1"/>
    <col min="7435" max="7435" width="11.7109375" style="5" customWidth="1"/>
    <col min="7436" max="7436" width="11.140625" style="5" customWidth="1"/>
    <col min="7437" max="7437" width="10.85546875" style="5" customWidth="1"/>
    <col min="7438" max="7438" width="17.5703125" style="5" customWidth="1"/>
    <col min="7439" max="7439" width="13" style="5" customWidth="1"/>
    <col min="7440" max="7440" width="11" style="5" customWidth="1"/>
    <col min="7441" max="7680" width="9.140625" style="5"/>
    <col min="7681" max="7681" width="4.28515625" style="5" customWidth="1"/>
    <col min="7682" max="7682" width="25" style="5" customWidth="1"/>
    <col min="7683" max="7683" width="6.7109375" style="5" customWidth="1"/>
    <col min="7684" max="7686" width="9.28515625" style="5" customWidth="1"/>
    <col min="7687" max="7687" width="9.140625" style="5"/>
    <col min="7688" max="7688" width="11" style="5" customWidth="1"/>
    <col min="7689" max="7689" width="11.5703125" style="5" customWidth="1"/>
    <col min="7690" max="7690" width="10.7109375" style="5" customWidth="1"/>
    <col min="7691" max="7691" width="11.7109375" style="5" customWidth="1"/>
    <col min="7692" max="7692" width="11.140625" style="5" customWidth="1"/>
    <col min="7693" max="7693" width="10.85546875" style="5" customWidth="1"/>
    <col min="7694" max="7694" width="17.5703125" style="5" customWidth="1"/>
    <col min="7695" max="7695" width="13" style="5" customWidth="1"/>
    <col min="7696" max="7696" width="11" style="5" customWidth="1"/>
    <col min="7697" max="7936" width="9.140625" style="5"/>
    <col min="7937" max="7937" width="4.28515625" style="5" customWidth="1"/>
    <col min="7938" max="7938" width="25" style="5" customWidth="1"/>
    <col min="7939" max="7939" width="6.7109375" style="5" customWidth="1"/>
    <col min="7940" max="7942" width="9.28515625" style="5" customWidth="1"/>
    <col min="7943" max="7943" width="9.140625" style="5"/>
    <col min="7944" max="7944" width="11" style="5" customWidth="1"/>
    <col min="7945" max="7945" width="11.5703125" style="5" customWidth="1"/>
    <col min="7946" max="7946" width="10.7109375" style="5" customWidth="1"/>
    <col min="7947" max="7947" width="11.7109375" style="5" customWidth="1"/>
    <col min="7948" max="7948" width="11.140625" style="5" customWidth="1"/>
    <col min="7949" max="7949" width="10.85546875" style="5" customWidth="1"/>
    <col min="7950" max="7950" width="17.5703125" style="5" customWidth="1"/>
    <col min="7951" max="7951" width="13" style="5" customWidth="1"/>
    <col min="7952" max="7952" width="11" style="5" customWidth="1"/>
    <col min="7953" max="8192" width="9.140625" style="5"/>
    <col min="8193" max="8193" width="4.28515625" style="5" customWidth="1"/>
    <col min="8194" max="8194" width="25" style="5" customWidth="1"/>
    <col min="8195" max="8195" width="6.7109375" style="5" customWidth="1"/>
    <col min="8196" max="8198" width="9.28515625" style="5" customWidth="1"/>
    <col min="8199" max="8199" width="9.140625" style="5"/>
    <col min="8200" max="8200" width="11" style="5" customWidth="1"/>
    <col min="8201" max="8201" width="11.5703125" style="5" customWidth="1"/>
    <col min="8202" max="8202" width="10.7109375" style="5" customWidth="1"/>
    <col min="8203" max="8203" width="11.7109375" style="5" customWidth="1"/>
    <col min="8204" max="8204" width="11.140625" style="5" customWidth="1"/>
    <col min="8205" max="8205" width="10.85546875" style="5" customWidth="1"/>
    <col min="8206" max="8206" width="17.5703125" style="5" customWidth="1"/>
    <col min="8207" max="8207" width="13" style="5" customWidth="1"/>
    <col min="8208" max="8208" width="11" style="5" customWidth="1"/>
    <col min="8209" max="8448" width="9.140625" style="5"/>
    <col min="8449" max="8449" width="4.28515625" style="5" customWidth="1"/>
    <col min="8450" max="8450" width="25" style="5" customWidth="1"/>
    <col min="8451" max="8451" width="6.7109375" style="5" customWidth="1"/>
    <col min="8452" max="8454" width="9.28515625" style="5" customWidth="1"/>
    <col min="8455" max="8455" width="9.140625" style="5"/>
    <col min="8456" max="8456" width="11" style="5" customWidth="1"/>
    <col min="8457" max="8457" width="11.5703125" style="5" customWidth="1"/>
    <col min="8458" max="8458" width="10.7109375" style="5" customWidth="1"/>
    <col min="8459" max="8459" width="11.7109375" style="5" customWidth="1"/>
    <col min="8460" max="8460" width="11.140625" style="5" customWidth="1"/>
    <col min="8461" max="8461" width="10.85546875" style="5" customWidth="1"/>
    <col min="8462" max="8462" width="17.5703125" style="5" customWidth="1"/>
    <col min="8463" max="8463" width="13" style="5" customWidth="1"/>
    <col min="8464" max="8464" width="11" style="5" customWidth="1"/>
    <col min="8465" max="8704" width="9.140625" style="5"/>
    <col min="8705" max="8705" width="4.28515625" style="5" customWidth="1"/>
    <col min="8706" max="8706" width="25" style="5" customWidth="1"/>
    <col min="8707" max="8707" width="6.7109375" style="5" customWidth="1"/>
    <col min="8708" max="8710" width="9.28515625" style="5" customWidth="1"/>
    <col min="8711" max="8711" width="9.140625" style="5"/>
    <col min="8712" max="8712" width="11" style="5" customWidth="1"/>
    <col min="8713" max="8713" width="11.5703125" style="5" customWidth="1"/>
    <col min="8714" max="8714" width="10.7109375" style="5" customWidth="1"/>
    <col min="8715" max="8715" width="11.7109375" style="5" customWidth="1"/>
    <col min="8716" max="8716" width="11.140625" style="5" customWidth="1"/>
    <col min="8717" max="8717" width="10.85546875" style="5" customWidth="1"/>
    <col min="8718" max="8718" width="17.5703125" style="5" customWidth="1"/>
    <col min="8719" max="8719" width="13" style="5" customWidth="1"/>
    <col min="8720" max="8720" width="11" style="5" customWidth="1"/>
    <col min="8721" max="8960" width="9.140625" style="5"/>
    <col min="8961" max="8961" width="4.28515625" style="5" customWidth="1"/>
    <col min="8962" max="8962" width="25" style="5" customWidth="1"/>
    <col min="8963" max="8963" width="6.7109375" style="5" customWidth="1"/>
    <col min="8964" max="8966" width="9.28515625" style="5" customWidth="1"/>
    <col min="8967" max="8967" width="9.140625" style="5"/>
    <col min="8968" max="8968" width="11" style="5" customWidth="1"/>
    <col min="8969" max="8969" width="11.5703125" style="5" customWidth="1"/>
    <col min="8970" max="8970" width="10.7109375" style="5" customWidth="1"/>
    <col min="8971" max="8971" width="11.7109375" style="5" customWidth="1"/>
    <col min="8972" max="8972" width="11.140625" style="5" customWidth="1"/>
    <col min="8973" max="8973" width="10.85546875" style="5" customWidth="1"/>
    <col min="8974" max="8974" width="17.5703125" style="5" customWidth="1"/>
    <col min="8975" max="8975" width="13" style="5" customWidth="1"/>
    <col min="8976" max="8976" width="11" style="5" customWidth="1"/>
    <col min="8977" max="9216" width="9.140625" style="5"/>
    <col min="9217" max="9217" width="4.28515625" style="5" customWidth="1"/>
    <col min="9218" max="9218" width="25" style="5" customWidth="1"/>
    <col min="9219" max="9219" width="6.7109375" style="5" customWidth="1"/>
    <col min="9220" max="9222" width="9.28515625" style="5" customWidth="1"/>
    <col min="9223" max="9223" width="9.140625" style="5"/>
    <col min="9224" max="9224" width="11" style="5" customWidth="1"/>
    <col min="9225" max="9225" width="11.5703125" style="5" customWidth="1"/>
    <col min="9226" max="9226" width="10.7109375" style="5" customWidth="1"/>
    <col min="9227" max="9227" width="11.7109375" style="5" customWidth="1"/>
    <col min="9228" max="9228" width="11.140625" style="5" customWidth="1"/>
    <col min="9229" max="9229" width="10.85546875" style="5" customWidth="1"/>
    <col min="9230" max="9230" width="17.5703125" style="5" customWidth="1"/>
    <col min="9231" max="9231" width="13" style="5" customWidth="1"/>
    <col min="9232" max="9232" width="11" style="5" customWidth="1"/>
    <col min="9233" max="9472" width="9.140625" style="5"/>
    <col min="9473" max="9473" width="4.28515625" style="5" customWidth="1"/>
    <col min="9474" max="9474" width="25" style="5" customWidth="1"/>
    <col min="9475" max="9475" width="6.7109375" style="5" customWidth="1"/>
    <col min="9476" max="9478" width="9.28515625" style="5" customWidth="1"/>
    <col min="9479" max="9479" width="9.140625" style="5"/>
    <col min="9480" max="9480" width="11" style="5" customWidth="1"/>
    <col min="9481" max="9481" width="11.5703125" style="5" customWidth="1"/>
    <col min="9482" max="9482" width="10.7109375" style="5" customWidth="1"/>
    <col min="9483" max="9483" width="11.7109375" style="5" customWidth="1"/>
    <col min="9484" max="9484" width="11.140625" style="5" customWidth="1"/>
    <col min="9485" max="9485" width="10.85546875" style="5" customWidth="1"/>
    <col min="9486" max="9486" width="17.5703125" style="5" customWidth="1"/>
    <col min="9487" max="9487" width="13" style="5" customWidth="1"/>
    <col min="9488" max="9488" width="11" style="5" customWidth="1"/>
    <col min="9489" max="9728" width="9.140625" style="5"/>
    <col min="9729" max="9729" width="4.28515625" style="5" customWidth="1"/>
    <col min="9730" max="9730" width="25" style="5" customWidth="1"/>
    <col min="9731" max="9731" width="6.7109375" style="5" customWidth="1"/>
    <col min="9732" max="9734" width="9.28515625" style="5" customWidth="1"/>
    <col min="9735" max="9735" width="9.140625" style="5"/>
    <col min="9736" max="9736" width="11" style="5" customWidth="1"/>
    <col min="9737" max="9737" width="11.5703125" style="5" customWidth="1"/>
    <col min="9738" max="9738" width="10.7109375" style="5" customWidth="1"/>
    <col min="9739" max="9739" width="11.7109375" style="5" customWidth="1"/>
    <col min="9740" max="9740" width="11.140625" style="5" customWidth="1"/>
    <col min="9741" max="9741" width="10.85546875" style="5" customWidth="1"/>
    <col min="9742" max="9742" width="17.5703125" style="5" customWidth="1"/>
    <col min="9743" max="9743" width="13" style="5" customWidth="1"/>
    <col min="9744" max="9744" width="11" style="5" customWidth="1"/>
    <col min="9745" max="9984" width="9.140625" style="5"/>
    <col min="9985" max="9985" width="4.28515625" style="5" customWidth="1"/>
    <col min="9986" max="9986" width="25" style="5" customWidth="1"/>
    <col min="9987" max="9987" width="6.7109375" style="5" customWidth="1"/>
    <col min="9988" max="9990" width="9.28515625" style="5" customWidth="1"/>
    <col min="9991" max="9991" width="9.140625" style="5"/>
    <col min="9992" max="9992" width="11" style="5" customWidth="1"/>
    <col min="9993" max="9993" width="11.5703125" style="5" customWidth="1"/>
    <col min="9994" max="9994" width="10.7109375" style="5" customWidth="1"/>
    <col min="9995" max="9995" width="11.7109375" style="5" customWidth="1"/>
    <col min="9996" max="9996" width="11.140625" style="5" customWidth="1"/>
    <col min="9997" max="9997" width="10.85546875" style="5" customWidth="1"/>
    <col min="9998" max="9998" width="17.5703125" style="5" customWidth="1"/>
    <col min="9999" max="9999" width="13" style="5" customWidth="1"/>
    <col min="10000" max="10000" width="11" style="5" customWidth="1"/>
    <col min="10001" max="10240" width="9.140625" style="5"/>
    <col min="10241" max="10241" width="4.28515625" style="5" customWidth="1"/>
    <col min="10242" max="10242" width="25" style="5" customWidth="1"/>
    <col min="10243" max="10243" width="6.7109375" style="5" customWidth="1"/>
    <col min="10244" max="10246" width="9.28515625" style="5" customWidth="1"/>
    <col min="10247" max="10247" width="9.140625" style="5"/>
    <col min="10248" max="10248" width="11" style="5" customWidth="1"/>
    <col min="10249" max="10249" width="11.5703125" style="5" customWidth="1"/>
    <col min="10250" max="10250" width="10.7109375" style="5" customWidth="1"/>
    <col min="10251" max="10251" width="11.7109375" style="5" customWidth="1"/>
    <col min="10252" max="10252" width="11.140625" style="5" customWidth="1"/>
    <col min="10253" max="10253" width="10.85546875" style="5" customWidth="1"/>
    <col min="10254" max="10254" width="17.5703125" style="5" customWidth="1"/>
    <col min="10255" max="10255" width="13" style="5" customWidth="1"/>
    <col min="10256" max="10256" width="11" style="5" customWidth="1"/>
    <col min="10257" max="10496" width="9.140625" style="5"/>
    <col min="10497" max="10497" width="4.28515625" style="5" customWidth="1"/>
    <col min="10498" max="10498" width="25" style="5" customWidth="1"/>
    <col min="10499" max="10499" width="6.7109375" style="5" customWidth="1"/>
    <col min="10500" max="10502" width="9.28515625" style="5" customWidth="1"/>
    <col min="10503" max="10503" width="9.140625" style="5"/>
    <col min="10504" max="10504" width="11" style="5" customWidth="1"/>
    <col min="10505" max="10505" width="11.5703125" style="5" customWidth="1"/>
    <col min="10506" max="10506" width="10.7109375" style="5" customWidth="1"/>
    <col min="10507" max="10507" width="11.7109375" style="5" customWidth="1"/>
    <col min="10508" max="10508" width="11.140625" style="5" customWidth="1"/>
    <col min="10509" max="10509" width="10.85546875" style="5" customWidth="1"/>
    <col min="10510" max="10510" width="17.5703125" style="5" customWidth="1"/>
    <col min="10511" max="10511" width="13" style="5" customWidth="1"/>
    <col min="10512" max="10512" width="11" style="5" customWidth="1"/>
    <col min="10513" max="10752" width="9.140625" style="5"/>
    <col min="10753" max="10753" width="4.28515625" style="5" customWidth="1"/>
    <col min="10754" max="10754" width="25" style="5" customWidth="1"/>
    <col min="10755" max="10755" width="6.7109375" style="5" customWidth="1"/>
    <col min="10756" max="10758" width="9.28515625" style="5" customWidth="1"/>
    <col min="10759" max="10759" width="9.140625" style="5"/>
    <col min="10760" max="10760" width="11" style="5" customWidth="1"/>
    <col min="10761" max="10761" width="11.5703125" style="5" customWidth="1"/>
    <col min="10762" max="10762" width="10.7109375" style="5" customWidth="1"/>
    <col min="10763" max="10763" width="11.7109375" style="5" customWidth="1"/>
    <col min="10764" max="10764" width="11.140625" style="5" customWidth="1"/>
    <col min="10765" max="10765" width="10.85546875" style="5" customWidth="1"/>
    <col min="10766" max="10766" width="17.5703125" style="5" customWidth="1"/>
    <col min="10767" max="10767" width="13" style="5" customWidth="1"/>
    <col min="10768" max="10768" width="11" style="5" customWidth="1"/>
    <col min="10769" max="11008" width="9.140625" style="5"/>
    <col min="11009" max="11009" width="4.28515625" style="5" customWidth="1"/>
    <col min="11010" max="11010" width="25" style="5" customWidth="1"/>
    <col min="11011" max="11011" width="6.7109375" style="5" customWidth="1"/>
    <col min="11012" max="11014" width="9.28515625" style="5" customWidth="1"/>
    <col min="11015" max="11015" width="9.140625" style="5"/>
    <col min="11016" max="11016" width="11" style="5" customWidth="1"/>
    <col min="11017" max="11017" width="11.5703125" style="5" customWidth="1"/>
    <col min="11018" max="11018" width="10.7109375" style="5" customWidth="1"/>
    <col min="11019" max="11019" width="11.7109375" style="5" customWidth="1"/>
    <col min="11020" max="11020" width="11.140625" style="5" customWidth="1"/>
    <col min="11021" max="11021" width="10.85546875" style="5" customWidth="1"/>
    <col min="11022" max="11022" width="17.5703125" style="5" customWidth="1"/>
    <col min="11023" max="11023" width="13" style="5" customWidth="1"/>
    <col min="11024" max="11024" width="11" style="5" customWidth="1"/>
    <col min="11025" max="11264" width="9.140625" style="5"/>
    <col min="11265" max="11265" width="4.28515625" style="5" customWidth="1"/>
    <col min="11266" max="11266" width="25" style="5" customWidth="1"/>
    <col min="11267" max="11267" width="6.7109375" style="5" customWidth="1"/>
    <col min="11268" max="11270" width="9.28515625" style="5" customWidth="1"/>
    <col min="11271" max="11271" width="9.140625" style="5"/>
    <col min="11272" max="11272" width="11" style="5" customWidth="1"/>
    <col min="11273" max="11273" width="11.5703125" style="5" customWidth="1"/>
    <col min="11274" max="11274" width="10.7109375" style="5" customWidth="1"/>
    <col min="11275" max="11275" width="11.7109375" style="5" customWidth="1"/>
    <col min="11276" max="11276" width="11.140625" style="5" customWidth="1"/>
    <col min="11277" max="11277" width="10.85546875" style="5" customWidth="1"/>
    <col min="11278" max="11278" width="17.5703125" style="5" customWidth="1"/>
    <col min="11279" max="11279" width="13" style="5" customWidth="1"/>
    <col min="11280" max="11280" width="11" style="5" customWidth="1"/>
    <col min="11281" max="11520" width="9.140625" style="5"/>
    <col min="11521" max="11521" width="4.28515625" style="5" customWidth="1"/>
    <col min="11522" max="11522" width="25" style="5" customWidth="1"/>
    <col min="11523" max="11523" width="6.7109375" style="5" customWidth="1"/>
    <col min="11524" max="11526" width="9.28515625" style="5" customWidth="1"/>
    <col min="11527" max="11527" width="9.140625" style="5"/>
    <col min="11528" max="11528" width="11" style="5" customWidth="1"/>
    <col min="11529" max="11529" width="11.5703125" style="5" customWidth="1"/>
    <col min="11530" max="11530" width="10.7109375" style="5" customWidth="1"/>
    <col min="11531" max="11531" width="11.7109375" style="5" customWidth="1"/>
    <col min="11532" max="11532" width="11.140625" style="5" customWidth="1"/>
    <col min="11533" max="11533" width="10.85546875" style="5" customWidth="1"/>
    <col min="11534" max="11534" width="17.5703125" style="5" customWidth="1"/>
    <col min="11535" max="11535" width="13" style="5" customWidth="1"/>
    <col min="11536" max="11536" width="11" style="5" customWidth="1"/>
    <col min="11537" max="11776" width="9.140625" style="5"/>
    <col min="11777" max="11777" width="4.28515625" style="5" customWidth="1"/>
    <col min="11778" max="11778" width="25" style="5" customWidth="1"/>
    <col min="11779" max="11779" width="6.7109375" style="5" customWidth="1"/>
    <col min="11780" max="11782" width="9.28515625" style="5" customWidth="1"/>
    <col min="11783" max="11783" width="9.140625" style="5"/>
    <col min="11784" max="11784" width="11" style="5" customWidth="1"/>
    <col min="11785" max="11785" width="11.5703125" style="5" customWidth="1"/>
    <col min="11786" max="11786" width="10.7109375" style="5" customWidth="1"/>
    <col min="11787" max="11787" width="11.7109375" style="5" customWidth="1"/>
    <col min="11788" max="11788" width="11.140625" style="5" customWidth="1"/>
    <col min="11789" max="11789" width="10.85546875" style="5" customWidth="1"/>
    <col min="11790" max="11790" width="17.5703125" style="5" customWidth="1"/>
    <col min="11791" max="11791" width="13" style="5" customWidth="1"/>
    <col min="11792" max="11792" width="11" style="5" customWidth="1"/>
    <col min="11793" max="12032" width="9.140625" style="5"/>
    <col min="12033" max="12033" width="4.28515625" style="5" customWidth="1"/>
    <col min="12034" max="12034" width="25" style="5" customWidth="1"/>
    <col min="12035" max="12035" width="6.7109375" style="5" customWidth="1"/>
    <col min="12036" max="12038" width="9.28515625" style="5" customWidth="1"/>
    <col min="12039" max="12039" width="9.140625" style="5"/>
    <col min="12040" max="12040" width="11" style="5" customWidth="1"/>
    <col min="12041" max="12041" width="11.5703125" style="5" customWidth="1"/>
    <col min="12042" max="12042" width="10.7109375" style="5" customWidth="1"/>
    <col min="12043" max="12043" width="11.7109375" style="5" customWidth="1"/>
    <col min="12044" max="12044" width="11.140625" style="5" customWidth="1"/>
    <col min="12045" max="12045" width="10.85546875" style="5" customWidth="1"/>
    <col min="12046" max="12046" width="17.5703125" style="5" customWidth="1"/>
    <col min="12047" max="12047" width="13" style="5" customWidth="1"/>
    <col min="12048" max="12048" width="11" style="5" customWidth="1"/>
    <col min="12049" max="12288" width="9.140625" style="5"/>
    <col min="12289" max="12289" width="4.28515625" style="5" customWidth="1"/>
    <col min="12290" max="12290" width="25" style="5" customWidth="1"/>
    <col min="12291" max="12291" width="6.7109375" style="5" customWidth="1"/>
    <col min="12292" max="12294" width="9.28515625" style="5" customWidth="1"/>
    <col min="12295" max="12295" width="9.140625" style="5"/>
    <col min="12296" max="12296" width="11" style="5" customWidth="1"/>
    <col min="12297" max="12297" width="11.5703125" style="5" customWidth="1"/>
    <col min="12298" max="12298" width="10.7109375" style="5" customWidth="1"/>
    <col min="12299" max="12299" width="11.7109375" style="5" customWidth="1"/>
    <col min="12300" max="12300" width="11.140625" style="5" customWidth="1"/>
    <col min="12301" max="12301" width="10.85546875" style="5" customWidth="1"/>
    <col min="12302" max="12302" width="17.5703125" style="5" customWidth="1"/>
    <col min="12303" max="12303" width="13" style="5" customWidth="1"/>
    <col min="12304" max="12304" width="11" style="5" customWidth="1"/>
    <col min="12305" max="12544" width="9.140625" style="5"/>
    <col min="12545" max="12545" width="4.28515625" style="5" customWidth="1"/>
    <col min="12546" max="12546" width="25" style="5" customWidth="1"/>
    <col min="12547" max="12547" width="6.7109375" style="5" customWidth="1"/>
    <col min="12548" max="12550" width="9.28515625" style="5" customWidth="1"/>
    <col min="12551" max="12551" width="9.140625" style="5"/>
    <col min="12552" max="12552" width="11" style="5" customWidth="1"/>
    <col min="12553" max="12553" width="11.5703125" style="5" customWidth="1"/>
    <col min="12554" max="12554" width="10.7109375" style="5" customWidth="1"/>
    <col min="12555" max="12555" width="11.7109375" style="5" customWidth="1"/>
    <col min="12556" max="12556" width="11.140625" style="5" customWidth="1"/>
    <col min="12557" max="12557" width="10.85546875" style="5" customWidth="1"/>
    <col min="12558" max="12558" width="17.5703125" style="5" customWidth="1"/>
    <col min="12559" max="12559" width="13" style="5" customWidth="1"/>
    <col min="12560" max="12560" width="11" style="5" customWidth="1"/>
    <col min="12561" max="12800" width="9.140625" style="5"/>
    <col min="12801" max="12801" width="4.28515625" style="5" customWidth="1"/>
    <col min="12802" max="12802" width="25" style="5" customWidth="1"/>
    <col min="12803" max="12803" width="6.7109375" style="5" customWidth="1"/>
    <col min="12804" max="12806" width="9.28515625" style="5" customWidth="1"/>
    <col min="12807" max="12807" width="9.140625" style="5"/>
    <col min="12808" max="12808" width="11" style="5" customWidth="1"/>
    <col min="12809" max="12809" width="11.5703125" style="5" customWidth="1"/>
    <col min="12810" max="12810" width="10.7109375" style="5" customWidth="1"/>
    <col min="12811" max="12811" width="11.7109375" style="5" customWidth="1"/>
    <col min="12812" max="12812" width="11.140625" style="5" customWidth="1"/>
    <col min="12813" max="12813" width="10.85546875" style="5" customWidth="1"/>
    <col min="12814" max="12814" width="17.5703125" style="5" customWidth="1"/>
    <col min="12815" max="12815" width="13" style="5" customWidth="1"/>
    <col min="12816" max="12816" width="11" style="5" customWidth="1"/>
    <col min="12817" max="13056" width="9.140625" style="5"/>
    <col min="13057" max="13057" width="4.28515625" style="5" customWidth="1"/>
    <col min="13058" max="13058" width="25" style="5" customWidth="1"/>
    <col min="13059" max="13059" width="6.7109375" style="5" customWidth="1"/>
    <col min="13060" max="13062" width="9.28515625" style="5" customWidth="1"/>
    <col min="13063" max="13063" width="9.140625" style="5"/>
    <col min="13064" max="13064" width="11" style="5" customWidth="1"/>
    <col min="13065" max="13065" width="11.5703125" style="5" customWidth="1"/>
    <col min="13066" max="13066" width="10.7109375" style="5" customWidth="1"/>
    <col min="13067" max="13067" width="11.7109375" style="5" customWidth="1"/>
    <col min="13068" max="13068" width="11.140625" style="5" customWidth="1"/>
    <col min="13069" max="13069" width="10.85546875" style="5" customWidth="1"/>
    <col min="13070" max="13070" width="17.5703125" style="5" customWidth="1"/>
    <col min="13071" max="13071" width="13" style="5" customWidth="1"/>
    <col min="13072" max="13072" width="11" style="5" customWidth="1"/>
    <col min="13073" max="13312" width="9.140625" style="5"/>
    <col min="13313" max="13313" width="4.28515625" style="5" customWidth="1"/>
    <col min="13314" max="13314" width="25" style="5" customWidth="1"/>
    <col min="13315" max="13315" width="6.7109375" style="5" customWidth="1"/>
    <col min="13316" max="13318" width="9.28515625" style="5" customWidth="1"/>
    <col min="13319" max="13319" width="9.140625" style="5"/>
    <col min="13320" max="13320" width="11" style="5" customWidth="1"/>
    <col min="13321" max="13321" width="11.5703125" style="5" customWidth="1"/>
    <col min="13322" max="13322" width="10.7109375" style="5" customWidth="1"/>
    <col min="13323" max="13323" width="11.7109375" style="5" customWidth="1"/>
    <col min="13324" max="13324" width="11.140625" style="5" customWidth="1"/>
    <col min="13325" max="13325" width="10.85546875" style="5" customWidth="1"/>
    <col min="13326" max="13326" width="17.5703125" style="5" customWidth="1"/>
    <col min="13327" max="13327" width="13" style="5" customWidth="1"/>
    <col min="13328" max="13328" width="11" style="5" customWidth="1"/>
    <col min="13329" max="13568" width="9.140625" style="5"/>
    <col min="13569" max="13569" width="4.28515625" style="5" customWidth="1"/>
    <col min="13570" max="13570" width="25" style="5" customWidth="1"/>
    <col min="13571" max="13571" width="6.7109375" style="5" customWidth="1"/>
    <col min="13572" max="13574" width="9.28515625" style="5" customWidth="1"/>
    <col min="13575" max="13575" width="9.140625" style="5"/>
    <col min="13576" max="13576" width="11" style="5" customWidth="1"/>
    <col min="13577" max="13577" width="11.5703125" style="5" customWidth="1"/>
    <col min="13578" max="13578" width="10.7109375" style="5" customWidth="1"/>
    <col min="13579" max="13579" width="11.7109375" style="5" customWidth="1"/>
    <col min="13580" max="13580" width="11.140625" style="5" customWidth="1"/>
    <col min="13581" max="13581" width="10.85546875" style="5" customWidth="1"/>
    <col min="13582" max="13582" width="17.5703125" style="5" customWidth="1"/>
    <col min="13583" max="13583" width="13" style="5" customWidth="1"/>
    <col min="13584" max="13584" width="11" style="5" customWidth="1"/>
    <col min="13585" max="13824" width="9.140625" style="5"/>
    <col min="13825" max="13825" width="4.28515625" style="5" customWidth="1"/>
    <col min="13826" max="13826" width="25" style="5" customWidth="1"/>
    <col min="13827" max="13827" width="6.7109375" style="5" customWidth="1"/>
    <col min="13828" max="13830" width="9.28515625" style="5" customWidth="1"/>
    <col min="13831" max="13831" width="9.140625" style="5"/>
    <col min="13832" max="13832" width="11" style="5" customWidth="1"/>
    <col min="13833" max="13833" width="11.5703125" style="5" customWidth="1"/>
    <col min="13834" max="13834" width="10.7109375" style="5" customWidth="1"/>
    <col min="13835" max="13835" width="11.7109375" style="5" customWidth="1"/>
    <col min="13836" max="13836" width="11.140625" style="5" customWidth="1"/>
    <col min="13837" max="13837" width="10.85546875" style="5" customWidth="1"/>
    <col min="13838" max="13838" width="17.5703125" style="5" customWidth="1"/>
    <col min="13839" max="13839" width="13" style="5" customWidth="1"/>
    <col min="13840" max="13840" width="11" style="5" customWidth="1"/>
    <col min="13841" max="14080" width="9.140625" style="5"/>
    <col min="14081" max="14081" width="4.28515625" style="5" customWidth="1"/>
    <col min="14082" max="14082" width="25" style="5" customWidth="1"/>
    <col min="14083" max="14083" width="6.7109375" style="5" customWidth="1"/>
    <col min="14084" max="14086" width="9.28515625" style="5" customWidth="1"/>
    <col min="14087" max="14087" width="9.140625" style="5"/>
    <col min="14088" max="14088" width="11" style="5" customWidth="1"/>
    <col min="14089" max="14089" width="11.5703125" style="5" customWidth="1"/>
    <col min="14090" max="14090" width="10.7109375" style="5" customWidth="1"/>
    <col min="14091" max="14091" width="11.7109375" style="5" customWidth="1"/>
    <col min="14092" max="14092" width="11.140625" style="5" customWidth="1"/>
    <col min="14093" max="14093" width="10.85546875" style="5" customWidth="1"/>
    <col min="14094" max="14094" width="17.5703125" style="5" customWidth="1"/>
    <col min="14095" max="14095" width="13" style="5" customWidth="1"/>
    <col min="14096" max="14096" width="11" style="5" customWidth="1"/>
    <col min="14097" max="14336" width="9.140625" style="5"/>
    <col min="14337" max="14337" width="4.28515625" style="5" customWidth="1"/>
    <col min="14338" max="14338" width="25" style="5" customWidth="1"/>
    <col min="14339" max="14339" width="6.7109375" style="5" customWidth="1"/>
    <col min="14340" max="14342" width="9.28515625" style="5" customWidth="1"/>
    <col min="14343" max="14343" width="9.140625" style="5"/>
    <col min="14344" max="14344" width="11" style="5" customWidth="1"/>
    <col min="14345" max="14345" width="11.5703125" style="5" customWidth="1"/>
    <col min="14346" max="14346" width="10.7109375" style="5" customWidth="1"/>
    <col min="14347" max="14347" width="11.7109375" style="5" customWidth="1"/>
    <col min="14348" max="14348" width="11.140625" style="5" customWidth="1"/>
    <col min="14349" max="14349" width="10.85546875" style="5" customWidth="1"/>
    <col min="14350" max="14350" width="17.5703125" style="5" customWidth="1"/>
    <col min="14351" max="14351" width="13" style="5" customWidth="1"/>
    <col min="14352" max="14352" width="11" style="5" customWidth="1"/>
    <col min="14353" max="14592" width="9.140625" style="5"/>
    <col min="14593" max="14593" width="4.28515625" style="5" customWidth="1"/>
    <col min="14594" max="14594" width="25" style="5" customWidth="1"/>
    <col min="14595" max="14595" width="6.7109375" style="5" customWidth="1"/>
    <col min="14596" max="14598" width="9.28515625" style="5" customWidth="1"/>
    <col min="14599" max="14599" width="9.140625" style="5"/>
    <col min="14600" max="14600" width="11" style="5" customWidth="1"/>
    <col min="14601" max="14601" width="11.5703125" style="5" customWidth="1"/>
    <col min="14602" max="14602" width="10.7109375" style="5" customWidth="1"/>
    <col min="14603" max="14603" width="11.7109375" style="5" customWidth="1"/>
    <col min="14604" max="14604" width="11.140625" style="5" customWidth="1"/>
    <col min="14605" max="14605" width="10.85546875" style="5" customWidth="1"/>
    <col min="14606" max="14606" width="17.5703125" style="5" customWidth="1"/>
    <col min="14607" max="14607" width="13" style="5" customWidth="1"/>
    <col min="14608" max="14608" width="11" style="5" customWidth="1"/>
    <col min="14609" max="14848" width="9.140625" style="5"/>
    <col min="14849" max="14849" width="4.28515625" style="5" customWidth="1"/>
    <col min="14850" max="14850" width="25" style="5" customWidth="1"/>
    <col min="14851" max="14851" width="6.7109375" style="5" customWidth="1"/>
    <col min="14852" max="14854" width="9.28515625" style="5" customWidth="1"/>
    <col min="14855" max="14855" width="9.140625" style="5"/>
    <col min="14856" max="14856" width="11" style="5" customWidth="1"/>
    <col min="14857" max="14857" width="11.5703125" style="5" customWidth="1"/>
    <col min="14858" max="14858" width="10.7109375" style="5" customWidth="1"/>
    <col min="14859" max="14859" width="11.7109375" style="5" customWidth="1"/>
    <col min="14860" max="14860" width="11.140625" style="5" customWidth="1"/>
    <col min="14861" max="14861" width="10.85546875" style="5" customWidth="1"/>
    <col min="14862" max="14862" width="17.5703125" style="5" customWidth="1"/>
    <col min="14863" max="14863" width="13" style="5" customWidth="1"/>
    <col min="14864" max="14864" width="11" style="5" customWidth="1"/>
    <col min="14865" max="15104" width="9.140625" style="5"/>
    <col min="15105" max="15105" width="4.28515625" style="5" customWidth="1"/>
    <col min="15106" max="15106" width="25" style="5" customWidth="1"/>
    <col min="15107" max="15107" width="6.7109375" style="5" customWidth="1"/>
    <col min="15108" max="15110" width="9.28515625" style="5" customWidth="1"/>
    <col min="15111" max="15111" width="9.140625" style="5"/>
    <col min="15112" max="15112" width="11" style="5" customWidth="1"/>
    <col min="15113" max="15113" width="11.5703125" style="5" customWidth="1"/>
    <col min="15114" max="15114" width="10.7109375" style="5" customWidth="1"/>
    <col min="15115" max="15115" width="11.7109375" style="5" customWidth="1"/>
    <col min="15116" max="15116" width="11.140625" style="5" customWidth="1"/>
    <col min="15117" max="15117" width="10.85546875" style="5" customWidth="1"/>
    <col min="15118" max="15118" width="17.5703125" style="5" customWidth="1"/>
    <col min="15119" max="15119" width="13" style="5" customWidth="1"/>
    <col min="15120" max="15120" width="11" style="5" customWidth="1"/>
    <col min="15121" max="15360" width="9.140625" style="5"/>
    <col min="15361" max="15361" width="4.28515625" style="5" customWidth="1"/>
    <col min="15362" max="15362" width="25" style="5" customWidth="1"/>
    <col min="15363" max="15363" width="6.7109375" style="5" customWidth="1"/>
    <col min="15364" max="15366" width="9.28515625" style="5" customWidth="1"/>
    <col min="15367" max="15367" width="9.140625" style="5"/>
    <col min="15368" max="15368" width="11" style="5" customWidth="1"/>
    <col min="15369" max="15369" width="11.5703125" style="5" customWidth="1"/>
    <col min="15370" max="15370" width="10.7109375" style="5" customWidth="1"/>
    <col min="15371" max="15371" width="11.7109375" style="5" customWidth="1"/>
    <col min="15372" max="15372" width="11.140625" style="5" customWidth="1"/>
    <col min="15373" max="15373" width="10.85546875" style="5" customWidth="1"/>
    <col min="15374" max="15374" width="17.5703125" style="5" customWidth="1"/>
    <col min="15375" max="15375" width="13" style="5" customWidth="1"/>
    <col min="15376" max="15376" width="11" style="5" customWidth="1"/>
    <col min="15377" max="15616" width="9.140625" style="5"/>
    <col min="15617" max="15617" width="4.28515625" style="5" customWidth="1"/>
    <col min="15618" max="15618" width="25" style="5" customWidth="1"/>
    <col min="15619" max="15619" width="6.7109375" style="5" customWidth="1"/>
    <col min="15620" max="15622" width="9.28515625" style="5" customWidth="1"/>
    <col min="15623" max="15623" width="9.140625" style="5"/>
    <col min="15624" max="15624" width="11" style="5" customWidth="1"/>
    <col min="15625" max="15625" width="11.5703125" style="5" customWidth="1"/>
    <col min="15626" max="15626" width="10.7109375" style="5" customWidth="1"/>
    <col min="15627" max="15627" width="11.7109375" style="5" customWidth="1"/>
    <col min="15628" max="15628" width="11.140625" style="5" customWidth="1"/>
    <col min="15629" max="15629" width="10.85546875" style="5" customWidth="1"/>
    <col min="15630" max="15630" width="17.5703125" style="5" customWidth="1"/>
    <col min="15631" max="15631" width="13" style="5" customWidth="1"/>
    <col min="15632" max="15632" width="11" style="5" customWidth="1"/>
    <col min="15633" max="15872" width="9.140625" style="5"/>
    <col min="15873" max="15873" width="4.28515625" style="5" customWidth="1"/>
    <col min="15874" max="15874" width="25" style="5" customWidth="1"/>
    <col min="15875" max="15875" width="6.7109375" style="5" customWidth="1"/>
    <col min="15876" max="15878" width="9.28515625" style="5" customWidth="1"/>
    <col min="15879" max="15879" width="9.140625" style="5"/>
    <col min="15880" max="15880" width="11" style="5" customWidth="1"/>
    <col min="15881" max="15881" width="11.5703125" style="5" customWidth="1"/>
    <col min="15882" max="15882" width="10.7109375" style="5" customWidth="1"/>
    <col min="15883" max="15883" width="11.7109375" style="5" customWidth="1"/>
    <col min="15884" max="15884" width="11.140625" style="5" customWidth="1"/>
    <col min="15885" max="15885" width="10.85546875" style="5" customWidth="1"/>
    <col min="15886" max="15886" width="17.5703125" style="5" customWidth="1"/>
    <col min="15887" max="15887" width="13" style="5" customWidth="1"/>
    <col min="15888" max="15888" width="11" style="5" customWidth="1"/>
    <col min="15889" max="16128" width="9.140625" style="5"/>
    <col min="16129" max="16129" width="4.28515625" style="5" customWidth="1"/>
    <col min="16130" max="16130" width="25" style="5" customWidth="1"/>
    <col min="16131" max="16131" width="6.7109375" style="5" customWidth="1"/>
    <col min="16132" max="16134" width="9.28515625" style="5" customWidth="1"/>
    <col min="16135" max="16135" width="9.140625" style="5"/>
    <col min="16136" max="16136" width="11" style="5" customWidth="1"/>
    <col min="16137" max="16137" width="11.5703125" style="5" customWidth="1"/>
    <col min="16138" max="16138" width="10.7109375" style="5" customWidth="1"/>
    <col min="16139" max="16139" width="11.7109375" style="5" customWidth="1"/>
    <col min="16140" max="16140" width="11.140625" style="5" customWidth="1"/>
    <col min="16141" max="16141" width="10.85546875" style="5" customWidth="1"/>
    <col min="16142" max="16142" width="17.5703125" style="5" customWidth="1"/>
    <col min="16143" max="16143" width="13" style="5" customWidth="1"/>
    <col min="16144" max="16144" width="11" style="5" customWidth="1"/>
    <col min="16145" max="16384" width="9.140625" style="5"/>
  </cols>
  <sheetData>
    <row r="1" spans="1:16" ht="22.5" customHeight="1" x14ac:dyDescent="0.35">
      <c r="A1" s="1" t="s">
        <v>0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4"/>
      <c r="N1" s="4"/>
    </row>
    <row r="2" spans="1:16" ht="6.75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</row>
    <row r="3" spans="1:16" ht="12.75" customHeight="1" x14ac:dyDescent="0.2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11"/>
    </row>
    <row r="4" spans="1:16" ht="12.75" customHeight="1" x14ac:dyDescent="0.2">
      <c r="A4" s="12" t="s">
        <v>2</v>
      </c>
      <c r="B4" s="13"/>
      <c r="C4" s="14" t="s">
        <v>3</v>
      </c>
      <c r="D4" s="15"/>
      <c r="E4" s="15"/>
      <c r="F4" s="15"/>
      <c r="H4" s="13" t="s">
        <v>4</v>
      </c>
      <c r="I4" s="14" t="s">
        <v>5</v>
      </c>
      <c r="J4" s="13"/>
      <c r="K4" s="13"/>
      <c r="L4" s="16"/>
      <c r="M4" s="17"/>
      <c r="N4" s="17"/>
    </row>
    <row r="5" spans="1:16" ht="12.75" customHeight="1" x14ac:dyDescent="0.2">
      <c r="A5" s="12" t="s">
        <v>6</v>
      </c>
      <c r="B5" s="13"/>
      <c r="C5" s="14" t="s">
        <v>7</v>
      </c>
      <c r="D5" s="15"/>
      <c r="E5" s="15"/>
      <c r="F5" s="15"/>
      <c r="H5" s="13" t="s">
        <v>8</v>
      </c>
      <c r="I5" s="18">
        <v>44299.157726041667</v>
      </c>
      <c r="J5" s="13"/>
      <c r="K5" s="13"/>
      <c r="L5" s="14"/>
      <c r="M5" s="17"/>
      <c r="N5" s="17"/>
    </row>
    <row r="6" spans="1:16" ht="12.75" customHeight="1" x14ac:dyDescent="0.2">
      <c r="A6" s="12" t="s">
        <v>9</v>
      </c>
      <c r="B6" s="13"/>
      <c r="C6" s="14" t="s">
        <v>10</v>
      </c>
      <c r="D6" s="15"/>
      <c r="E6" s="15"/>
      <c r="F6" s="15"/>
      <c r="H6" s="13" t="s">
        <v>8</v>
      </c>
      <c r="I6" s="19">
        <v>44299.157726041667</v>
      </c>
      <c r="K6" s="13"/>
      <c r="L6" s="20"/>
      <c r="M6" s="17"/>
      <c r="N6" s="17"/>
    </row>
    <row r="7" spans="1:16" ht="12.75" customHeight="1" thickBot="1" x14ac:dyDescent="0.25">
      <c r="A7" s="12" t="s">
        <v>11</v>
      </c>
      <c r="B7" s="13"/>
      <c r="C7" s="21">
        <v>591</v>
      </c>
      <c r="D7" s="15"/>
      <c r="E7" s="15"/>
      <c r="F7" s="15"/>
      <c r="H7" s="13" t="s">
        <v>12</v>
      </c>
      <c r="I7" s="22" t="s">
        <v>5</v>
      </c>
      <c r="J7" s="23"/>
      <c r="K7" s="13"/>
      <c r="L7" s="22"/>
      <c r="M7" s="24"/>
      <c r="N7" s="24"/>
    </row>
    <row r="8" spans="1:16" ht="12.75" customHeight="1" x14ac:dyDescent="0.2">
      <c r="A8" s="25"/>
      <c r="B8" s="25"/>
      <c r="C8" s="25"/>
      <c r="D8" s="25"/>
      <c r="E8" s="25"/>
      <c r="F8" s="25"/>
      <c r="G8" s="25"/>
      <c r="H8" s="25"/>
      <c r="I8" s="26"/>
      <c r="J8" s="26"/>
      <c r="K8" s="25"/>
      <c r="L8" s="25"/>
      <c r="M8" s="26"/>
      <c r="N8" s="26"/>
    </row>
    <row r="9" spans="1:16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16" ht="21" customHeight="1" x14ac:dyDescent="0.35">
      <c r="A10" s="27" t="s">
        <v>13</v>
      </c>
      <c r="B10" s="28"/>
      <c r="C10" s="28"/>
      <c r="D10" s="29"/>
      <c r="E10" s="29"/>
      <c r="F10" s="28"/>
      <c r="G10" s="28"/>
      <c r="H10" s="28"/>
      <c r="I10" s="28"/>
      <c r="J10" s="28"/>
      <c r="K10" s="28"/>
      <c r="L10" s="28"/>
      <c r="M10" s="28"/>
      <c r="N10" s="28"/>
    </row>
    <row r="11" spans="1:16" ht="4.5" customHeight="1" x14ac:dyDescent="0.2">
      <c r="A11" s="3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6" ht="13.5" customHeight="1" x14ac:dyDescent="0.2">
      <c r="A12" s="31" t="s">
        <v>14</v>
      </c>
      <c r="B12" s="10"/>
      <c r="C12" s="10"/>
      <c r="D12" s="32" t="s">
        <v>15</v>
      </c>
      <c r="E12" s="32" t="s">
        <v>16</v>
      </c>
      <c r="F12" s="32" t="s">
        <v>17</v>
      </c>
      <c r="G12" s="33" t="s">
        <v>18</v>
      </c>
      <c r="H12" s="33" t="s">
        <v>19</v>
      </c>
      <c r="I12" s="33" t="s">
        <v>20</v>
      </c>
      <c r="J12" s="33" t="s">
        <v>21</v>
      </c>
      <c r="K12" s="33" t="s">
        <v>22</v>
      </c>
      <c r="L12" s="33" t="s">
        <v>23</v>
      </c>
      <c r="M12" s="33" t="s">
        <v>24</v>
      </c>
      <c r="N12" s="33" t="s">
        <v>25</v>
      </c>
      <c r="O12" s="33" t="s">
        <v>26</v>
      </c>
      <c r="P12" s="33" t="s">
        <v>27</v>
      </c>
    </row>
    <row r="13" spans="1:16" ht="12.75" customHeight="1" x14ac:dyDescent="0.2">
      <c r="A13" s="34" t="s">
        <v>28</v>
      </c>
      <c r="B13" s="35" t="s">
        <v>29</v>
      </c>
      <c r="C13" s="34" t="s">
        <v>30</v>
      </c>
      <c r="D13" s="36" t="s">
        <v>31</v>
      </c>
      <c r="E13" s="36" t="s">
        <v>31</v>
      </c>
      <c r="F13" s="36" t="s">
        <v>31</v>
      </c>
      <c r="G13" s="36" t="s">
        <v>31</v>
      </c>
      <c r="H13" s="36" t="s">
        <v>32</v>
      </c>
      <c r="I13" s="36" t="s">
        <v>31</v>
      </c>
      <c r="J13" s="36" t="s">
        <v>31</v>
      </c>
      <c r="K13" s="36" t="s">
        <v>31</v>
      </c>
      <c r="L13" s="36" t="s">
        <v>31</v>
      </c>
      <c r="M13" s="36" t="s">
        <v>31</v>
      </c>
      <c r="N13" s="36" t="s">
        <v>32</v>
      </c>
      <c r="O13" s="36" t="s">
        <v>32</v>
      </c>
      <c r="P13" s="36" t="s">
        <v>32</v>
      </c>
    </row>
    <row r="14" spans="1:16" ht="12.75" customHeight="1" x14ac:dyDescent="0.2">
      <c r="A14" s="35" t="s">
        <v>33</v>
      </c>
      <c r="B14" s="35" t="s">
        <v>33</v>
      </c>
      <c r="C14" s="35" t="s">
        <v>33</v>
      </c>
      <c r="D14" s="37" t="s">
        <v>34</v>
      </c>
      <c r="E14" s="37" t="s">
        <v>34</v>
      </c>
      <c r="F14" s="37" t="s">
        <v>34</v>
      </c>
      <c r="G14" s="37" t="s">
        <v>35</v>
      </c>
      <c r="H14" s="37" t="s">
        <v>34</v>
      </c>
      <c r="I14" s="37" t="s">
        <v>34</v>
      </c>
      <c r="J14" s="37" t="s">
        <v>34</v>
      </c>
      <c r="K14" s="37" t="s">
        <v>34</v>
      </c>
      <c r="L14" s="37" t="s">
        <v>34</v>
      </c>
      <c r="M14" s="37" t="s">
        <v>34</v>
      </c>
      <c r="N14" s="37" t="s">
        <v>34</v>
      </c>
      <c r="O14" s="37" t="s">
        <v>34</v>
      </c>
      <c r="P14" s="37" t="s">
        <v>34</v>
      </c>
    </row>
    <row r="15" spans="1:16" ht="12.75" customHeight="1" x14ac:dyDescent="0.2">
      <c r="A15" s="38" t="s">
        <v>33</v>
      </c>
      <c r="B15" s="38" t="s">
        <v>33</v>
      </c>
      <c r="C15" s="38" t="s">
        <v>33</v>
      </c>
      <c r="D15" s="37" t="s">
        <v>36</v>
      </c>
      <c r="E15" s="37" t="s">
        <v>36</v>
      </c>
      <c r="F15" s="37" t="s">
        <v>36</v>
      </c>
      <c r="G15" s="37" t="s">
        <v>36</v>
      </c>
      <c r="H15" s="37" t="s">
        <v>37</v>
      </c>
      <c r="I15" s="37" t="s">
        <v>37</v>
      </c>
      <c r="J15" s="37" t="s">
        <v>37</v>
      </c>
      <c r="K15" s="37" t="s">
        <v>37</v>
      </c>
      <c r="L15" s="37" t="s">
        <v>37</v>
      </c>
      <c r="M15" s="37" t="s">
        <v>37</v>
      </c>
      <c r="N15" s="37" t="s">
        <v>37</v>
      </c>
      <c r="O15" s="37" t="s">
        <v>36</v>
      </c>
      <c r="P15" s="37" t="s">
        <v>36</v>
      </c>
    </row>
    <row r="16" spans="1:16" ht="12.75" customHeight="1" x14ac:dyDescent="0.2">
      <c r="A16" s="35" t="s">
        <v>33</v>
      </c>
      <c r="B16" s="35" t="s">
        <v>33</v>
      </c>
      <c r="C16" s="35" t="s">
        <v>33</v>
      </c>
      <c r="D16" s="37" t="s">
        <v>15</v>
      </c>
      <c r="E16" s="37" t="s">
        <v>16</v>
      </c>
      <c r="F16" s="37" t="s">
        <v>17</v>
      </c>
      <c r="G16" s="37" t="s">
        <v>18</v>
      </c>
      <c r="H16" s="37" t="s">
        <v>19</v>
      </c>
      <c r="I16" s="37" t="s">
        <v>20</v>
      </c>
      <c r="J16" s="37" t="s">
        <v>21</v>
      </c>
      <c r="K16" s="37" t="s">
        <v>22</v>
      </c>
      <c r="L16" s="37" t="s">
        <v>23</v>
      </c>
      <c r="M16" s="37" t="s">
        <v>24</v>
      </c>
      <c r="N16" s="37" t="s">
        <v>25</v>
      </c>
      <c r="O16" s="37" t="s">
        <v>26</v>
      </c>
      <c r="P16" s="37" t="s">
        <v>27</v>
      </c>
    </row>
    <row r="17" spans="1:26" ht="13.5" customHeight="1" x14ac:dyDescent="0.2">
      <c r="A17" s="39">
        <v>25</v>
      </c>
      <c r="B17" s="39" t="s">
        <v>38</v>
      </c>
      <c r="C17" s="40">
        <v>10</v>
      </c>
      <c r="D17" s="41">
        <v>103.13091007087604</v>
      </c>
      <c r="E17" s="41">
        <v>95.650057421444856</v>
      </c>
      <c r="F17" s="41">
        <v>0.1360642190980963</v>
      </c>
      <c r="G17" s="41">
        <v>7.914558268258326E-2</v>
      </c>
      <c r="H17" s="41" t="s">
        <v>39</v>
      </c>
      <c r="I17" s="41">
        <v>7.0494681512201973</v>
      </c>
      <c r="J17" s="41" t="s">
        <v>39</v>
      </c>
      <c r="K17" s="41">
        <v>4.2526366764539505</v>
      </c>
      <c r="L17" s="41" t="s">
        <v>39</v>
      </c>
      <c r="M17" s="41" t="s">
        <v>39</v>
      </c>
      <c r="N17" s="42">
        <v>5.843056053091425E-2</v>
      </c>
      <c r="O17" s="42">
        <v>1.0984877939731008</v>
      </c>
      <c r="P17" s="42" t="s">
        <v>39</v>
      </c>
      <c r="Z17" s="43"/>
    </row>
    <row r="18" spans="1:26" ht="13.5" customHeight="1" x14ac:dyDescent="0.2">
      <c r="A18" s="39">
        <v>26</v>
      </c>
      <c r="B18" s="39" t="s">
        <v>40</v>
      </c>
      <c r="C18" s="40">
        <v>10</v>
      </c>
      <c r="D18" s="41">
        <v>111.48141737943109</v>
      </c>
      <c r="E18" s="41">
        <v>103.15763551330214</v>
      </c>
      <c r="F18" s="41">
        <v>0.12453331210689587</v>
      </c>
      <c r="G18" s="41">
        <v>9.4964659389010511E-2</v>
      </c>
      <c r="H18" s="41" t="s">
        <v>39</v>
      </c>
      <c r="I18" s="41">
        <v>8.1894382761305078</v>
      </c>
      <c r="J18" s="41" t="s">
        <v>39</v>
      </c>
      <c r="K18" s="41">
        <v>4.5929912650979414</v>
      </c>
      <c r="L18" s="41" t="s">
        <v>39</v>
      </c>
      <c r="M18" s="41" t="s">
        <v>39</v>
      </c>
      <c r="N18" s="42">
        <v>7.2054209502227129E-2</v>
      </c>
      <c r="O18" s="42">
        <v>1.0447165888439034</v>
      </c>
      <c r="P18" s="42" t="s">
        <v>39</v>
      </c>
      <c r="Z18" s="43"/>
    </row>
    <row r="19" spans="1:26" ht="13.5" customHeight="1" x14ac:dyDescent="0.2">
      <c r="A19" s="39">
        <v>27</v>
      </c>
      <c r="B19" s="39" t="s">
        <v>41</v>
      </c>
      <c r="C19" s="40">
        <v>10</v>
      </c>
      <c r="D19" s="41">
        <v>102.78058820918534</v>
      </c>
      <c r="E19" s="41">
        <v>95.470232291297364</v>
      </c>
      <c r="F19" s="41">
        <v>0.10393086904173919</v>
      </c>
      <c r="G19" s="41">
        <v>0.11167911956269005</v>
      </c>
      <c r="H19" s="41">
        <v>0.29317309470786401</v>
      </c>
      <c r="I19" s="41">
        <v>9.2457479375951284</v>
      </c>
      <c r="J19" s="41" t="s">
        <v>39</v>
      </c>
      <c r="K19" s="41">
        <v>4.3642481295558406</v>
      </c>
      <c r="L19" s="41" t="s">
        <v>39</v>
      </c>
      <c r="M19" s="41" t="s">
        <v>39</v>
      </c>
      <c r="N19" s="42">
        <v>9.7667212469504189E-2</v>
      </c>
      <c r="O19" s="42">
        <v>1.1532834461471919</v>
      </c>
      <c r="P19" s="42" t="s">
        <v>39</v>
      </c>
      <c r="Z19" s="43"/>
    </row>
    <row r="20" spans="1:26" ht="13.5" customHeight="1" x14ac:dyDescent="0.2">
      <c r="A20" s="39">
        <v>28</v>
      </c>
      <c r="B20" s="39" t="s">
        <v>42</v>
      </c>
      <c r="C20" s="40">
        <v>10</v>
      </c>
      <c r="D20" s="41">
        <v>103.21035142168594</v>
      </c>
      <c r="E20" s="41">
        <v>94.707541542331967</v>
      </c>
      <c r="F20" s="41">
        <v>0.46546863566856361</v>
      </c>
      <c r="G20" s="41">
        <v>0.10701302705980477</v>
      </c>
      <c r="H20" s="41">
        <v>0.10554677118805034</v>
      </c>
      <c r="I20" s="41">
        <v>11.044929175603201</v>
      </c>
      <c r="J20" s="41" t="s">
        <v>39</v>
      </c>
      <c r="K20" s="41">
        <v>4.8832537161031562</v>
      </c>
      <c r="L20" s="41" t="s">
        <v>39</v>
      </c>
      <c r="M20" s="41">
        <v>0.44414688875540209</v>
      </c>
      <c r="N20" s="42" t="s">
        <v>39</v>
      </c>
      <c r="O20" s="42">
        <v>1.6052676109885546</v>
      </c>
      <c r="P20" s="42" t="s">
        <v>39</v>
      </c>
      <c r="Z20" s="43"/>
    </row>
    <row r="21" spans="1:26" ht="13.5" customHeight="1" x14ac:dyDescent="0.2">
      <c r="A21" s="39">
        <v>29</v>
      </c>
      <c r="B21" s="39" t="s">
        <v>43</v>
      </c>
      <c r="C21" s="40">
        <v>10</v>
      </c>
      <c r="D21" s="41">
        <v>102.37723696976921</v>
      </c>
      <c r="E21" s="41">
        <v>93.24219583309231</v>
      </c>
      <c r="F21" s="41">
        <v>6.3011501078628795E-2</v>
      </c>
      <c r="G21" s="41">
        <v>9.9720371240560962E-2</v>
      </c>
      <c r="H21" s="41">
        <v>0.70240766072383731</v>
      </c>
      <c r="I21" s="41">
        <v>6.2118057682077401</v>
      </c>
      <c r="J21" s="41" t="s">
        <v>39</v>
      </c>
      <c r="K21" s="41">
        <v>4.2379906648834336</v>
      </c>
      <c r="L21" s="41">
        <v>0.69399665340067718</v>
      </c>
      <c r="M21" s="41" t="s">
        <v>39</v>
      </c>
      <c r="N21" s="42" t="s">
        <v>39</v>
      </c>
      <c r="O21" s="42">
        <v>1.1112442847494712</v>
      </c>
      <c r="P21" s="42" t="s">
        <v>39</v>
      </c>
      <c r="Z21" s="43"/>
    </row>
    <row r="22" spans="1:26" ht="13.5" customHeight="1" x14ac:dyDescent="0.2">
      <c r="A22" s="39">
        <v>30</v>
      </c>
      <c r="B22" s="39" t="s">
        <v>44</v>
      </c>
      <c r="C22" s="40">
        <v>10</v>
      </c>
      <c r="D22" s="41">
        <v>102.13561547579828</v>
      </c>
      <c r="E22" s="41">
        <v>94.93621541469615</v>
      </c>
      <c r="F22" s="41">
        <v>9.7392828055526834E-2</v>
      </c>
      <c r="G22" s="41">
        <v>0.10444760990945456</v>
      </c>
      <c r="H22" s="41">
        <v>8.7453773742873619E-3</v>
      </c>
      <c r="I22" s="41">
        <v>6.2375124883615491</v>
      </c>
      <c r="J22" s="41" t="s">
        <v>39</v>
      </c>
      <c r="K22" s="41">
        <v>4.2353263707645814</v>
      </c>
      <c r="L22" s="41">
        <v>3.2710441588654996E-4</v>
      </c>
      <c r="M22" s="41" t="s">
        <v>39</v>
      </c>
      <c r="N22" s="42" t="s">
        <v>39</v>
      </c>
      <c r="O22" s="42">
        <v>0.82883427875349325</v>
      </c>
      <c r="P22" s="42" t="s">
        <v>39</v>
      </c>
      <c r="Z22" s="43"/>
    </row>
    <row r="23" spans="1:26" ht="13.5" customHeight="1" x14ac:dyDescent="0.2">
      <c r="A23" s="39">
        <v>31</v>
      </c>
      <c r="B23" s="39" t="s">
        <v>45</v>
      </c>
      <c r="C23" s="40">
        <v>10</v>
      </c>
      <c r="D23" s="41">
        <v>102.98283351359808</v>
      </c>
      <c r="E23" s="41">
        <v>95.443673697745353</v>
      </c>
      <c r="F23" s="41">
        <v>6.5910598290170527E-2</v>
      </c>
      <c r="G23" s="41">
        <v>9.2782179932032388E-2</v>
      </c>
      <c r="H23" s="41" t="s">
        <v>39</v>
      </c>
      <c r="I23" s="41">
        <v>6.2887012762578181</v>
      </c>
      <c r="J23" s="41" t="s">
        <v>39</v>
      </c>
      <c r="K23" s="41">
        <v>4.3252884663580291</v>
      </c>
      <c r="L23" s="41" t="s">
        <v>39</v>
      </c>
      <c r="M23" s="41" t="s">
        <v>39</v>
      </c>
      <c r="N23" s="42" t="s">
        <v>39</v>
      </c>
      <c r="O23" s="42">
        <v>1.1836965552730827</v>
      </c>
      <c r="P23" s="42" t="s">
        <v>39</v>
      </c>
      <c r="Z23" s="43"/>
    </row>
    <row r="24" spans="1:26" ht="13.5" customHeight="1" x14ac:dyDescent="0.2">
      <c r="A24" s="39">
        <v>32</v>
      </c>
      <c r="B24" s="39" t="s">
        <v>46</v>
      </c>
      <c r="C24" s="40">
        <v>10</v>
      </c>
      <c r="D24" s="41">
        <v>119.54621330108461</v>
      </c>
      <c r="E24" s="41">
        <v>109.11963895940386</v>
      </c>
      <c r="F24" s="41">
        <v>0.11719485837741395</v>
      </c>
      <c r="G24" s="41">
        <v>3.2849999117862579E-2</v>
      </c>
      <c r="H24" s="41">
        <v>0.58123563566927483</v>
      </c>
      <c r="I24" s="41">
        <v>7.3849769049040139</v>
      </c>
      <c r="J24" s="41" t="s">
        <v>39</v>
      </c>
      <c r="K24" s="41">
        <v>5.0841883070533012</v>
      </c>
      <c r="L24" s="41">
        <v>0.64434847323251321</v>
      </c>
      <c r="M24" s="41">
        <v>0.28427525607976212</v>
      </c>
      <c r="N24" s="42" t="s">
        <v>39</v>
      </c>
      <c r="O24" s="42">
        <v>0.60392606827345663</v>
      </c>
      <c r="P24" s="42" t="s">
        <v>39</v>
      </c>
      <c r="Z24" s="43"/>
    </row>
    <row r="25" spans="1:26" ht="13.5" customHeight="1" x14ac:dyDescent="0.2">
      <c r="A25" s="39">
        <v>33</v>
      </c>
      <c r="B25" s="39" t="s">
        <v>47</v>
      </c>
      <c r="C25" s="40">
        <v>10</v>
      </c>
      <c r="D25" s="41">
        <v>102.97925174831317</v>
      </c>
      <c r="E25" s="41">
        <v>95.395858616763419</v>
      </c>
      <c r="F25" s="41">
        <v>6.5342069341925171E-2</v>
      </c>
      <c r="G25" s="41">
        <v>0.34869996815062998</v>
      </c>
      <c r="H25" s="41">
        <v>0.15709880125944614</v>
      </c>
      <c r="I25" s="41">
        <v>6.237517985869248</v>
      </c>
      <c r="J25" s="41" t="s">
        <v>39</v>
      </c>
      <c r="K25" s="41">
        <v>4.2615382906168877</v>
      </c>
      <c r="L25" s="41">
        <v>6.1455871860367321E-3</v>
      </c>
      <c r="M25" s="41" t="s">
        <v>39</v>
      </c>
      <c r="N25" s="42" t="s">
        <v>39</v>
      </c>
      <c r="O25" s="42">
        <v>1.2614331622500707</v>
      </c>
      <c r="P25" s="42" t="s">
        <v>39</v>
      </c>
      <c r="Z25" s="43"/>
    </row>
    <row r="26" spans="1:26" ht="13.5" customHeight="1" x14ac:dyDescent="0.2">
      <c r="A26" s="39">
        <v>34</v>
      </c>
      <c r="B26" s="39" t="s">
        <v>48</v>
      </c>
      <c r="C26" s="40">
        <v>10</v>
      </c>
      <c r="D26" s="41">
        <v>101.67180380245995</v>
      </c>
      <c r="E26" s="41">
        <v>94.558015708161378</v>
      </c>
      <c r="F26" s="41">
        <v>8.227854969271936E-2</v>
      </c>
      <c r="G26" s="41">
        <v>9.0542308784099926E-2</v>
      </c>
      <c r="H26" s="41">
        <v>4.179621873801885E-2</v>
      </c>
      <c r="I26" s="41">
        <v>6.244688185909383</v>
      </c>
      <c r="J26" s="41" t="s">
        <v>39</v>
      </c>
      <c r="K26" s="41">
        <v>4.2059393374826435</v>
      </c>
      <c r="L26" s="41" t="s">
        <v>39</v>
      </c>
      <c r="M26" s="41" t="s">
        <v>39</v>
      </c>
      <c r="N26" s="42" t="s">
        <v>39</v>
      </c>
      <c r="O26" s="42">
        <v>0.9530035161349435</v>
      </c>
      <c r="P26" s="42" t="s">
        <v>39</v>
      </c>
      <c r="Z26" s="43"/>
    </row>
    <row r="27" spans="1:26" ht="13.5" customHeight="1" x14ac:dyDescent="0.2">
      <c r="A27" s="39">
        <v>35</v>
      </c>
      <c r="B27" s="39" t="s">
        <v>49</v>
      </c>
      <c r="C27" s="40">
        <v>10</v>
      </c>
      <c r="D27" s="41">
        <v>102.47100602710817</v>
      </c>
      <c r="E27" s="41">
        <v>95.102944053623801</v>
      </c>
      <c r="F27" s="41">
        <v>9.7920581963314379E-2</v>
      </c>
      <c r="G27" s="41">
        <v>0.14318520820791503</v>
      </c>
      <c r="H27" s="41">
        <v>0.22569881800761815</v>
      </c>
      <c r="I27" s="41">
        <v>6.4349186536580039</v>
      </c>
      <c r="J27" s="41" t="s">
        <v>39</v>
      </c>
      <c r="K27" s="41">
        <v>4.356636052138934</v>
      </c>
      <c r="L27" s="41">
        <v>0.3137456615177423</v>
      </c>
      <c r="M27" s="41">
        <v>0.29777672492177348</v>
      </c>
      <c r="N27" s="42" t="s">
        <v>39</v>
      </c>
      <c r="O27" s="42">
        <v>1.1391645547821019</v>
      </c>
      <c r="P27" s="42" t="s">
        <v>39</v>
      </c>
      <c r="Z27" s="43"/>
    </row>
    <row r="28" spans="1:26" ht="13.5" customHeight="1" x14ac:dyDescent="0.2">
      <c r="A28" s="39">
        <v>36</v>
      </c>
      <c r="B28" s="39" t="s">
        <v>50</v>
      </c>
      <c r="C28" s="40">
        <v>10</v>
      </c>
      <c r="D28" s="41">
        <v>102.38561306914589</v>
      </c>
      <c r="E28" s="41">
        <v>94.917664794957119</v>
      </c>
      <c r="F28" s="41">
        <v>5.9748294415533434E-2</v>
      </c>
      <c r="G28" s="41">
        <v>9.8783976364839682E-2</v>
      </c>
      <c r="H28" s="41">
        <v>0.18419136461719421</v>
      </c>
      <c r="I28" s="41">
        <v>6.217992270219268</v>
      </c>
      <c r="J28" s="41" t="s">
        <v>39</v>
      </c>
      <c r="K28" s="41">
        <v>4.2304747795236919</v>
      </c>
      <c r="L28" s="41" t="s">
        <v>39</v>
      </c>
      <c r="M28" s="41">
        <v>0.10099447236694495</v>
      </c>
      <c r="N28" s="42" t="s">
        <v>39</v>
      </c>
      <c r="O28" s="42">
        <v>1.5767530272294192</v>
      </c>
      <c r="P28" s="42" t="s">
        <v>39</v>
      </c>
      <c r="Z28" s="43"/>
    </row>
    <row r="29" spans="1:26" ht="13.5" customHeight="1" x14ac:dyDescent="0.2">
      <c r="A29" s="39">
        <v>37</v>
      </c>
      <c r="B29" s="39" t="s">
        <v>51</v>
      </c>
      <c r="C29" s="40">
        <v>10</v>
      </c>
      <c r="D29" s="41">
        <v>102.67288240797581</v>
      </c>
      <c r="E29" s="41">
        <v>95.336237492914051</v>
      </c>
      <c r="F29" s="41">
        <v>9.3942646337502628E-2</v>
      </c>
      <c r="G29" s="41">
        <v>0.36291151505697089</v>
      </c>
      <c r="H29" s="41" t="s">
        <v>39</v>
      </c>
      <c r="I29" s="41">
        <v>6.2846671654235333</v>
      </c>
      <c r="J29" s="41" t="s">
        <v>39</v>
      </c>
      <c r="K29" s="41">
        <v>4.2239887684069117</v>
      </c>
      <c r="L29" s="41" t="s">
        <v>39</v>
      </c>
      <c r="M29" s="41" t="s">
        <v>39</v>
      </c>
      <c r="N29" s="42" t="s">
        <v>39</v>
      </c>
      <c r="O29" s="42">
        <v>1.1748679288910324</v>
      </c>
      <c r="P29" s="42" t="s">
        <v>39</v>
      </c>
      <c r="Z29" s="43"/>
    </row>
    <row r="30" spans="1:26" ht="13.5" customHeight="1" x14ac:dyDescent="0.2">
      <c r="A30" s="39">
        <v>38</v>
      </c>
      <c r="B30" s="39" t="s">
        <v>52</v>
      </c>
      <c r="C30" s="40">
        <v>10</v>
      </c>
      <c r="D30" s="41">
        <v>101.73007547158478</v>
      </c>
      <c r="E30" s="41">
        <v>95.343770313621604</v>
      </c>
      <c r="F30" s="41">
        <v>0.46835721628860172</v>
      </c>
      <c r="G30" s="41">
        <v>0.32102041008709942</v>
      </c>
      <c r="H30" s="41">
        <v>3.4607987542916774E-2</v>
      </c>
      <c r="I30" s="41">
        <v>6.3005231363341743</v>
      </c>
      <c r="J30" s="41" t="s">
        <v>39</v>
      </c>
      <c r="K30" s="41">
        <v>4.2494195900734857</v>
      </c>
      <c r="L30" s="41" t="s">
        <v>39</v>
      </c>
      <c r="M30" s="41" t="s">
        <v>39</v>
      </c>
      <c r="N30" s="42" t="s">
        <v>39</v>
      </c>
      <c r="O30" s="42">
        <v>1.1554242943276802</v>
      </c>
      <c r="P30" s="42" t="s">
        <v>39</v>
      </c>
      <c r="Z30" s="43"/>
    </row>
    <row r="31" spans="1:26" ht="13.5" customHeight="1" x14ac:dyDescent="0.2">
      <c r="A31" s="39">
        <v>39</v>
      </c>
      <c r="B31" s="39" t="s">
        <v>53</v>
      </c>
      <c r="C31" s="40">
        <v>10</v>
      </c>
      <c r="D31" s="41">
        <v>101.58571136083275</v>
      </c>
      <c r="E31" s="41">
        <v>94.116561356356613</v>
      </c>
      <c r="F31" s="41">
        <v>0.30619771706685739</v>
      </c>
      <c r="G31" s="41">
        <v>8.3666696048485034E-2</v>
      </c>
      <c r="H31" s="41" t="s">
        <v>39</v>
      </c>
      <c r="I31" s="41">
        <v>6.2067283821346511</v>
      </c>
      <c r="J31" s="41" t="s">
        <v>39</v>
      </c>
      <c r="K31" s="41">
        <v>4.2505473529454498</v>
      </c>
      <c r="L31" s="41" t="s">
        <v>39</v>
      </c>
      <c r="M31" s="41" t="s">
        <v>39</v>
      </c>
      <c r="N31" s="42" t="s">
        <v>39</v>
      </c>
      <c r="O31" s="42">
        <v>0.7026899587006713</v>
      </c>
      <c r="P31" s="42" t="s">
        <v>39</v>
      </c>
      <c r="Z31" s="43"/>
    </row>
    <row r="32" spans="1:26" ht="13.5" customHeight="1" x14ac:dyDescent="0.2">
      <c r="A32" s="39">
        <v>40</v>
      </c>
      <c r="B32" s="39" t="s">
        <v>54</v>
      </c>
      <c r="C32" s="40">
        <v>10</v>
      </c>
      <c r="D32" s="41">
        <v>102.46604319975913</v>
      </c>
      <c r="E32" s="41">
        <v>92.794828220016683</v>
      </c>
      <c r="F32" s="41">
        <v>0.12617169521572336</v>
      </c>
      <c r="G32" s="41">
        <v>0.22518541572041273</v>
      </c>
      <c r="H32" s="41">
        <v>0.2739054116501532</v>
      </c>
      <c r="I32" s="41">
        <v>6.2078348459044683</v>
      </c>
      <c r="J32" s="41" t="s">
        <v>39</v>
      </c>
      <c r="K32" s="41">
        <v>4.2499527577760849</v>
      </c>
      <c r="L32" s="41">
        <v>4.6259090539450907E-3</v>
      </c>
      <c r="M32" s="41" t="s">
        <v>39</v>
      </c>
      <c r="N32" s="42" t="s">
        <v>39</v>
      </c>
      <c r="O32" s="42">
        <v>0.97434766651435267</v>
      </c>
      <c r="P32" s="42" t="s">
        <v>39</v>
      </c>
      <c r="Z32" s="43"/>
    </row>
    <row r="33" spans="1:26" ht="13.5" customHeight="1" x14ac:dyDescent="0.2">
      <c r="A33" s="39">
        <v>41</v>
      </c>
      <c r="B33" s="39" t="s">
        <v>55</v>
      </c>
      <c r="C33" s="40">
        <v>10</v>
      </c>
      <c r="D33" s="41">
        <v>102.3045576253587</v>
      </c>
      <c r="E33" s="41">
        <v>92.438917265129305</v>
      </c>
      <c r="F33" s="41">
        <v>0.12570440206557626</v>
      </c>
      <c r="G33" s="41">
        <v>0.1690530058231178</v>
      </c>
      <c r="H33" s="41">
        <v>7.178834633221666E-2</v>
      </c>
      <c r="I33" s="41">
        <v>6.2179203138942913</v>
      </c>
      <c r="J33" s="41" t="s">
        <v>39</v>
      </c>
      <c r="K33" s="41">
        <v>4.2624787186164728</v>
      </c>
      <c r="L33" s="41">
        <v>1.3007919522788958E-2</v>
      </c>
      <c r="M33" s="41" t="s">
        <v>39</v>
      </c>
      <c r="N33" s="42" t="s">
        <v>39</v>
      </c>
      <c r="O33" s="42">
        <v>0.80496156402794594</v>
      </c>
      <c r="P33" s="42" t="s">
        <v>39</v>
      </c>
      <c r="Z33" s="43"/>
    </row>
    <row r="34" spans="1:26" ht="13.5" customHeight="1" x14ac:dyDescent="0.2">
      <c r="A34" s="39">
        <v>42</v>
      </c>
      <c r="B34" s="39" t="s">
        <v>56</v>
      </c>
      <c r="C34" s="40">
        <v>10</v>
      </c>
      <c r="D34" s="41">
        <v>100.91894402426345</v>
      </c>
      <c r="E34" s="41">
        <v>91.07567394019982</v>
      </c>
      <c r="F34" s="41">
        <v>0.1526742609908219</v>
      </c>
      <c r="G34" s="41">
        <v>0.19443340312109661</v>
      </c>
      <c r="H34" s="41">
        <v>0.14853251693374647</v>
      </c>
      <c r="I34" s="41">
        <v>6.2511639088063164</v>
      </c>
      <c r="J34" s="41" t="s">
        <v>39</v>
      </c>
      <c r="K34" s="41">
        <v>4.2624047829587361</v>
      </c>
      <c r="L34" s="41">
        <v>0.23500302390547329</v>
      </c>
      <c r="M34" s="41">
        <v>0.15781308695081944</v>
      </c>
      <c r="N34" s="42" t="s">
        <v>39</v>
      </c>
      <c r="O34" s="42">
        <v>0.86300591718351416</v>
      </c>
      <c r="P34" s="42" t="s">
        <v>39</v>
      </c>
      <c r="Z34" s="43"/>
    </row>
    <row r="35" spans="1:26" ht="13.5" customHeight="1" x14ac:dyDescent="0.2">
      <c r="A35" s="39">
        <v>43</v>
      </c>
      <c r="B35" s="39" t="s">
        <v>57</v>
      </c>
      <c r="C35" s="40">
        <v>10</v>
      </c>
      <c r="D35" s="41">
        <v>105.20871564653298</v>
      </c>
      <c r="E35" s="41">
        <v>95.951071577556377</v>
      </c>
      <c r="F35" s="41">
        <v>0.13106753348662831</v>
      </c>
      <c r="G35" s="41">
        <v>4.2946237651987684E-2</v>
      </c>
      <c r="H35" s="41">
        <v>0.2930921994510361</v>
      </c>
      <c r="I35" s="41">
        <v>6.4397090077536214</v>
      </c>
      <c r="J35" s="41" t="s">
        <v>39</v>
      </c>
      <c r="K35" s="41">
        <v>4.3490493606982215</v>
      </c>
      <c r="L35" s="41" t="s">
        <v>39</v>
      </c>
      <c r="M35" s="41">
        <v>0.23646407896608529</v>
      </c>
      <c r="N35" s="42" t="s">
        <v>39</v>
      </c>
      <c r="O35" s="42">
        <v>0.68225506796189161</v>
      </c>
      <c r="P35" s="42" t="s">
        <v>39</v>
      </c>
      <c r="Z35" s="43"/>
    </row>
    <row r="36" spans="1:26" ht="13.5" customHeight="1" x14ac:dyDescent="0.2">
      <c r="A36" s="39">
        <v>44</v>
      </c>
      <c r="B36" s="39" t="s">
        <v>58</v>
      </c>
      <c r="C36" s="40">
        <v>10</v>
      </c>
      <c r="D36" s="41">
        <v>101.27111520782222</v>
      </c>
      <c r="E36" s="41">
        <v>92.023693977504166</v>
      </c>
      <c r="F36" s="41">
        <v>0.13028442202285104</v>
      </c>
      <c r="G36" s="41">
        <v>2.5558297452901099E-2</v>
      </c>
      <c r="H36" s="41" t="s">
        <v>39</v>
      </c>
      <c r="I36" s="41">
        <v>6.1798431807677323</v>
      </c>
      <c r="J36" s="41" t="s">
        <v>39</v>
      </c>
      <c r="K36" s="41">
        <v>4.1994360658229883</v>
      </c>
      <c r="L36" s="41">
        <v>9.1529068955824838E-3</v>
      </c>
      <c r="M36" s="41" t="s">
        <v>39</v>
      </c>
      <c r="N36" s="42" t="s">
        <v>39</v>
      </c>
      <c r="O36" s="42">
        <v>0.6323589635737098</v>
      </c>
      <c r="P36" s="42" t="s">
        <v>39</v>
      </c>
      <c r="Z36" s="43"/>
    </row>
    <row r="37" spans="1:26" ht="13.5" customHeight="1" x14ac:dyDescent="0.2">
      <c r="A37" s="39">
        <v>45</v>
      </c>
      <c r="B37" s="39" t="s">
        <v>59</v>
      </c>
      <c r="C37" s="40">
        <v>10</v>
      </c>
      <c r="D37" s="41">
        <v>100.22933573865191</v>
      </c>
      <c r="E37" s="41">
        <v>91.59721462140493</v>
      </c>
      <c r="F37" s="41">
        <v>0.2820370492698277</v>
      </c>
      <c r="G37" s="41">
        <v>6.7614224483941235E-2</v>
      </c>
      <c r="H37" s="41">
        <v>5.8696615014110443E-2</v>
      </c>
      <c r="I37" s="41">
        <v>6.1531950266480955</v>
      </c>
      <c r="J37" s="41" t="s">
        <v>39</v>
      </c>
      <c r="K37" s="41">
        <v>4.1983566015648783</v>
      </c>
      <c r="L37" s="41">
        <v>1.2784904656638067E-2</v>
      </c>
      <c r="M37" s="41" t="s">
        <v>39</v>
      </c>
      <c r="N37" s="42" t="s">
        <v>39</v>
      </c>
      <c r="O37" s="42">
        <v>0.97271155978243118</v>
      </c>
      <c r="P37" s="42" t="s">
        <v>39</v>
      </c>
      <c r="Z37" s="43"/>
    </row>
    <row r="38" spans="1:26" ht="13.5" customHeight="1" x14ac:dyDescent="0.2">
      <c r="A38" s="39">
        <v>46</v>
      </c>
      <c r="B38" s="39" t="s">
        <v>60</v>
      </c>
      <c r="C38" s="40">
        <v>10</v>
      </c>
      <c r="D38" s="41">
        <v>101.25613343960771</v>
      </c>
      <c r="E38" s="41">
        <v>92.432866194876851</v>
      </c>
      <c r="F38" s="41">
        <v>9.5836639828529857E-2</v>
      </c>
      <c r="G38" s="41">
        <v>3.9920862301616976E-2</v>
      </c>
      <c r="H38" s="41">
        <v>0.35576433907556798</v>
      </c>
      <c r="I38" s="41">
        <v>6.3462300545162842</v>
      </c>
      <c r="J38" s="41" t="s">
        <v>39</v>
      </c>
      <c r="K38" s="41">
        <v>4.3419792592133906</v>
      </c>
      <c r="L38" s="41">
        <v>0.35572180722891472</v>
      </c>
      <c r="M38" s="41">
        <v>0.35479579640275838</v>
      </c>
      <c r="N38" s="42" t="s">
        <v>39</v>
      </c>
      <c r="O38" s="42">
        <v>0.59826633099289128</v>
      </c>
      <c r="P38" s="42" t="s">
        <v>39</v>
      </c>
      <c r="Z38" s="43"/>
    </row>
    <row r="39" spans="1:26" ht="13.5" customHeight="1" x14ac:dyDescent="0.2">
      <c r="A39" s="39">
        <v>47</v>
      </c>
      <c r="B39" s="39" t="s">
        <v>61</v>
      </c>
      <c r="C39" s="40">
        <v>10</v>
      </c>
      <c r="D39" s="41">
        <v>100.29938824577071</v>
      </c>
      <c r="E39" s="41">
        <v>91.48351520929964</v>
      </c>
      <c r="F39" s="41">
        <v>0.1199316202350191</v>
      </c>
      <c r="G39" s="41">
        <v>5.963768738238695E-2</v>
      </c>
      <c r="H39" s="41">
        <v>0.15477112399433302</v>
      </c>
      <c r="I39" s="41">
        <v>6.1377679565919188</v>
      </c>
      <c r="J39" s="41" t="s">
        <v>39</v>
      </c>
      <c r="K39" s="41">
        <v>4.1556886872574728</v>
      </c>
      <c r="L39" s="41" t="s">
        <v>39</v>
      </c>
      <c r="M39" s="41">
        <v>5.3851161950456757E-2</v>
      </c>
      <c r="N39" s="42" t="s">
        <v>39</v>
      </c>
      <c r="O39" s="42">
        <v>0.82636159201605142</v>
      </c>
      <c r="P39" s="42" t="s">
        <v>39</v>
      </c>
      <c r="Z39" s="43"/>
    </row>
    <row r="40" spans="1:26" ht="13.5" customHeight="1" x14ac:dyDescent="0.2">
      <c r="A40" s="39">
        <v>48</v>
      </c>
      <c r="B40" s="39" t="s">
        <v>62</v>
      </c>
      <c r="C40" s="40">
        <v>10</v>
      </c>
      <c r="D40" s="41">
        <v>100.99151324715601</v>
      </c>
      <c r="E40" s="41">
        <v>92.227540774109855</v>
      </c>
      <c r="F40" s="41">
        <v>0.42287572649273197</v>
      </c>
      <c r="G40" s="41">
        <v>5.8042499044153512E-2</v>
      </c>
      <c r="H40" s="41">
        <v>3.2014243921088072E-2</v>
      </c>
      <c r="I40" s="41">
        <v>6.1730471523572215</v>
      </c>
      <c r="J40" s="41" t="s">
        <v>39</v>
      </c>
      <c r="K40" s="41">
        <v>4.2171398987993944</v>
      </c>
      <c r="L40" s="41">
        <v>8.1056840882192029E-3</v>
      </c>
      <c r="M40" s="41" t="s">
        <v>39</v>
      </c>
      <c r="N40" s="42" t="s">
        <v>39</v>
      </c>
      <c r="O40" s="42">
        <v>1.1024962650418919</v>
      </c>
      <c r="P40" s="42" t="s">
        <v>39</v>
      </c>
      <c r="Z40" s="43"/>
    </row>
    <row r="41" spans="1:26" ht="13.5" customHeight="1" x14ac:dyDescent="0.2">
      <c r="A41" s="39">
        <v>49</v>
      </c>
      <c r="B41" s="39" t="s">
        <v>63</v>
      </c>
      <c r="C41" s="40">
        <v>10</v>
      </c>
      <c r="D41" s="41">
        <v>101.22130699265648</v>
      </c>
      <c r="E41" s="41">
        <v>92.558970158889494</v>
      </c>
      <c r="F41" s="41">
        <v>0.14514494062146399</v>
      </c>
      <c r="G41" s="41">
        <v>3.4105371655587885E-2</v>
      </c>
      <c r="H41" s="41">
        <v>5.3583255825004533E-2</v>
      </c>
      <c r="I41" s="41">
        <v>6.2865738797340356</v>
      </c>
      <c r="J41" s="41" t="s">
        <v>39</v>
      </c>
      <c r="K41" s="41">
        <v>4.2924577058393787</v>
      </c>
      <c r="L41" s="41">
        <v>4.6098777801361145E-2</v>
      </c>
      <c r="M41" s="41" t="s">
        <v>39</v>
      </c>
      <c r="N41" s="42" t="s">
        <v>39</v>
      </c>
      <c r="O41" s="42">
        <v>0.4943799016143991</v>
      </c>
      <c r="P41" s="42" t="s">
        <v>39</v>
      </c>
      <c r="Z41" s="43"/>
    </row>
    <row r="42" spans="1:26" ht="13.5" customHeight="1" x14ac:dyDescent="0.2">
      <c r="A42" s="39">
        <v>50</v>
      </c>
      <c r="B42" s="39" t="s">
        <v>64</v>
      </c>
      <c r="C42" s="40">
        <v>10</v>
      </c>
      <c r="D42" s="41">
        <v>102.41955794557128</v>
      </c>
      <c r="E42" s="41">
        <v>93.904001968629615</v>
      </c>
      <c r="F42" s="41">
        <v>0.39576012079943113</v>
      </c>
      <c r="G42" s="41">
        <v>0.20979528052361857</v>
      </c>
      <c r="H42" s="41">
        <v>0.3266938508703956</v>
      </c>
      <c r="I42" s="41">
        <v>6.3138345605001414</v>
      </c>
      <c r="J42" s="41" t="s">
        <v>39</v>
      </c>
      <c r="K42" s="41">
        <v>4.3702597549779139</v>
      </c>
      <c r="L42" s="41">
        <v>0.23468368208706114</v>
      </c>
      <c r="M42" s="41">
        <v>0.21805441412035603</v>
      </c>
      <c r="N42" s="42" t="s">
        <v>39</v>
      </c>
      <c r="O42" s="42">
        <v>0.83198113732172252</v>
      </c>
      <c r="P42" s="42" t="s">
        <v>39</v>
      </c>
      <c r="Z42" s="43"/>
    </row>
    <row r="43" spans="1:26" ht="13.5" customHeight="1" x14ac:dyDescent="0.2">
      <c r="A43" s="39">
        <v>51</v>
      </c>
      <c r="B43" s="39" t="s">
        <v>65</v>
      </c>
      <c r="C43" s="40">
        <v>10</v>
      </c>
      <c r="D43" s="41">
        <v>100.86959595712409</v>
      </c>
      <c r="E43" s="41">
        <v>92.020948396768432</v>
      </c>
      <c r="F43" s="41">
        <v>0.13622891914044519</v>
      </c>
      <c r="G43" s="41">
        <v>0.14592825379995375</v>
      </c>
      <c r="H43" s="41">
        <v>0.21234366682539488</v>
      </c>
      <c r="I43" s="41">
        <v>6.1874703934750421</v>
      </c>
      <c r="J43" s="41" t="s">
        <v>39</v>
      </c>
      <c r="K43" s="41">
        <v>4.2081055511077468</v>
      </c>
      <c r="L43" s="41" t="s">
        <v>39</v>
      </c>
      <c r="M43" s="41" t="s">
        <v>39</v>
      </c>
      <c r="N43" s="42" t="s">
        <v>39</v>
      </c>
      <c r="O43" s="42">
        <v>0.58498545017502446</v>
      </c>
      <c r="P43" s="42" t="s">
        <v>39</v>
      </c>
      <c r="Z43" s="43"/>
    </row>
    <row r="44" spans="1:26" ht="13.5" customHeight="1" x14ac:dyDescent="0.2">
      <c r="A44" s="39">
        <v>52</v>
      </c>
      <c r="B44" s="39" t="s">
        <v>66</v>
      </c>
      <c r="C44" s="40">
        <v>10</v>
      </c>
      <c r="D44" s="41">
        <v>101.68821389897062</v>
      </c>
      <c r="E44" s="41">
        <v>94.397113855902234</v>
      </c>
      <c r="F44" s="41">
        <v>0.13019980012406779</v>
      </c>
      <c r="G44" s="41">
        <v>0.24399522903590362</v>
      </c>
      <c r="H44" s="41" t="s">
        <v>39</v>
      </c>
      <c r="I44" s="41">
        <v>6.2765276876162961</v>
      </c>
      <c r="J44" s="41" t="s">
        <v>39</v>
      </c>
      <c r="K44" s="41">
        <v>4.2526094602992721</v>
      </c>
      <c r="L44" s="41" t="s">
        <v>39</v>
      </c>
      <c r="M44" s="41" t="s">
        <v>39</v>
      </c>
      <c r="N44" s="42" t="s">
        <v>39</v>
      </c>
      <c r="O44" s="42">
        <v>0.88292202875744019</v>
      </c>
      <c r="P44" s="42" t="s">
        <v>39</v>
      </c>
      <c r="Z44" s="43"/>
    </row>
    <row r="45" spans="1:26" ht="13.5" customHeight="1" x14ac:dyDescent="0.2">
      <c r="A45" s="39">
        <v>53</v>
      </c>
      <c r="B45" s="39" t="s">
        <v>67</v>
      </c>
      <c r="C45" s="40">
        <v>10</v>
      </c>
      <c r="D45" s="41">
        <v>100.6543799502039</v>
      </c>
      <c r="E45" s="41">
        <v>91.981921899330402</v>
      </c>
      <c r="F45" s="41">
        <v>0.36007576743804365</v>
      </c>
      <c r="G45" s="41">
        <v>4.5649738117714556E-2</v>
      </c>
      <c r="H45" s="41">
        <v>3.6458200058055334E-2</v>
      </c>
      <c r="I45" s="41">
        <v>6.2281938065411859</v>
      </c>
      <c r="J45" s="41" t="s">
        <v>39</v>
      </c>
      <c r="K45" s="41">
        <v>4.2371255854499115</v>
      </c>
      <c r="L45" s="41">
        <v>9.0658898171886548E-2</v>
      </c>
      <c r="M45" s="41" t="s">
        <v>39</v>
      </c>
      <c r="N45" s="42" t="s">
        <v>39</v>
      </c>
      <c r="O45" s="42">
        <v>0.77755733461574772</v>
      </c>
      <c r="P45" s="42" t="s">
        <v>39</v>
      </c>
      <c r="Z45" s="43"/>
    </row>
    <row r="46" spans="1:26" ht="13.5" customHeight="1" x14ac:dyDescent="0.2">
      <c r="A46" s="39">
        <v>54</v>
      </c>
      <c r="B46" s="39" t="s">
        <v>68</v>
      </c>
      <c r="C46" s="40">
        <v>10</v>
      </c>
      <c r="D46" s="41">
        <v>101.95961495842573</v>
      </c>
      <c r="E46" s="41">
        <v>93.090690683824278</v>
      </c>
      <c r="F46" s="41">
        <v>0.11462571481612406</v>
      </c>
      <c r="G46" s="41">
        <v>0.20622005081547717</v>
      </c>
      <c r="H46" s="41">
        <v>0.33365178020879843</v>
      </c>
      <c r="I46" s="41">
        <v>6.2294876445176559</v>
      </c>
      <c r="J46" s="41" t="s">
        <v>39</v>
      </c>
      <c r="K46" s="41">
        <v>4.2290071401904417</v>
      </c>
      <c r="L46" s="41">
        <v>0.38475701529930134</v>
      </c>
      <c r="M46" s="41">
        <v>0.16085074018112661</v>
      </c>
      <c r="N46" s="42" t="s">
        <v>39</v>
      </c>
      <c r="O46" s="42">
        <v>0.75742811879836758</v>
      </c>
      <c r="P46" s="42" t="s">
        <v>39</v>
      </c>
      <c r="Z46" s="43"/>
    </row>
    <row r="47" spans="1:26" ht="13.5" customHeight="1" x14ac:dyDescent="0.2">
      <c r="A47" s="39">
        <v>55</v>
      </c>
      <c r="B47" s="39" t="s">
        <v>69</v>
      </c>
      <c r="C47" s="40">
        <v>10</v>
      </c>
      <c r="D47" s="41">
        <v>100.35481083862621</v>
      </c>
      <c r="E47" s="41">
        <v>93.62487460488228</v>
      </c>
      <c r="F47" s="41">
        <v>0.33583829097077023</v>
      </c>
      <c r="G47" s="41">
        <v>5.7631889953741397E-2</v>
      </c>
      <c r="H47" s="41">
        <v>5.8214451764615968E-2</v>
      </c>
      <c r="I47" s="41">
        <v>6.2293780189076822</v>
      </c>
      <c r="J47" s="41" t="s">
        <v>39</v>
      </c>
      <c r="K47" s="41">
        <v>4.2109261205094635</v>
      </c>
      <c r="L47" s="41">
        <v>4.3254208216990143E-3</v>
      </c>
      <c r="M47" s="41" t="s">
        <v>39</v>
      </c>
      <c r="N47" s="42" t="s">
        <v>39</v>
      </c>
      <c r="O47" s="42">
        <v>0.70189428953994604</v>
      </c>
      <c r="P47" s="42" t="s">
        <v>39</v>
      </c>
      <c r="Z47" s="43"/>
    </row>
    <row r="48" spans="1:26" ht="13.5" customHeight="1" x14ac:dyDescent="0.2">
      <c r="A48" s="39">
        <v>56</v>
      </c>
      <c r="B48" s="39" t="s">
        <v>70</v>
      </c>
      <c r="C48" s="40">
        <v>10</v>
      </c>
      <c r="D48" s="41">
        <v>106.66317880447866</v>
      </c>
      <c r="E48" s="41">
        <v>97.805985954815014</v>
      </c>
      <c r="F48" s="41">
        <v>0.37142546624282013</v>
      </c>
      <c r="G48" s="41">
        <v>3.3791612689070563E-2</v>
      </c>
      <c r="H48" s="41">
        <v>5.7852242436307683E-2</v>
      </c>
      <c r="I48" s="41">
        <v>6.7239009735806334</v>
      </c>
      <c r="J48" s="41" t="s">
        <v>39</v>
      </c>
      <c r="K48" s="41">
        <v>4.5784887936194121</v>
      </c>
      <c r="L48" s="41">
        <v>7.8434722515711014E-2</v>
      </c>
      <c r="M48" s="41" t="s">
        <v>39</v>
      </c>
      <c r="N48" s="42" t="s">
        <v>39</v>
      </c>
      <c r="O48" s="42">
        <v>0.48632805598758927</v>
      </c>
      <c r="P48" s="42" t="s">
        <v>39</v>
      </c>
      <c r="Z48" s="43"/>
    </row>
    <row r="49" spans="1:26" ht="13.5" customHeight="1" x14ac:dyDescent="0.2">
      <c r="A49" s="39">
        <v>57</v>
      </c>
      <c r="B49" s="39" t="s">
        <v>71</v>
      </c>
      <c r="C49" s="40">
        <v>10</v>
      </c>
      <c r="D49" s="41">
        <v>106.18010338922603</v>
      </c>
      <c r="E49" s="41">
        <v>98.914797974905738</v>
      </c>
      <c r="F49" s="41">
        <v>0.46062964206696044</v>
      </c>
      <c r="G49" s="41">
        <v>8.0129131936283168E-2</v>
      </c>
      <c r="H49" s="41">
        <v>0.29358732852503977</v>
      </c>
      <c r="I49" s="41">
        <v>6.6587650470595996</v>
      </c>
      <c r="J49" s="41" t="s">
        <v>39</v>
      </c>
      <c r="K49" s="41">
        <v>4.5378829605719098</v>
      </c>
      <c r="L49" s="41">
        <v>0.36210374646850207</v>
      </c>
      <c r="M49" s="41">
        <v>0.21536181964991069</v>
      </c>
      <c r="N49" s="42" t="s">
        <v>39</v>
      </c>
      <c r="O49" s="42">
        <v>0.84034181014110199</v>
      </c>
      <c r="P49" s="42" t="s">
        <v>39</v>
      </c>
      <c r="Z49" s="43"/>
    </row>
    <row r="50" spans="1:26" ht="13.5" customHeight="1" x14ac:dyDescent="0.2">
      <c r="A50" s="39">
        <v>58</v>
      </c>
      <c r="B50" s="39" t="s">
        <v>72</v>
      </c>
      <c r="C50" s="40">
        <v>10</v>
      </c>
      <c r="D50" s="41">
        <v>97.223309096772084</v>
      </c>
      <c r="E50" s="41">
        <v>89.226414866434496</v>
      </c>
      <c r="F50" s="41">
        <v>0.12101884939799992</v>
      </c>
      <c r="G50" s="41">
        <v>4.4754308492916048E-2</v>
      </c>
      <c r="H50" s="41">
        <v>0.25603608934098665</v>
      </c>
      <c r="I50" s="41">
        <v>6.0361197699588693</v>
      </c>
      <c r="J50" s="41" t="s">
        <v>39</v>
      </c>
      <c r="K50" s="41">
        <v>4.1122275824890995</v>
      </c>
      <c r="L50" s="41" t="s">
        <v>39</v>
      </c>
      <c r="M50" s="41">
        <v>4.5699343683314214E-2</v>
      </c>
      <c r="N50" s="42" t="s">
        <v>39</v>
      </c>
      <c r="O50" s="42">
        <v>0.49265382616295478</v>
      </c>
      <c r="P50" s="42" t="s">
        <v>39</v>
      </c>
      <c r="Z50" s="43"/>
    </row>
    <row r="51" spans="1:26" ht="13.5" customHeight="1" x14ac:dyDescent="0.2">
      <c r="A51" s="39">
        <v>59</v>
      </c>
      <c r="B51" s="39" t="s">
        <v>73</v>
      </c>
      <c r="C51" s="40">
        <v>10</v>
      </c>
      <c r="D51" s="41">
        <v>100.51765402892103</v>
      </c>
      <c r="E51" s="41">
        <v>94.024949917375835</v>
      </c>
      <c r="F51" s="41">
        <v>0.41082617592661508</v>
      </c>
      <c r="G51" s="41">
        <v>0.12327768473682046</v>
      </c>
      <c r="H51" s="41">
        <v>0.11647350880632375</v>
      </c>
      <c r="I51" s="41">
        <v>6.2652926974148846</v>
      </c>
      <c r="J51" s="41" t="s">
        <v>39</v>
      </c>
      <c r="K51" s="41">
        <v>4.1888764054409453</v>
      </c>
      <c r="L51" s="41">
        <v>8.3108491937940888E-3</v>
      </c>
      <c r="M51" s="41" t="s">
        <v>39</v>
      </c>
      <c r="N51" s="42" t="s">
        <v>39</v>
      </c>
      <c r="O51" s="42">
        <v>0.4613662982948496</v>
      </c>
      <c r="P51" s="42" t="s">
        <v>39</v>
      </c>
      <c r="Z51" s="43"/>
    </row>
    <row r="52" spans="1:26" ht="13.5" customHeight="1" x14ac:dyDescent="0.2">
      <c r="A52" s="39">
        <v>60</v>
      </c>
      <c r="B52" s="39" t="s">
        <v>74</v>
      </c>
      <c r="C52" s="40">
        <v>10</v>
      </c>
      <c r="D52" s="41">
        <v>99.852867358391563</v>
      </c>
      <c r="E52" s="41">
        <v>91.80782266489922</v>
      </c>
      <c r="F52" s="41">
        <v>0.17978296631305538</v>
      </c>
      <c r="G52" s="41">
        <v>5.8115569077757445E-2</v>
      </c>
      <c r="H52" s="41">
        <v>0.15000079982877393</v>
      </c>
      <c r="I52" s="41">
        <v>6.3504943467299011</v>
      </c>
      <c r="J52" s="41" t="s">
        <v>39</v>
      </c>
      <c r="K52" s="41">
        <v>4.2914647447456824</v>
      </c>
      <c r="L52" s="41">
        <v>0.23564136929979146</v>
      </c>
      <c r="M52" s="41">
        <v>0.18258796453141873</v>
      </c>
      <c r="N52" s="42">
        <v>5.7540368338555425E-4</v>
      </c>
      <c r="O52" s="42">
        <v>0.40854842381007472</v>
      </c>
      <c r="P52" s="42" t="s">
        <v>39</v>
      </c>
      <c r="Z52" s="43"/>
    </row>
    <row r="53" spans="1:26" ht="13.5" customHeight="1" x14ac:dyDescent="0.2">
      <c r="A53" s="39">
        <v>61</v>
      </c>
      <c r="B53" s="39" t="s">
        <v>75</v>
      </c>
      <c r="C53" s="40">
        <v>10</v>
      </c>
      <c r="D53" s="41">
        <v>99.476942457817415</v>
      </c>
      <c r="E53" s="41">
        <v>91.892930278557756</v>
      </c>
      <c r="F53" s="41">
        <v>0.36735762711343017</v>
      </c>
      <c r="G53" s="41">
        <v>5.5929504274343247E-2</v>
      </c>
      <c r="H53" s="41">
        <v>0.46033832688449466</v>
      </c>
      <c r="I53" s="41">
        <v>6.2109436675204854</v>
      </c>
      <c r="J53" s="41" t="s">
        <v>39</v>
      </c>
      <c r="K53" s="41">
        <v>4.2867339883899414</v>
      </c>
      <c r="L53" s="41">
        <v>0.26671125891848857</v>
      </c>
      <c r="M53" s="41">
        <v>0.27572570719789924</v>
      </c>
      <c r="N53" s="42" t="s">
        <v>39</v>
      </c>
      <c r="O53" s="42">
        <v>0.39928531078526847</v>
      </c>
      <c r="P53" s="42" t="s">
        <v>39</v>
      </c>
      <c r="Z53" s="43"/>
    </row>
    <row r="54" spans="1:26" ht="13.5" customHeight="1" x14ac:dyDescent="0.2">
      <c r="A54" s="39">
        <v>62</v>
      </c>
      <c r="B54" s="39" t="s">
        <v>76</v>
      </c>
      <c r="C54" s="40">
        <v>10</v>
      </c>
      <c r="D54" s="41">
        <v>100.23628758046087</v>
      </c>
      <c r="E54" s="41">
        <v>93.980572470652746</v>
      </c>
      <c r="F54" s="41">
        <v>0.20977222826363567</v>
      </c>
      <c r="G54" s="41">
        <v>9.539043680717478E-2</v>
      </c>
      <c r="H54" s="41">
        <v>0.29974921600896143</v>
      </c>
      <c r="I54" s="41">
        <v>6.2386803703490781</v>
      </c>
      <c r="J54" s="41" t="s">
        <v>39</v>
      </c>
      <c r="K54" s="41">
        <v>4.2238972908944667</v>
      </c>
      <c r="L54" s="41">
        <v>4.0757778238544734E-2</v>
      </c>
      <c r="M54" s="41" t="s">
        <v>39</v>
      </c>
      <c r="N54" s="42" t="s">
        <v>39</v>
      </c>
      <c r="O54" s="42">
        <v>0.42581602186787659</v>
      </c>
      <c r="P54" s="42" t="s">
        <v>39</v>
      </c>
      <c r="Z54" s="43"/>
    </row>
    <row r="55" spans="1:26" ht="13.5" customHeight="1" x14ac:dyDescent="0.2">
      <c r="A55" s="39">
        <v>63</v>
      </c>
      <c r="B55" s="39" t="s">
        <v>77</v>
      </c>
      <c r="C55" s="40">
        <v>10</v>
      </c>
      <c r="D55" s="41">
        <v>99.33049768987604</v>
      </c>
      <c r="E55" s="41">
        <v>91.186881316014563</v>
      </c>
      <c r="F55" s="41">
        <v>0.19741348123997199</v>
      </c>
      <c r="G55" s="41">
        <v>6.5981501430770209E-2</v>
      </c>
      <c r="H55" s="41">
        <v>7.2943637137637657E-2</v>
      </c>
      <c r="I55" s="41">
        <v>6.2308486408556103</v>
      </c>
      <c r="J55" s="41" t="s">
        <v>39</v>
      </c>
      <c r="K55" s="41">
        <v>4.2046679980226518</v>
      </c>
      <c r="L55" s="41">
        <v>6.233575106768972E-3</v>
      </c>
      <c r="M55" s="41" t="s">
        <v>39</v>
      </c>
      <c r="N55" s="42" t="s">
        <v>39</v>
      </c>
      <c r="O55" s="42">
        <v>0.48258508788724264</v>
      </c>
      <c r="P55" s="42" t="s">
        <v>39</v>
      </c>
      <c r="Z55" s="43"/>
    </row>
    <row r="56" spans="1:26" ht="13.5" customHeight="1" x14ac:dyDescent="0.2">
      <c r="A56" s="39">
        <v>64</v>
      </c>
      <c r="B56" s="39" t="s">
        <v>78</v>
      </c>
      <c r="C56" s="40">
        <v>10</v>
      </c>
      <c r="D56" s="41">
        <v>101.57877823053246</v>
      </c>
      <c r="E56" s="41">
        <v>94.355105616951022</v>
      </c>
      <c r="F56" s="41">
        <v>0.19195871768625933</v>
      </c>
      <c r="G56" s="41">
        <v>8.1766838932838939E-2</v>
      </c>
      <c r="H56" s="41">
        <v>0.2062085584415716</v>
      </c>
      <c r="I56" s="41">
        <v>6.4166190273374148</v>
      </c>
      <c r="J56" s="41" t="s">
        <v>39</v>
      </c>
      <c r="K56" s="41">
        <v>4.3533477652088788</v>
      </c>
      <c r="L56" s="41">
        <v>0.33116509096614188</v>
      </c>
      <c r="M56" s="41">
        <v>0.2549991290176406</v>
      </c>
      <c r="N56" s="42" t="s">
        <v>39</v>
      </c>
      <c r="O56" s="42">
        <v>1.1539146845222512</v>
      </c>
      <c r="P56" s="42" t="s">
        <v>39</v>
      </c>
      <c r="Z56" s="43"/>
    </row>
    <row r="57" spans="1:26" ht="13.5" customHeight="1" x14ac:dyDescent="0.2">
      <c r="A57" s="39">
        <v>65</v>
      </c>
      <c r="B57" s="39" t="s">
        <v>79</v>
      </c>
      <c r="C57" s="40">
        <v>10</v>
      </c>
      <c r="D57" s="41">
        <v>101.14288994565202</v>
      </c>
      <c r="E57" s="41">
        <v>92.181659801661894</v>
      </c>
      <c r="F57" s="41">
        <v>0.50512299468702548</v>
      </c>
      <c r="G57" s="41">
        <v>7.6020845146313062E-2</v>
      </c>
      <c r="H57" s="41">
        <v>0.39366335901008359</v>
      </c>
      <c r="I57" s="41">
        <v>6.1502676405073684</v>
      </c>
      <c r="J57" s="41" t="s">
        <v>39</v>
      </c>
      <c r="K57" s="41">
        <v>4.2178986148420705</v>
      </c>
      <c r="L57" s="41" t="s">
        <v>39</v>
      </c>
      <c r="M57" s="41">
        <v>0.2513510955346136</v>
      </c>
      <c r="N57" s="42" t="s">
        <v>39</v>
      </c>
      <c r="O57" s="42">
        <v>1.3015879435664026</v>
      </c>
      <c r="P57" s="42" t="s">
        <v>39</v>
      </c>
      <c r="Z57" s="43"/>
    </row>
    <row r="58" spans="1:26" ht="13.5" customHeight="1" x14ac:dyDescent="0.2">
      <c r="A58" s="39">
        <v>66</v>
      </c>
      <c r="B58" s="39" t="s">
        <v>80</v>
      </c>
      <c r="C58" s="40">
        <v>10</v>
      </c>
      <c r="D58" s="41">
        <v>102.38939692698727</v>
      </c>
      <c r="E58" s="41">
        <v>94.482897386307059</v>
      </c>
      <c r="F58" s="41">
        <v>0.11771265987830985</v>
      </c>
      <c r="G58" s="41">
        <v>0.34422552597740119</v>
      </c>
      <c r="H58" s="41">
        <v>7.7998535707877233E-3</v>
      </c>
      <c r="I58" s="41">
        <v>6.2000538345513547</v>
      </c>
      <c r="J58" s="41" t="s">
        <v>39</v>
      </c>
      <c r="K58" s="41">
        <v>4.2388039455604449</v>
      </c>
      <c r="L58" s="41" t="s">
        <v>39</v>
      </c>
      <c r="M58" s="41" t="s">
        <v>39</v>
      </c>
      <c r="N58" s="42" t="s">
        <v>39</v>
      </c>
      <c r="O58" s="42">
        <v>1.2882541395668778</v>
      </c>
      <c r="P58" s="42" t="s">
        <v>39</v>
      </c>
      <c r="Z58" s="43"/>
    </row>
    <row r="59" spans="1:26" ht="13.5" customHeight="1" x14ac:dyDescent="0.2">
      <c r="A59" s="39">
        <v>67</v>
      </c>
      <c r="B59" s="39" t="s">
        <v>81</v>
      </c>
      <c r="C59" s="40">
        <v>10</v>
      </c>
      <c r="D59" s="41">
        <v>100.80795430759837</v>
      </c>
      <c r="E59" s="41">
        <v>92.488311188111126</v>
      </c>
      <c r="F59" s="41">
        <v>0.23118726866226985</v>
      </c>
      <c r="G59" s="41">
        <v>3.6377141101661695E-2</v>
      </c>
      <c r="H59" s="41">
        <v>5.7891587647520504E-2</v>
      </c>
      <c r="I59" s="41">
        <v>6.2962557482843824</v>
      </c>
      <c r="J59" s="41" t="s">
        <v>39</v>
      </c>
      <c r="K59" s="41">
        <v>4.2693191058286413</v>
      </c>
      <c r="L59" s="41">
        <v>1.8916199444922451E-2</v>
      </c>
      <c r="M59" s="41" t="s">
        <v>39</v>
      </c>
      <c r="N59" s="42" t="s">
        <v>39</v>
      </c>
      <c r="O59" s="42">
        <v>0.45931463419646273</v>
      </c>
      <c r="P59" s="42" t="s">
        <v>39</v>
      </c>
      <c r="Z59" s="43"/>
    </row>
    <row r="60" spans="1:26" ht="13.5" customHeight="1" x14ac:dyDescent="0.2">
      <c r="A60" s="39">
        <v>68</v>
      </c>
      <c r="B60" s="39" t="s">
        <v>82</v>
      </c>
      <c r="C60" s="40">
        <v>10</v>
      </c>
      <c r="D60" s="41">
        <v>99.583555591371763</v>
      </c>
      <c r="E60" s="41">
        <v>91.137089897535844</v>
      </c>
      <c r="F60" s="41">
        <v>0.17629723417301127</v>
      </c>
      <c r="G60" s="41">
        <v>4.7334007539550429E-2</v>
      </c>
      <c r="H60" s="41">
        <v>0.39923820998592546</v>
      </c>
      <c r="I60" s="41">
        <v>6.30510098008412</v>
      </c>
      <c r="J60" s="41" t="s">
        <v>39</v>
      </c>
      <c r="K60" s="41">
        <v>4.3294988300147548</v>
      </c>
      <c r="L60" s="41">
        <v>0.55501789947091407</v>
      </c>
      <c r="M60" s="41">
        <v>0.40942622690096858</v>
      </c>
      <c r="N60" s="42" t="s">
        <v>39</v>
      </c>
      <c r="O60" s="42">
        <v>0.50888292990341955</v>
      </c>
      <c r="P60" s="42" t="s">
        <v>39</v>
      </c>
      <c r="Z60" s="43"/>
    </row>
    <row r="61" spans="1:26" ht="13.5" customHeight="1" x14ac:dyDescent="0.2">
      <c r="A61" s="39">
        <v>69</v>
      </c>
      <c r="B61" s="39" t="s">
        <v>83</v>
      </c>
      <c r="C61" s="40">
        <v>10</v>
      </c>
      <c r="D61" s="41">
        <v>102.83944494995174</v>
      </c>
      <c r="E61" s="41">
        <v>95.164923308960397</v>
      </c>
      <c r="F61" s="41">
        <v>0.57601397167651902</v>
      </c>
      <c r="G61" s="41">
        <v>0.13252720665168219</v>
      </c>
      <c r="H61" s="41" t="s">
        <v>39</v>
      </c>
      <c r="I61" s="41">
        <v>6.2184958400123902</v>
      </c>
      <c r="J61" s="41" t="s">
        <v>39</v>
      </c>
      <c r="K61" s="41">
        <v>4.2336965502900146</v>
      </c>
      <c r="L61" s="41">
        <v>4.3638756870296464E-3</v>
      </c>
      <c r="M61" s="41" t="s">
        <v>39</v>
      </c>
      <c r="N61" s="42" t="s">
        <v>39</v>
      </c>
      <c r="O61" s="42">
        <v>1.6904350433594875</v>
      </c>
      <c r="P61" s="42" t="s">
        <v>39</v>
      </c>
      <c r="Z61" s="43"/>
    </row>
    <row r="62" spans="1:26" ht="13.5" customHeight="1" x14ac:dyDescent="0.2">
      <c r="A62" s="39">
        <v>70</v>
      </c>
      <c r="B62" s="39" t="s">
        <v>84</v>
      </c>
      <c r="C62" s="40">
        <v>10</v>
      </c>
      <c r="D62" s="41">
        <v>102.95105480491188</v>
      </c>
      <c r="E62" s="41">
        <v>93.130037729814873</v>
      </c>
      <c r="F62" s="41">
        <v>5.817036659222638E-2</v>
      </c>
      <c r="G62" s="41">
        <v>0.36927311292634629</v>
      </c>
      <c r="H62" s="41">
        <v>4.9536761977909058E-2</v>
      </c>
      <c r="I62" s="41">
        <v>6.2259915367274008</v>
      </c>
      <c r="J62" s="41" t="s">
        <v>39</v>
      </c>
      <c r="K62" s="41">
        <v>4.2651131067545274</v>
      </c>
      <c r="L62" s="41" t="s">
        <v>39</v>
      </c>
      <c r="M62" s="41" t="s">
        <v>39</v>
      </c>
      <c r="N62" s="42" t="s">
        <v>39</v>
      </c>
      <c r="O62" s="42">
        <v>1.7179637840873154</v>
      </c>
      <c r="P62" s="42" t="s">
        <v>39</v>
      </c>
      <c r="Z62" s="43"/>
    </row>
    <row r="63" spans="1:26" ht="13.5" customHeight="1" x14ac:dyDescent="0.2">
      <c r="A63" s="39">
        <v>71</v>
      </c>
      <c r="B63" s="39" t="s">
        <v>85</v>
      </c>
      <c r="C63" s="40">
        <v>10</v>
      </c>
      <c r="D63" s="41">
        <v>102.62003261358011</v>
      </c>
      <c r="E63" s="41">
        <v>92.909490668100005</v>
      </c>
      <c r="F63" s="41">
        <v>0.43373840378587936</v>
      </c>
      <c r="G63" s="41">
        <v>0.12615196182379484</v>
      </c>
      <c r="H63" s="41" t="s">
        <v>39</v>
      </c>
      <c r="I63" s="41">
        <v>6.292888133446656</v>
      </c>
      <c r="J63" s="41" t="s">
        <v>39</v>
      </c>
      <c r="K63" s="41">
        <v>4.2738253073428343</v>
      </c>
      <c r="L63" s="41">
        <v>0.24210132977324406</v>
      </c>
      <c r="M63" s="41">
        <v>0.18228962620669117</v>
      </c>
      <c r="N63" s="42" t="s">
        <v>39</v>
      </c>
      <c r="O63" s="42">
        <v>1.6244738898411915</v>
      </c>
      <c r="P63" s="42" t="s">
        <v>39</v>
      </c>
      <c r="Z63" s="43"/>
    </row>
    <row r="64" spans="1:26" ht="13.5" customHeight="1" x14ac:dyDescent="0.2">
      <c r="A64" s="39">
        <v>72</v>
      </c>
      <c r="B64" s="39" t="s">
        <v>86</v>
      </c>
      <c r="C64" s="40">
        <v>10</v>
      </c>
      <c r="D64" s="41">
        <v>102.71198086622383</v>
      </c>
      <c r="E64" s="41">
        <v>94.470805508855094</v>
      </c>
      <c r="F64" s="41">
        <v>4.0497450906115645E-2</v>
      </c>
      <c r="G64" s="41">
        <v>0.11409260446970522</v>
      </c>
      <c r="H64" s="41" t="s">
        <v>39</v>
      </c>
      <c r="I64" s="41">
        <v>6.1933588798590646</v>
      </c>
      <c r="J64" s="41" t="s">
        <v>39</v>
      </c>
      <c r="K64" s="41">
        <v>4.1985204188376208</v>
      </c>
      <c r="L64" s="41" t="s">
        <v>39</v>
      </c>
      <c r="M64" s="41">
        <v>0.23678993846290086</v>
      </c>
      <c r="N64" s="42" t="s">
        <v>39</v>
      </c>
      <c r="O64" s="42">
        <v>1.4171843398448591</v>
      </c>
      <c r="P64" s="42" t="s">
        <v>39</v>
      </c>
      <c r="Z64" s="43"/>
    </row>
    <row r="65" spans="1:26" ht="13.5" customHeight="1" x14ac:dyDescent="0.2">
      <c r="A65" s="39">
        <v>73</v>
      </c>
      <c r="B65" s="39" t="s">
        <v>87</v>
      </c>
      <c r="C65" s="40">
        <v>10</v>
      </c>
      <c r="D65" s="41">
        <v>102.43816465033156</v>
      </c>
      <c r="E65" s="41">
        <v>92.763308279053831</v>
      </c>
      <c r="F65" s="41">
        <v>0.44824333266386462</v>
      </c>
      <c r="G65" s="41">
        <v>6.5461822671501205E-2</v>
      </c>
      <c r="H65" s="41" t="s">
        <v>39</v>
      </c>
      <c r="I65" s="41">
        <v>6.1669443223653566</v>
      </c>
      <c r="J65" s="41" t="s">
        <v>39</v>
      </c>
      <c r="K65" s="41">
        <v>4.2361282192917376</v>
      </c>
      <c r="L65" s="41" t="s">
        <v>39</v>
      </c>
      <c r="M65" s="41" t="s">
        <v>39</v>
      </c>
      <c r="N65" s="42" t="s">
        <v>39</v>
      </c>
      <c r="O65" s="42">
        <v>1.4694211172899991</v>
      </c>
      <c r="P65" s="42" t="s">
        <v>39</v>
      </c>
      <c r="Z65" s="43"/>
    </row>
    <row r="66" spans="1:26" ht="13.5" customHeight="1" x14ac:dyDescent="0.2">
      <c r="A66" s="39">
        <v>74</v>
      </c>
      <c r="B66" s="39" t="s">
        <v>88</v>
      </c>
      <c r="C66" s="40">
        <v>10</v>
      </c>
      <c r="D66" s="41">
        <v>102.46618335518617</v>
      </c>
      <c r="E66" s="41">
        <v>92.962309460418822</v>
      </c>
      <c r="F66" s="41">
        <v>0.36324565139275955</v>
      </c>
      <c r="G66" s="41">
        <v>6.6867563894497328E-2</v>
      </c>
      <c r="H66" s="41">
        <v>5.4953606821972423E-2</v>
      </c>
      <c r="I66" s="41">
        <v>6.2421938026437997</v>
      </c>
      <c r="J66" s="41" t="s">
        <v>39</v>
      </c>
      <c r="K66" s="41">
        <v>4.258818488452504</v>
      </c>
      <c r="L66" s="41">
        <v>1.5168738807696711E-3</v>
      </c>
      <c r="M66" s="41" t="s">
        <v>39</v>
      </c>
      <c r="N66" s="42" t="s">
        <v>39</v>
      </c>
      <c r="O66" s="42">
        <v>1.0441492732420774</v>
      </c>
      <c r="P66" s="42" t="s">
        <v>39</v>
      </c>
      <c r="Z66" s="43"/>
    </row>
    <row r="67" spans="1:26" ht="13.5" customHeight="1" x14ac:dyDescent="0.2">
      <c r="A67" s="39">
        <v>75</v>
      </c>
      <c r="B67" s="39" t="s">
        <v>89</v>
      </c>
      <c r="C67" s="40">
        <v>10</v>
      </c>
      <c r="D67" s="41">
        <v>101.60991649962016</v>
      </c>
      <c r="E67" s="41">
        <v>92.055681088591527</v>
      </c>
      <c r="F67" s="41">
        <v>0.37477906020453489</v>
      </c>
      <c r="G67" s="41">
        <v>7.1666123114666039E-2</v>
      </c>
      <c r="H67" s="41">
        <v>0.31261949254576599</v>
      </c>
      <c r="I67" s="41">
        <v>6.3496810260563752</v>
      </c>
      <c r="J67" s="41" t="s">
        <v>39</v>
      </c>
      <c r="K67" s="41">
        <v>4.3384305242141501</v>
      </c>
      <c r="L67" s="41" t="s">
        <v>39</v>
      </c>
      <c r="M67" s="41">
        <v>0.56389591013661411</v>
      </c>
      <c r="N67" s="42" t="s">
        <v>39</v>
      </c>
      <c r="O67" s="42">
        <v>1.1963009079461087</v>
      </c>
      <c r="P67" s="42" t="s">
        <v>39</v>
      </c>
      <c r="Z67" s="43"/>
    </row>
    <row r="68" spans="1:26" ht="13.5" customHeight="1" x14ac:dyDescent="0.2">
      <c r="A68" s="39">
        <v>76</v>
      </c>
      <c r="B68" s="39" t="s">
        <v>90</v>
      </c>
      <c r="C68" s="40">
        <v>10</v>
      </c>
      <c r="D68" s="41">
        <v>94.886231261215812</v>
      </c>
      <c r="E68" s="41">
        <v>85.973890154790169</v>
      </c>
      <c r="F68" s="41">
        <v>0.51678558040862621</v>
      </c>
      <c r="G68" s="41" t="s">
        <v>39</v>
      </c>
      <c r="H68" s="41" t="s">
        <v>39</v>
      </c>
      <c r="I68" s="41">
        <v>5.719266714376996</v>
      </c>
      <c r="J68" s="41" t="s">
        <v>39</v>
      </c>
      <c r="K68" s="41">
        <v>3.9432299939501929</v>
      </c>
      <c r="L68" s="41" t="s">
        <v>39</v>
      </c>
      <c r="M68" s="41" t="s">
        <v>39</v>
      </c>
      <c r="N68" s="42" t="s">
        <v>39</v>
      </c>
      <c r="O68" s="42">
        <v>2.3329643133381781</v>
      </c>
      <c r="P68" s="42" t="s">
        <v>39</v>
      </c>
      <c r="Z68" s="43"/>
    </row>
    <row r="69" spans="1:26" ht="13.5" customHeight="1" x14ac:dyDescent="0.2">
      <c r="A69" s="39">
        <v>77</v>
      </c>
      <c r="B69" s="39" t="s">
        <v>91</v>
      </c>
      <c r="C69" s="40">
        <v>10</v>
      </c>
      <c r="D69" s="41">
        <v>68.207522230701599</v>
      </c>
      <c r="E69" s="41">
        <v>79.803292475223074</v>
      </c>
      <c r="F69" s="41">
        <v>3.1159620483304007</v>
      </c>
      <c r="G69" s="41">
        <v>2.4173481524539797</v>
      </c>
      <c r="H69" s="41">
        <v>0.49174407030166245</v>
      </c>
      <c r="I69" s="41">
        <v>5.2126533818872653</v>
      </c>
      <c r="J69" s="41">
        <v>0.89827950128822209</v>
      </c>
      <c r="K69" s="41">
        <v>4.0653050680314848</v>
      </c>
      <c r="L69" s="41">
        <v>0.1147054467718648</v>
      </c>
      <c r="M69" s="41">
        <v>3.274095188035131E-2</v>
      </c>
      <c r="N69" s="42">
        <v>6.9618476676774187E-3</v>
      </c>
      <c r="O69" s="42">
        <v>0.56914809925402621</v>
      </c>
      <c r="P69" s="42" t="s">
        <v>39</v>
      </c>
      <c r="Z69" s="43"/>
    </row>
    <row r="70" spans="1:26" ht="13.5" customHeight="1" x14ac:dyDescent="0.2">
      <c r="A70" s="39">
        <v>78</v>
      </c>
      <c r="B70" s="39" t="s">
        <v>92</v>
      </c>
      <c r="C70" s="40">
        <v>10</v>
      </c>
      <c r="D70" s="41">
        <v>71.267064292779281</v>
      </c>
      <c r="E70" s="41">
        <v>80.088265709402592</v>
      </c>
      <c r="F70" s="41">
        <v>2.6715958100629722</v>
      </c>
      <c r="G70" s="41">
        <v>2.0606881056491266</v>
      </c>
      <c r="H70" s="41">
        <v>0.33782457645787717</v>
      </c>
      <c r="I70" s="41">
        <v>5.1377395211830894</v>
      </c>
      <c r="J70" s="41">
        <v>0.94566999499512516</v>
      </c>
      <c r="K70" s="41">
        <v>4.046472347410619</v>
      </c>
      <c r="L70" s="41">
        <v>0.17234689380083984</v>
      </c>
      <c r="M70" s="41">
        <v>9.4340452394911622E-2</v>
      </c>
      <c r="N70" s="42">
        <v>5.6158788027387517E-3</v>
      </c>
      <c r="O70" s="42">
        <v>0.64419925863877237</v>
      </c>
      <c r="P70" s="42" t="s">
        <v>39</v>
      </c>
      <c r="Z70" s="43"/>
    </row>
    <row r="71" spans="1:26" ht="13.5" customHeight="1" x14ac:dyDescent="0.2">
      <c r="A71" s="39">
        <v>79</v>
      </c>
      <c r="B71" s="39" t="s">
        <v>93</v>
      </c>
      <c r="C71" s="40">
        <v>10</v>
      </c>
      <c r="D71" s="41">
        <v>64.536162094525253</v>
      </c>
      <c r="E71" s="41">
        <v>78.531259179302339</v>
      </c>
      <c r="F71" s="41">
        <v>3.7850853887543852</v>
      </c>
      <c r="G71" s="41">
        <v>2.7340974269978786</v>
      </c>
      <c r="H71" s="41">
        <v>0.51467826282446683</v>
      </c>
      <c r="I71" s="41">
        <v>5.1931427592750135</v>
      </c>
      <c r="J71" s="41">
        <v>0.9845999241084975</v>
      </c>
      <c r="K71" s="41">
        <v>4.0567195040846808</v>
      </c>
      <c r="L71" s="41">
        <v>0.3010718219273823</v>
      </c>
      <c r="M71" s="41">
        <v>0.23521414723407877</v>
      </c>
      <c r="N71" s="42">
        <v>9.5572655073420457E-3</v>
      </c>
      <c r="O71" s="42">
        <v>0.60980809067274899</v>
      </c>
      <c r="P71" s="42" t="s">
        <v>39</v>
      </c>
      <c r="Z71" s="43"/>
    </row>
    <row r="72" spans="1:26" ht="13.5" customHeight="1" x14ac:dyDescent="0.2">
      <c r="A72" s="39">
        <v>80</v>
      </c>
      <c r="B72" s="39" t="s">
        <v>94</v>
      </c>
      <c r="C72" s="40">
        <v>10</v>
      </c>
      <c r="D72" s="41">
        <v>72.738063017291125</v>
      </c>
      <c r="E72" s="41">
        <v>81.306513628285742</v>
      </c>
      <c r="F72" s="41">
        <v>2.2252391962396856</v>
      </c>
      <c r="G72" s="41">
        <v>2.2159313390680717</v>
      </c>
      <c r="H72" s="41">
        <v>0.46423162940906476</v>
      </c>
      <c r="I72" s="41">
        <v>5.2941598743151177</v>
      </c>
      <c r="J72" s="41">
        <v>0.89382684770778353</v>
      </c>
      <c r="K72" s="41">
        <v>4.2140411542991645</v>
      </c>
      <c r="L72" s="41">
        <v>6.0570231669727789E-2</v>
      </c>
      <c r="M72" s="41" t="s">
        <v>39</v>
      </c>
      <c r="N72" s="42">
        <v>4.1163547559224418E-3</v>
      </c>
      <c r="O72" s="42">
        <v>0.44164095730444491</v>
      </c>
      <c r="P72" s="42" t="s">
        <v>39</v>
      </c>
      <c r="Z72" s="43"/>
    </row>
    <row r="73" spans="1:26" ht="13.5" customHeight="1" x14ac:dyDescent="0.2">
      <c r="A73" s="39">
        <v>81</v>
      </c>
      <c r="B73" s="39" t="s">
        <v>95</v>
      </c>
      <c r="C73" s="40">
        <v>10</v>
      </c>
      <c r="D73" s="41">
        <v>67.745204805684253</v>
      </c>
      <c r="E73" s="41">
        <v>78.658244231515482</v>
      </c>
      <c r="F73" s="41">
        <v>2.6152457843624992</v>
      </c>
      <c r="G73" s="41">
        <v>2.5732158790512374</v>
      </c>
      <c r="H73" s="41">
        <v>0.48411143629753678</v>
      </c>
      <c r="I73" s="41">
        <v>5.269707375789439</v>
      </c>
      <c r="J73" s="41">
        <v>0.95522556317082974</v>
      </c>
      <c r="K73" s="41">
        <v>4.1485407483867318</v>
      </c>
      <c r="L73" s="41">
        <v>8.7987225735056102E-2</v>
      </c>
      <c r="M73" s="41">
        <v>1.248617041801744E-2</v>
      </c>
      <c r="N73" s="42">
        <v>1.1960364947512252E-2</v>
      </c>
      <c r="O73" s="42">
        <v>0.50302005192662913</v>
      </c>
      <c r="P73" s="42" t="s">
        <v>39</v>
      </c>
      <c r="Z73" s="43"/>
    </row>
    <row r="74" spans="1:26" ht="13.5" customHeight="1" x14ac:dyDescent="0.2">
      <c r="A74" s="39">
        <v>82</v>
      </c>
      <c r="B74" s="39" t="s">
        <v>96</v>
      </c>
      <c r="C74" s="40">
        <v>10</v>
      </c>
      <c r="D74" s="41">
        <v>61.369744286082913</v>
      </c>
      <c r="E74" s="41">
        <v>76.380123295428191</v>
      </c>
      <c r="F74" s="41">
        <v>3.232973230428227</v>
      </c>
      <c r="G74" s="41">
        <v>3.048033162836397</v>
      </c>
      <c r="H74" s="41">
        <v>0.32496982535699914</v>
      </c>
      <c r="I74" s="41">
        <v>5.2710602102279314</v>
      </c>
      <c r="J74" s="41">
        <v>0.9918920860039494</v>
      </c>
      <c r="K74" s="41">
        <v>4.0613929325432725</v>
      </c>
      <c r="L74" s="41">
        <v>0.17972901461118448</v>
      </c>
      <c r="M74" s="41">
        <v>5.3971661524223224E-2</v>
      </c>
      <c r="N74" s="42">
        <v>1.4662256494527667E-2</v>
      </c>
      <c r="O74" s="42">
        <v>0.5121292170726145</v>
      </c>
      <c r="P74" s="42" t="s">
        <v>39</v>
      </c>
      <c r="Z74" s="43"/>
    </row>
    <row r="75" spans="1:26" ht="13.5" customHeight="1" x14ac:dyDescent="0.2">
      <c r="A75" s="39">
        <v>83</v>
      </c>
      <c r="B75" s="39" t="s">
        <v>97</v>
      </c>
      <c r="C75" s="40">
        <v>10</v>
      </c>
      <c r="D75" s="41">
        <v>62.839971914551839</v>
      </c>
      <c r="E75" s="41">
        <v>76.889684815836659</v>
      </c>
      <c r="F75" s="41">
        <v>3.1734864784042491</v>
      </c>
      <c r="G75" s="41">
        <v>2.8530556987137796</v>
      </c>
      <c r="H75" s="41">
        <v>0.34906455375728918</v>
      </c>
      <c r="I75" s="41">
        <v>5.4574317308655731</v>
      </c>
      <c r="J75" s="41">
        <v>1.1690094450385975</v>
      </c>
      <c r="K75" s="41">
        <v>4.1650926029293869</v>
      </c>
      <c r="L75" s="41">
        <v>0.26334870280530687</v>
      </c>
      <c r="M75" s="41">
        <v>8.5061029532857962E-2</v>
      </c>
      <c r="N75" s="42">
        <v>3.4440580432449117E-2</v>
      </c>
      <c r="O75" s="42">
        <v>0.44834979928388535</v>
      </c>
      <c r="P75" s="42" t="s">
        <v>39</v>
      </c>
      <c r="Z75" s="43"/>
    </row>
    <row r="76" spans="1:26" ht="13.5" customHeight="1" x14ac:dyDescent="0.2">
      <c r="A76" s="39">
        <v>84</v>
      </c>
      <c r="B76" s="39" t="s">
        <v>98</v>
      </c>
      <c r="C76" s="40">
        <v>10</v>
      </c>
      <c r="D76" s="41">
        <v>63.067831122514775</v>
      </c>
      <c r="E76" s="41">
        <v>77.638365781941374</v>
      </c>
      <c r="F76" s="41">
        <v>3.2958279158697628</v>
      </c>
      <c r="G76" s="41">
        <v>2.9632026739619861</v>
      </c>
      <c r="H76" s="41">
        <v>0.41740031763786217</v>
      </c>
      <c r="I76" s="41">
        <v>5.2598280388094256</v>
      </c>
      <c r="J76" s="41">
        <v>1.040186387701207</v>
      </c>
      <c r="K76" s="41">
        <v>4.1059332266142015</v>
      </c>
      <c r="L76" s="41">
        <v>0.19576845229985593</v>
      </c>
      <c r="M76" s="41">
        <v>7.1722208690954359E-2</v>
      </c>
      <c r="N76" s="42">
        <v>1.4913290416638888E-2</v>
      </c>
      <c r="O76" s="42">
        <v>0.48228946445099263</v>
      </c>
      <c r="P76" s="42" t="s">
        <v>39</v>
      </c>
      <c r="Z76" s="43"/>
    </row>
    <row r="77" spans="1:26" ht="13.5" customHeight="1" x14ac:dyDescent="0.2">
      <c r="A77" s="39">
        <v>85</v>
      </c>
      <c r="B77" s="39" t="s">
        <v>99</v>
      </c>
      <c r="C77" s="40">
        <v>10</v>
      </c>
      <c r="D77" s="41">
        <v>68.0578656238051</v>
      </c>
      <c r="E77" s="41">
        <v>78.632881522988342</v>
      </c>
      <c r="F77" s="41">
        <v>2.204301217106194</v>
      </c>
      <c r="G77" s="41">
        <v>2.5658623608475977</v>
      </c>
      <c r="H77" s="41">
        <v>0.37407703726113772</v>
      </c>
      <c r="I77" s="41">
        <v>5.3137040888588309</v>
      </c>
      <c r="J77" s="41">
        <v>0.9753438730587467</v>
      </c>
      <c r="K77" s="41">
        <v>4.1920222561316658</v>
      </c>
      <c r="L77" s="41">
        <v>8.3750437243315309E-2</v>
      </c>
      <c r="M77" s="41">
        <v>3.8383628541963175E-3</v>
      </c>
      <c r="N77" s="42">
        <v>1.4910496494455522E-2</v>
      </c>
      <c r="O77" s="42">
        <v>0.3574495251179815</v>
      </c>
      <c r="P77" s="42" t="s">
        <v>39</v>
      </c>
      <c r="Z77" s="43"/>
    </row>
    <row r="78" spans="1:26" ht="13.5" customHeight="1" x14ac:dyDescent="0.2">
      <c r="A78" s="39">
        <v>86</v>
      </c>
      <c r="B78" s="39" t="s">
        <v>100</v>
      </c>
      <c r="C78" s="40">
        <v>10</v>
      </c>
      <c r="D78" s="41">
        <v>60.830306445385091</v>
      </c>
      <c r="E78" s="41">
        <v>74.801738753352907</v>
      </c>
      <c r="F78" s="41">
        <v>2.6664518447354322</v>
      </c>
      <c r="G78" s="41">
        <v>3.1191405862551624</v>
      </c>
      <c r="H78" s="41">
        <v>0.47218059876197715</v>
      </c>
      <c r="I78" s="41">
        <v>5.3187316137007512</v>
      </c>
      <c r="J78" s="41">
        <v>0.95775275431679585</v>
      </c>
      <c r="K78" s="41">
        <v>4.1170158237981527</v>
      </c>
      <c r="L78" s="41">
        <v>0.11498542312841878</v>
      </c>
      <c r="M78" s="41">
        <v>2.1575700854355964E-2</v>
      </c>
      <c r="N78" s="42">
        <v>2.7142235147503802E-2</v>
      </c>
      <c r="O78" s="42">
        <v>0.40960351986701249</v>
      </c>
      <c r="P78" s="42" t="s">
        <v>39</v>
      </c>
      <c r="Z78" s="43"/>
    </row>
    <row r="79" spans="1:26" ht="13.5" customHeight="1" x14ac:dyDescent="0.2">
      <c r="A79" s="39">
        <v>87</v>
      </c>
      <c r="B79" s="39" t="s">
        <v>101</v>
      </c>
      <c r="C79" s="40">
        <v>10</v>
      </c>
      <c r="D79" s="41">
        <v>66.321278980512076</v>
      </c>
      <c r="E79" s="41">
        <v>78.106462444402723</v>
      </c>
      <c r="F79" s="41">
        <v>2.4958549205232265</v>
      </c>
      <c r="G79" s="41">
        <v>2.7923734234912163</v>
      </c>
      <c r="H79" s="41">
        <v>0.41596709690248307</v>
      </c>
      <c r="I79" s="41">
        <v>5.3694142842946864</v>
      </c>
      <c r="J79" s="41">
        <v>0.88473223757569341</v>
      </c>
      <c r="K79" s="41">
        <v>4.0706741015424122</v>
      </c>
      <c r="L79" s="41">
        <v>6.0783141570942063E-2</v>
      </c>
      <c r="M79" s="41">
        <v>1.0549222234395878E-3</v>
      </c>
      <c r="N79" s="42">
        <v>2.3738418088014308E-2</v>
      </c>
      <c r="O79" s="42">
        <v>0.46624041326089821</v>
      </c>
      <c r="P79" s="42" t="s">
        <v>39</v>
      </c>
      <c r="Z79" s="43"/>
    </row>
    <row r="80" spans="1:26" ht="13.5" customHeight="1" x14ac:dyDescent="0.2">
      <c r="A80" s="39">
        <v>88</v>
      </c>
      <c r="B80" s="39" t="s">
        <v>102</v>
      </c>
      <c r="C80" s="40">
        <v>10</v>
      </c>
      <c r="D80" s="41">
        <v>63.771271234824063</v>
      </c>
      <c r="E80" s="41">
        <v>76.537638472518708</v>
      </c>
      <c r="F80" s="41">
        <v>2.6155058256014661</v>
      </c>
      <c r="G80" s="41">
        <v>2.9081945033110959</v>
      </c>
      <c r="H80" s="41">
        <v>0.40131193594787035</v>
      </c>
      <c r="I80" s="41">
        <v>5.4955735377831418</v>
      </c>
      <c r="J80" s="41">
        <v>1.0564039568399957</v>
      </c>
      <c r="K80" s="41">
        <v>4.2081737234533758</v>
      </c>
      <c r="L80" s="41">
        <v>0.13137056917512832</v>
      </c>
      <c r="M80" s="41">
        <v>2.8175370951641243E-2</v>
      </c>
      <c r="N80" s="42">
        <v>3.0992918425122046E-2</v>
      </c>
      <c r="O80" s="42">
        <v>0.4230114386492797</v>
      </c>
      <c r="P80" s="42" t="s">
        <v>39</v>
      </c>
      <c r="Z80" s="43"/>
    </row>
    <row r="81" spans="1:26" ht="13.5" customHeight="1" x14ac:dyDescent="0.2">
      <c r="A81" s="39">
        <v>89</v>
      </c>
      <c r="B81" s="39" t="s">
        <v>103</v>
      </c>
      <c r="C81" s="40">
        <v>10</v>
      </c>
      <c r="D81" s="41">
        <v>63.824562413277626</v>
      </c>
      <c r="E81" s="41">
        <v>77.708429854431529</v>
      </c>
      <c r="F81" s="41">
        <v>3.0136109909077669</v>
      </c>
      <c r="G81" s="41">
        <v>2.9323474137903558</v>
      </c>
      <c r="H81" s="41">
        <v>0.27689649031930214</v>
      </c>
      <c r="I81" s="41">
        <v>5.3172914766680845</v>
      </c>
      <c r="J81" s="41">
        <v>0.96341826691744181</v>
      </c>
      <c r="K81" s="41">
        <v>4.0514669402947492</v>
      </c>
      <c r="L81" s="41">
        <v>0.13500473225578896</v>
      </c>
      <c r="M81" s="41">
        <v>3.7816600491709193E-2</v>
      </c>
      <c r="N81" s="42">
        <v>1.7011251139654363E-2</v>
      </c>
      <c r="O81" s="42">
        <v>0.43194073182488474</v>
      </c>
      <c r="P81" s="42" t="s">
        <v>39</v>
      </c>
      <c r="Z81" s="43"/>
    </row>
    <row r="82" spans="1:26" ht="13.5" customHeight="1" x14ac:dyDescent="0.2">
      <c r="A82" s="39">
        <v>90</v>
      </c>
      <c r="B82" s="39" t="s">
        <v>104</v>
      </c>
      <c r="C82" s="40">
        <v>10</v>
      </c>
      <c r="D82" s="41">
        <v>61.761057163478696</v>
      </c>
      <c r="E82" s="41">
        <v>76.320858862554587</v>
      </c>
      <c r="F82" s="41">
        <v>3.0997093500693644</v>
      </c>
      <c r="G82" s="41">
        <v>2.9909933389373293</v>
      </c>
      <c r="H82" s="41">
        <v>0.32383257949565647</v>
      </c>
      <c r="I82" s="41">
        <v>5.398510198395079</v>
      </c>
      <c r="J82" s="41">
        <v>0.99342035213100199</v>
      </c>
      <c r="K82" s="41">
        <v>4.1228024685267197</v>
      </c>
      <c r="L82" s="41">
        <v>0.18519256351181859</v>
      </c>
      <c r="M82" s="41">
        <v>6.8142876163063457E-2</v>
      </c>
      <c r="N82" s="42">
        <v>2.1705057075585808E-2</v>
      </c>
      <c r="O82" s="42">
        <v>0.41549634643394084</v>
      </c>
      <c r="P82" s="42" t="s">
        <v>39</v>
      </c>
      <c r="Z82" s="43"/>
    </row>
    <row r="83" spans="1:26" ht="13.5" customHeight="1" x14ac:dyDescent="0.2">
      <c r="A83" s="39">
        <v>91</v>
      </c>
      <c r="B83" s="39" t="s">
        <v>105</v>
      </c>
      <c r="C83" s="40">
        <v>10</v>
      </c>
      <c r="D83" s="41">
        <v>68.619398738746341</v>
      </c>
      <c r="E83" s="41">
        <v>79.658645619078058</v>
      </c>
      <c r="F83" s="41">
        <v>2.5778801819709907</v>
      </c>
      <c r="G83" s="41">
        <v>2.4429324142031463</v>
      </c>
      <c r="H83" s="41">
        <v>0.32749321401115183</v>
      </c>
      <c r="I83" s="41">
        <v>5.2841666610283458</v>
      </c>
      <c r="J83" s="41">
        <v>0.83369584643754646</v>
      </c>
      <c r="K83" s="41">
        <v>4.0613992593900665</v>
      </c>
      <c r="L83" s="41">
        <v>6.5607289297563681E-2</v>
      </c>
      <c r="M83" s="41">
        <v>1.6267886260358425E-2</v>
      </c>
      <c r="N83" s="42">
        <v>9.6023297052019469E-3</v>
      </c>
      <c r="O83" s="42">
        <v>0.39855005026622309</v>
      </c>
      <c r="P83" s="42" t="s">
        <v>39</v>
      </c>
      <c r="Z83" s="43"/>
    </row>
    <row r="84" spans="1:26" ht="13.5" customHeight="1" x14ac:dyDescent="0.2">
      <c r="A84" s="39">
        <v>92</v>
      </c>
      <c r="B84" s="39" t="s">
        <v>106</v>
      </c>
      <c r="C84" s="40">
        <v>10</v>
      </c>
      <c r="D84" s="41">
        <v>67.263562147561302</v>
      </c>
      <c r="E84" s="41">
        <v>78.653752222323931</v>
      </c>
      <c r="F84" s="41">
        <v>2.6939787330365714</v>
      </c>
      <c r="G84" s="41">
        <v>2.3728455258718313</v>
      </c>
      <c r="H84" s="41">
        <v>0.40518130568029503</v>
      </c>
      <c r="I84" s="41">
        <v>5.3169683990740966</v>
      </c>
      <c r="J84" s="41">
        <v>0.99590573358226131</v>
      </c>
      <c r="K84" s="41">
        <v>4.010760460914998</v>
      </c>
      <c r="L84" s="41">
        <v>0.12448258680553645</v>
      </c>
      <c r="M84" s="41">
        <v>5.5485445578166363E-2</v>
      </c>
      <c r="N84" s="42">
        <v>1.2082409800145548E-2</v>
      </c>
      <c r="O84" s="42">
        <v>0.41238671685622974</v>
      </c>
      <c r="P84" s="42" t="s">
        <v>39</v>
      </c>
      <c r="Z84" s="43"/>
    </row>
    <row r="85" spans="1:26" ht="13.5" customHeight="1" x14ac:dyDescent="0.2">
      <c r="A85" s="39">
        <v>93</v>
      </c>
      <c r="B85" s="39" t="s">
        <v>107</v>
      </c>
      <c r="C85" s="40">
        <v>10</v>
      </c>
      <c r="D85" s="41">
        <v>66.999060628021127</v>
      </c>
      <c r="E85" s="41">
        <v>78.070782661095592</v>
      </c>
      <c r="F85" s="41">
        <v>3.1453589176285446</v>
      </c>
      <c r="G85" s="41">
        <v>2.3270852446851</v>
      </c>
      <c r="H85" s="41">
        <v>0.46612633381536978</v>
      </c>
      <c r="I85" s="41">
        <v>5.2488130609581543</v>
      </c>
      <c r="J85" s="41">
        <v>1.0303303190630528</v>
      </c>
      <c r="K85" s="41">
        <v>3.9735287860872925</v>
      </c>
      <c r="L85" s="41">
        <v>4.8420768080086614E-2</v>
      </c>
      <c r="M85" s="41">
        <v>3.3846153112580865E-2</v>
      </c>
      <c r="N85" s="42">
        <v>1.2667082536325975E-2</v>
      </c>
      <c r="O85" s="42">
        <v>0.44798669761953297</v>
      </c>
      <c r="P85" s="42" t="s">
        <v>39</v>
      </c>
      <c r="Z85" s="43"/>
    </row>
    <row r="86" spans="1:26" ht="13.5" customHeight="1" x14ac:dyDescent="0.2">
      <c r="A86" s="39">
        <v>94</v>
      </c>
      <c r="B86" s="39" t="s">
        <v>108</v>
      </c>
      <c r="C86" s="40">
        <v>10</v>
      </c>
      <c r="D86" s="41">
        <v>74.60289767665374</v>
      </c>
      <c r="E86" s="41">
        <v>83.89389760578797</v>
      </c>
      <c r="F86" s="41">
        <v>2.480270376595199</v>
      </c>
      <c r="G86" s="41">
        <v>2.1251056153112637</v>
      </c>
      <c r="H86" s="41">
        <v>0.4283723269638694</v>
      </c>
      <c r="I86" s="41">
        <v>5.6128868880067984</v>
      </c>
      <c r="J86" s="41">
        <v>1.0853612899844727</v>
      </c>
      <c r="K86" s="41">
        <v>4.2562457181427868</v>
      </c>
      <c r="L86" s="41">
        <v>5.7103248237233659E-2</v>
      </c>
      <c r="M86" s="41">
        <v>3.4045232580098232E-3</v>
      </c>
      <c r="N86" s="42">
        <v>1.5721359335269271E-2</v>
      </c>
      <c r="O86" s="42">
        <v>0.40935605475004333</v>
      </c>
      <c r="P86" s="42" t="s">
        <v>39</v>
      </c>
      <c r="Z86" s="43"/>
    </row>
    <row r="87" spans="1:26" ht="13.5" customHeight="1" x14ac:dyDescent="0.2">
      <c r="A87" s="39">
        <v>95</v>
      </c>
      <c r="B87" s="39" t="s">
        <v>109</v>
      </c>
      <c r="C87" s="40">
        <v>10</v>
      </c>
      <c r="D87" s="41">
        <v>72.060627945441084</v>
      </c>
      <c r="E87" s="41">
        <v>80.880482495342235</v>
      </c>
      <c r="F87" s="41">
        <v>2.538107549127389</v>
      </c>
      <c r="G87" s="41">
        <v>2.0357665699490162</v>
      </c>
      <c r="H87" s="41">
        <v>0.3573648090585419</v>
      </c>
      <c r="I87" s="41">
        <v>5.2026259036981148</v>
      </c>
      <c r="J87" s="41">
        <v>0.9741757566942677</v>
      </c>
      <c r="K87" s="41">
        <v>4.0254567703318189</v>
      </c>
      <c r="L87" s="41">
        <v>7.7601632649176064E-2</v>
      </c>
      <c r="M87" s="41">
        <v>1.6097008359113846E-2</v>
      </c>
      <c r="N87" s="42">
        <v>7.5478490661435287E-3</v>
      </c>
      <c r="O87" s="42">
        <v>0.48474230967670512</v>
      </c>
      <c r="P87" s="42" t="s">
        <v>39</v>
      </c>
      <c r="Z87" s="43"/>
    </row>
    <row r="88" spans="1:26" ht="13.5" customHeight="1" x14ac:dyDescent="0.2">
      <c r="A88" s="39">
        <v>96</v>
      </c>
      <c r="B88" s="39" t="s">
        <v>110</v>
      </c>
      <c r="C88" s="40">
        <v>10</v>
      </c>
      <c r="D88" s="41">
        <v>53.984377818771392</v>
      </c>
      <c r="E88" s="41">
        <v>73.73246968551986</v>
      </c>
      <c r="F88" s="41">
        <v>3.8333724337214541</v>
      </c>
      <c r="G88" s="41">
        <v>3.5509740569011168</v>
      </c>
      <c r="H88" s="41">
        <v>0.3768418366859056</v>
      </c>
      <c r="I88" s="41">
        <v>5.2821656842295441</v>
      </c>
      <c r="J88" s="41">
        <v>1.0568566049362444</v>
      </c>
      <c r="K88" s="41">
        <v>3.9408584457009894</v>
      </c>
      <c r="L88" s="41">
        <v>0.24892748879460613</v>
      </c>
      <c r="M88" s="41">
        <v>9.1473998040130955E-2</v>
      </c>
      <c r="N88" s="42">
        <v>1.4526010132400095E-2</v>
      </c>
      <c r="O88" s="42">
        <v>0.35778008724539739</v>
      </c>
      <c r="P88" s="42" t="s">
        <v>39</v>
      </c>
      <c r="Z88" s="43"/>
    </row>
    <row r="89" spans="1:26" ht="13.5" customHeight="1" x14ac:dyDescent="0.2">
      <c r="A89" s="39">
        <v>97</v>
      </c>
      <c r="B89" s="39" t="s">
        <v>111</v>
      </c>
      <c r="C89" s="40">
        <v>10</v>
      </c>
      <c r="D89" s="41">
        <v>69.352245188587403</v>
      </c>
      <c r="E89" s="41">
        <v>79.253221707708533</v>
      </c>
      <c r="F89" s="41">
        <v>2.6021744752247642</v>
      </c>
      <c r="G89" s="41">
        <v>2.1148008462644756</v>
      </c>
      <c r="H89" s="41">
        <v>0.41510676607339503</v>
      </c>
      <c r="I89" s="41">
        <v>5.1219455720243969</v>
      </c>
      <c r="J89" s="41">
        <v>0.87559377126192983</v>
      </c>
      <c r="K89" s="41">
        <v>3.9786730185344417</v>
      </c>
      <c r="L89" s="41">
        <v>0.18228541858193306</v>
      </c>
      <c r="M89" s="41">
        <v>0.11327335100980551</v>
      </c>
      <c r="N89" s="42">
        <v>3.7326772027727125E-3</v>
      </c>
      <c r="O89" s="42">
        <v>0.46222876574606753</v>
      </c>
      <c r="P89" s="42" t="s">
        <v>39</v>
      </c>
      <c r="Z89" s="43"/>
    </row>
    <row r="90" spans="1:26" ht="13.5" customHeight="1" x14ac:dyDescent="0.2">
      <c r="A90" s="39">
        <v>98</v>
      </c>
      <c r="B90" s="39" t="s">
        <v>112</v>
      </c>
      <c r="C90" s="40">
        <v>10</v>
      </c>
      <c r="D90" s="41">
        <v>58.359785520255116</v>
      </c>
      <c r="E90" s="41">
        <v>74.147177358315091</v>
      </c>
      <c r="F90" s="41">
        <v>2.5804462445247052</v>
      </c>
      <c r="G90" s="41">
        <v>3.2651181230699562</v>
      </c>
      <c r="H90" s="41">
        <v>0.30560216385188793</v>
      </c>
      <c r="I90" s="41">
        <v>5.1453734670086497</v>
      </c>
      <c r="J90" s="41">
        <v>1.0278148563431013</v>
      </c>
      <c r="K90" s="41">
        <v>4.0792527987630312</v>
      </c>
      <c r="L90" s="41">
        <v>9.6290830623369322E-2</v>
      </c>
      <c r="M90" s="41">
        <v>5.3026365680746486E-2</v>
      </c>
      <c r="N90" s="42">
        <v>3.0089839659225097E-3</v>
      </c>
      <c r="O90" s="42">
        <v>0.33958082762817149</v>
      </c>
      <c r="P90" s="42" t="s">
        <v>39</v>
      </c>
      <c r="Z90" s="43"/>
    </row>
    <row r="91" spans="1:26" ht="13.5" customHeight="1" x14ac:dyDescent="0.2">
      <c r="A91" s="39">
        <v>99</v>
      </c>
      <c r="B91" s="39" t="s">
        <v>113</v>
      </c>
      <c r="C91" s="40">
        <v>10</v>
      </c>
      <c r="D91" s="41">
        <v>54.427047530119587</v>
      </c>
      <c r="E91" s="41">
        <v>72.90289776135252</v>
      </c>
      <c r="F91" s="41">
        <v>3.0479804735701865</v>
      </c>
      <c r="G91" s="41">
        <v>3.7592862204922262</v>
      </c>
      <c r="H91" s="41">
        <v>0.31330644206011471</v>
      </c>
      <c r="I91" s="41">
        <v>5.3442028575166987</v>
      </c>
      <c r="J91" s="41">
        <v>1.0659717341876711</v>
      </c>
      <c r="K91" s="41">
        <v>4.177711978561029</v>
      </c>
      <c r="L91" s="41">
        <v>0.22936790536789325</v>
      </c>
      <c r="M91" s="41">
        <v>0.10859404028963536</v>
      </c>
      <c r="N91" s="42">
        <v>9.1588279825224675E-3</v>
      </c>
      <c r="O91" s="42">
        <v>0.33793932718477437</v>
      </c>
      <c r="P91" s="42">
        <v>0.10294734751202154</v>
      </c>
      <c r="Z91" s="43"/>
    </row>
    <row r="92" spans="1:26" ht="13.5" customHeight="1" x14ac:dyDescent="0.2">
      <c r="A92" s="39">
        <v>100</v>
      </c>
      <c r="B92" s="39" t="s">
        <v>114</v>
      </c>
      <c r="C92" s="40">
        <v>10</v>
      </c>
      <c r="D92" s="41">
        <v>55.69358161041216</v>
      </c>
      <c r="E92" s="41">
        <v>71.673857168515426</v>
      </c>
      <c r="F92" s="41">
        <v>2.6967848691274692</v>
      </c>
      <c r="G92" s="41">
        <v>3.1572554481246122</v>
      </c>
      <c r="H92" s="41">
        <v>0.32714538956154721</v>
      </c>
      <c r="I92" s="41">
        <v>5.348958990932168</v>
      </c>
      <c r="J92" s="41">
        <v>1.2661975221145749</v>
      </c>
      <c r="K92" s="41">
        <v>4.038508342158539</v>
      </c>
      <c r="L92" s="41">
        <v>9.4911057266805654E-2</v>
      </c>
      <c r="M92" s="41">
        <v>3.4955023696723743E-2</v>
      </c>
      <c r="N92" s="42">
        <v>3.1300284978690869E-2</v>
      </c>
      <c r="O92" s="42">
        <v>0.22089238329244282</v>
      </c>
      <c r="P92" s="42" t="s">
        <v>39</v>
      </c>
      <c r="Z92" s="43"/>
    </row>
    <row r="93" spans="1:26" ht="13.5" customHeight="1" x14ac:dyDescent="0.2">
      <c r="A93" s="39">
        <v>101</v>
      </c>
      <c r="B93" s="39" t="s">
        <v>115</v>
      </c>
      <c r="C93" s="40">
        <v>10</v>
      </c>
      <c r="D93" s="41">
        <v>56.138377059572832</v>
      </c>
      <c r="E93" s="41">
        <v>69.146177567460171</v>
      </c>
      <c r="F93" s="41">
        <v>2.4850923316832909</v>
      </c>
      <c r="G93" s="41">
        <v>2.650827104955598</v>
      </c>
      <c r="H93" s="41">
        <v>0.22795683833366426</v>
      </c>
      <c r="I93" s="41">
        <v>4.764796041551171</v>
      </c>
      <c r="J93" s="41">
        <v>0.96395387589057924</v>
      </c>
      <c r="K93" s="41">
        <v>3.7161037938416692</v>
      </c>
      <c r="L93" s="41">
        <v>0.18661700813867699</v>
      </c>
      <c r="M93" s="41">
        <v>0.10984045138990828</v>
      </c>
      <c r="N93" s="42">
        <v>9.9095166289033705E-3</v>
      </c>
      <c r="O93" s="42">
        <v>0.49037297325380819</v>
      </c>
      <c r="P93" s="42" t="s">
        <v>39</v>
      </c>
      <c r="Z93" s="43"/>
    </row>
    <row r="94" spans="1:26" ht="13.5" customHeight="1" x14ac:dyDescent="0.2">
      <c r="A94" s="39">
        <v>102</v>
      </c>
      <c r="B94" s="39" t="s">
        <v>116</v>
      </c>
      <c r="C94" s="40">
        <v>10</v>
      </c>
      <c r="D94" s="41">
        <v>67.503760195861346</v>
      </c>
      <c r="E94" s="41">
        <v>78.893994765093623</v>
      </c>
      <c r="F94" s="41">
        <v>2.4690294715427243</v>
      </c>
      <c r="G94" s="41">
        <v>2.4706190685831535</v>
      </c>
      <c r="H94" s="41">
        <v>0.33785403580517581</v>
      </c>
      <c r="I94" s="41">
        <v>5.3032343167643123</v>
      </c>
      <c r="J94" s="41">
        <v>0.96543597220812494</v>
      </c>
      <c r="K94" s="41">
        <v>4.1035936128898767</v>
      </c>
      <c r="L94" s="41">
        <v>6.7191491849116866E-2</v>
      </c>
      <c r="M94" s="41">
        <v>2.9633732826988064E-2</v>
      </c>
      <c r="N94" s="42">
        <v>8.8514035368099965E-3</v>
      </c>
      <c r="O94" s="42">
        <v>0.28574424348626676</v>
      </c>
      <c r="P94" s="42" t="s">
        <v>39</v>
      </c>
      <c r="Z94" s="43"/>
    </row>
    <row r="95" spans="1:26" ht="13.5" customHeight="1" x14ac:dyDescent="0.2">
      <c r="A95" s="39">
        <v>103</v>
      </c>
      <c r="B95" s="39" t="s">
        <v>117</v>
      </c>
      <c r="C95" s="40">
        <v>10</v>
      </c>
      <c r="D95" s="41">
        <v>65.637602322055542</v>
      </c>
      <c r="E95" s="41">
        <v>78.072273874070277</v>
      </c>
      <c r="F95" s="41">
        <v>2.5470039673595206</v>
      </c>
      <c r="G95" s="41">
        <v>2.6584728234784301</v>
      </c>
      <c r="H95" s="41">
        <v>0.3167964019285433</v>
      </c>
      <c r="I95" s="41">
        <v>5.3659525070980418</v>
      </c>
      <c r="J95" s="41">
        <v>1.0847564342011908</v>
      </c>
      <c r="K95" s="41">
        <v>4.1517767242762655</v>
      </c>
      <c r="L95" s="41">
        <v>0.1134998088431305</v>
      </c>
      <c r="M95" s="41">
        <v>6.1251774056350621E-2</v>
      </c>
      <c r="N95" s="42">
        <v>1.5512413349262684E-2</v>
      </c>
      <c r="O95" s="42">
        <v>0.29974271304666339</v>
      </c>
      <c r="P95" s="42" t="s">
        <v>39</v>
      </c>
      <c r="Z95" s="43"/>
    </row>
    <row r="96" spans="1:26" ht="13.5" customHeight="1" x14ac:dyDescent="0.2">
      <c r="A96" s="39">
        <v>104</v>
      </c>
      <c r="B96" s="39" t="s">
        <v>118</v>
      </c>
      <c r="C96" s="40">
        <v>10</v>
      </c>
      <c r="D96" s="41">
        <v>65.829703716792082</v>
      </c>
      <c r="E96" s="41">
        <v>75.843575520903798</v>
      </c>
      <c r="F96" s="41">
        <v>2.061997140673427</v>
      </c>
      <c r="G96" s="41">
        <v>2.7218436016412855</v>
      </c>
      <c r="H96" s="41">
        <v>0.29178751954189991</v>
      </c>
      <c r="I96" s="41">
        <v>5.2090994700164597</v>
      </c>
      <c r="J96" s="41">
        <v>0.94651948483768023</v>
      </c>
      <c r="K96" s="41">
        <v>4.1214408999558501</v>
      </c>
      <c r="L96" s="41">
        <v>7.4674947119376361E-2</v>
      </c>
      <c r="M96" s="41">
        <v>2.3066869674205306E-2</v>
      </c>
      <c r="N96" s="42">
        <v>1.1391300332577139E-2</v>
      </c>
      <c r="O96" s="42">
        <v>0.28975470017982097</v>
      </c>
      <c r="P96" s="42" t="s">
        <v>39</v>
      </c>
      <c r="Z96" s="43"/>
    </row>
    <row r="97" spans="1:26" ht="13.5" customHeight="1" x14ac:dyDescent="0.2">
      <c r="A97" s="39">
        <v>105</v>
      </c>
      <c r="B97" s="39" t="s">
        <v>119</v>
      </c>
      <c r="C97" s="40">
        <v>10</v>
      </c>
      <c r="D97" s="41">
        <v>68.53048230470435</v>
      </c>
      <c r="E97" s="41">
        <v>77.642370729786478</v>
      </c>
      <c r="F97" s="41">
        <v>1.8363823544596434</v>
      </c>
      <c r="G97" s="41">
        <v>2.5559604235759146</v>
      </c>
      <c r="H97" s="41">
        <v>0.27162440246952435</v>
      </c>
      <c r="I97" s="41">
        <v>5.3765399171742825</v>
      </c>
      <c r="J97" s="41">
        <v>1.0436065607770901</v>
      </c>
      <c r="K97" s="41">
        <v>4.3235385728463411</v>
      </c>
      <c r="L97" s="41">
        <v>0.20833334811268475</v>
      </c>
      <c r="M97" s="41">
        <v>0.17574047222256373</v>
      </c>
      <c r="N97" s="42">
        <v>1.4777000837992297E-2</v>
      </c>
      <c r="O97" s="42">
        <v>0.28629408375728754</v>
      </c>
      <c r="P97" s="42" t="s">
        <v>39</v>
      </c>
      <c r="Z97" s="43"/>
    </row>
    <row r="98" spans="1:26" ht="13.5" customHeight="1" x14ac:dyDescent="0.2">
      <c r="A98" s="39">
        <v>106</v>
      </c>
      <c r="B98" s="39" t="s">
        <v>120</v>
      </c>
      <c r="C98" s="40">
        <v>10</v>
      </c>
      <c r="D98" s="41">
        <v>72.013259101664019</v>
      </c>
      <c r="E98" s="41">
        <v>79.831455868643431</v>
      </c>
      <c r="F98" s="41">
        <v>1.7877649510746929</v>
      </c>
      <c r="G98" s="41">
        <v>2.3188627084984486</v>
      </c>
      <c r="H98" s="41">
        <v>0.30193244847353701</v>
      </c>
      <c r="I98" s="41">
        <v>5.2874263998773614</v>
      </c>
      <c r="J98" s="41">
        <v>0.90812061022047963</v>
      </c>
      <c r="K98" s="41">
        <v>4.2085304563487043</v>
      </c>
      <c r="L98" s="41">
        <v>6.690166097284328E-2</v>
      </c>
      <c r="M98" s="41">
        <v>3.1461569133138932E-2</v>
      </c>
      <c r="N98" s="42">
        <v>6.7135059322943154E-3</v>
      </c>
      <c r="O98" s="42">
        <v>0.29384192864587177</v>
      </c>
      <c r="P98" s="42" t="s">
        <v>39</v>
      </c>
      <c r="Z98" s="43"/>
    </row>
    <row r="99" spans="1:26" ht="13.5" customHeight="1" x14ac:dyDescent="0.2">
      <c r="A99" s="39">
        <v>107</v>
      </c>
      <c r="B99" s="39" t="s">
        <v>121</v>
      </c>
      <c r="C99" s="40">
        <v>10</v>
      </c>
      <c r="D99" s="41">
        <v>68.023896690851132</v>
      </c>
      <c r="E99" s="41">
        <v>78.998762632029965</v>
      </c>
      <c r="F99" s="41">
        <v>2.7978444593772829</v>
      </c>
      <c r="G99" s="41">
        <v>2.4463347983205459</v>
      </c>
      <c r="H99" s="41">
        <v>0.34732885821779663</v>
      </c>
      <c r="I99" s="41">
        <v>5.3439644168228639</v>
      </c>
      <c r="J99" s="41">
        <v>0.93323094542437168</v>
      </c>
      <c r="K99" s="41">
        <v>4.1359766604621413</v>
      </c>
      <c r="L99" s="41">
        <v>0.19404570552994299</v>
      </c>
      <c r="M99" s="41">
        <v>0.10621393737473096</v>
      </c>
      <c r="N99" s="42">
        <v>1.5238211286357002E-2</v>
      </c>
      <c r="O99" s="42">
        <v>0.30541487259565009</v>
      </c>
      <c r="P99" s="42" t="s">
        <v>39</v>
      </c>
      <c r="Z99" s="43"/>
    </row>
    <row r="100" spans="1:26" ht="13.5" customHeight="1" x14ac:dyDescent="0.2">
      <c r="A100" s="39">
        <v>108</v>
      </c>
      <c r="B100" s="39" t="s">
        <v>122</v>
      </c>
      <c r="C100" s="40">
        <v>10</v>
      </c>
      <c r="D100" s="41">
        <v>63.598662958552829</v>
      </c>
      <c r="E100" s="41">
        <v>76.68224257687865</v>
      </c>
      <c r="F100" s="41">
        <v>3.0729716484596254</v>
      </c>
      <c r="G100" s="41">
        <v>2.8407085401422565</v>
      </c>
      <c r="H100" s="41">
        <v>0.42166949506749363</v>
      </c>
      <c r="I100" s="41">
        <v>5.2768669044697489</v>
      </c>
      <c r="J100" s="41">
        <v>0.96635098279412901</v>
      </c>
      <c r="K100" s="41">
        <v>4.0632837700461844</v>
      </c>
      <c r="L100" s="41">
        <v>0.17186838548438957</v>
      </c>
      <c r="M100" s="41">
        <v>4.6818426588681419E-2</v>
      </c>
      <c r="N100" s="42">
        <v>1.439544108855254E-2</v>
      </c>
      <c r="O100" s="42">
        <v>0.30727532739298508</v>
      </c>
      <c r="P100" s="42" t="s">
        <v>39</v>
      </c>
      <c r="Z100" s="43"/>
    </row>
    <row r="101" spans="1:26" ht="13.5" customHeight="1" x14ac:dyDescent="0.2">
      <c r="A101" s="39">
        <v>109</v>
      </c>
      <c r="B101" s="39" t="s">
        <v>123</v>
      </c>
      <c r="C101" s="40">
        <v>10</v>
      </c>
      <c r="D101" s="41">
        <v>66.871774961057639</v>
      </c>
      <c r="E101" s="41">
        <v>78.796636599287552</v>
      </c>
      <c r="F101" s="41">
        <v>2.8176083471588784</v>
      </c>
      <c r="G101" s="41">
        <v>2.6122271330610229</v>
      </c>
      <c r="H101" s="41">
        <v>0.32397024769204225</v>
      </c>
      <c r="I101" s="41">
        <v>5.3747562930658397</v>
      </c>
      <c r="J101" s="41">
        <v>0.95148974324705349</v>
      </c>
      <c r="K101" s="41">
        <v>4.1829375284547048</v>
      </c>
      <c r="L101" s="41">
        <v>0.29365169230351174</v>
      </c>
      <c r="M101" s="41">
        <v>0.2110681875511532</v>
      </c>
      <c r="N101" s="42">
        <v>1.4503564599302169E-2</v>
      </c>
      <c r="O101" s="42">
        <v>0.28896938816306011</v>
      </c>
      <c r="P101" s="42" t="s">
        <v>39</v>
      </c>
      <c r="Z101" s="43"/>
    </row>
    <row r="102" spans="1:26" ht="13.5" customHeight="1" x14ac:dyDescent="0.2">
      <c r="A102" s="39">
        <v>110</v>
      </c>
      <c r="B102" s="39" t="s">
        <v>124</v>
      </c>
      <c r="C102" s="40">
        <v>10</v>
      </c>
      <c r="D102" s="41">
        <v>58.798574273719012</v>
      </c>
      <c r="E102" s="41">
        <v>74.870966125738306</v>
      </c>
      <c r="F102" s="41">
        <v>2.7609861926689865</v>
      </c>
      <c r="G102" s="41">
        <v>3.3094839465847374</v>
      </c>
      <c r="H102" s="41">
        <v>0.28683362942106033</v>
      </c>
      <c r="I102" s="41">
        <v>5.2749798638188121</v>
      </c>
      <c r="J102" s="41">
        <v>1.071638961191141</v>
      </c>
      <c r="K102" s="41">
        <v>4.1559121139398529</v>
      </c>
      <c r="L102" s="41">
        <v>0.14269564618916769</v>
      </c>
      <c r="M102" s="41">
        <v>5.7378541584567674E-3</v>
      </c>
      <c r="N102" s="42">
        <v>2.0467087981417952E-2</v>
      </c>
      <c r="O102" s="42">
        <v>0.27823578016891665</v>
      </c>
      <c r="P102" s="42" t="s">
        <v>39</v>
      </c>
      <c r="Z102" s="43"/>
    </row>
    <row r="103" spans="1:26" ht="13.5" customHeight="1" x14ac:dyDescent="0.2">
      <c r="A103" s="39">
        <v>111</v>
      </c>
      <c r="B103" s="39" t="s">
        <v>125</v>
      </c>
      <c r="C103" s="40">
        <v>10</v>
      </c>
      <c r="D103" s="41">
        <v>54.611739056987496</v>
      </c>
      <c r="E103" s="41">
        <v>73.285951467044171</v>
      </c>
      <c r="F103" s="41">
        <v>3.1236506886348008</v>
      </c>
      <c r="G103" s="41">
        <v>3.791192792821676</v>
      </c>
      <c r="H103" s="41">
        <v>0.43215850631246472</v>
      </c>
      <c r="I103" s="41">
        <v>5.5230985631479417</v>
      </c>
      <c r="J103" s="41">
        <v>1.2487057622096833</v>
      </c>
      <c r="K103" s="41">
        <v>4.3222409468661844</v>
      </c>
      <c r="L103" s="41">
        <v>0.44682959962639346</v>
      </c>
      <c r="M103" s="41">
        <v>0.33224073103082868</v>
      </c>
      <c r="N103" s="42">
        <v>4.0139232010199907E-2</v>
      </c>
      <c r="O103" s="42">
        <v>0.28769764513705104</v>
      </c>
      <c r="P103" s="42" t="s">
        <v>39</v>
      </c>
      <c r="Z103" s="43"/>
    </row>
    <row r="104" spans="1:26" ht="13.5" customHeight="1" x14ac:dyDescent="0.2">
      <c r="A104" s="39">
        <v>112</v>
      </c>
      <c r="B104" s="39" t="s">
        <v>126</v>
      </c>
      <c r="C104" s="40">
        <v>10</v>
      </c>
      <c r="D104" s="41">
        <v>51.651637230729008</v>
      </c>
      <c r="E104" s="41">
        <v>71.423960053990882</v>
      </c>
      <c r="F104" s="41">
        <v>3.3445967599576094</v>
      </c>
      <c r="G104" s="41">
        <v>3.9729805151858839</v>
      </c>
      <c r="H104" s="41">
        <v>0.35882277025097276</v>
      </c>
      <c r="I104" s="41">
        <v>5.3325033232768968</v>
      </c>
      <c r="J104" s="41">
        <v>1.2023040166898613</v>
      </c>
      <c r="K104" s="41">
        <v>4.1840585108396953</v>
      </c>
      <c r="L104" s="41">
        <v>0.20497138472190013</v>
      </c>
      <c r="M104" s="41">
        <v>2.2052254866392854E-2</v>
      </c>
      <c r="N104" s="42">
        <v>3.625226438302296E-2</v>
      </c>
      <c r="O104" s="42">
        <v>0.28267230413380134</v>
      </c>
      <c r="P104" s="42" t="s">
        <v>39</v>
      </c>
      <c r="Z104" s="43"/>
    </row>
    <row r="105" spans="1:26" ht="13.5" customHeight="1" x14ac:dyDescent="0.2">
      <c r="A105" s="39">
        <v>113</v>
      </c>
      <c r="B105" s="39" t="s">
        <v>127</v>
      </c>
      <c r="C105" s="40">
        <v>10</v>
      </c>
      <c r="D105" s="41">
        <v>53.051102070277906</v>
      </c>
      <c r="E105" s="41">
        <v>72.181659527381356</v>
      </c>
      <c r="F105" s="41">
        <v>3.5964784702439405</v>
      </c>
      <c r="G105" s="41">
        <v>3.7167800781949341</v>
      </c>
      <c r="H105" s="41">
        <v>0.30805327903409296</v>
      </c>
      <c r="I105" s="41">
        <v>5.3688160580252484</v>
      </c>
      <c r="J105" s="41">
        <v>1.2478695787069596</v>
      </c>
      <c r="K105" s="41">
        <v>4.1175013849512361</v>
      </c>
      <c r="L105" s="41">
        <v>0.32654467923083086</v>
      </c>
      <c r="M105" s="41">
        <v>0.11344556114137638</v>
      </c>
      <c r="N105" s="42">
        <v>2.7889177296157336E-2</v>
      </c>
      <c r="O105" s="42">
        <v>0.31721459026071702</v>
      </c>
      <c r="P105" s="42" t="s">
        <v>39</v>
      </c>
      <c r="Z105" s="43"/>
    </row>
    <row r="106" spans="1:26" ht="13.5" customHeight="1" x14ac:dyDescent="0.2">
      <c r="A106" s="39">
        <v>114</v>
      </c>
      <c r="B106" s="39" t="s">
        <v>128</v>
      </c>
      <c r="C106" s="40">
        <v>10</v>
      </c>
      <c r="D106" s="41">
        <v>57.588540221356226</v>
      </c>
      <c r="E106" s="41">
        <v>74.440359541824975</v>
      </c>
      <c r="F106" s="41">
        <v>3.2099182201291416</v>
      </c>
      <c r="G106" s="41">
        <v>3.2923182943627172</v>
      </c>
      <c r="H106" s="41">
        <v>0.2410122849115251</v>
      </c>
      <c r="I106" s="41">
        <v>5.303860599995657</v>
      </c>
      <c r="J106" s="41">
        <v>1.1038461019098822</v>
      </c>
      <c r="K106" s="41">
        <v>4.0484637787998352</v>
      </c>
      <c r="L106" s="41">
        <v>0.20349191821306145</v>
      </c>
      <c r="M106" s="41">
        <v>4.0847762935988283E-2</v>
      </c>
      <c r="N106" s="42">
        <v>2.4713385307559375E-2</v>
      </c>
      <c r="O106" s="42">
        <v>0.28663003783299079</v>
      </c>
      <c r="P106" s="42" t="s">
        <v>39</v>
      </c>
      <c r="Z106" s="43"/>
    </row>
    <row r="107" spans="1:26" ht="13.5" customHeight="1" x14ac:dyDescent="0.2">
      <c r="A107" s="39">
        <v>115</v>
      </c>
      <c r="B107" s="39" t="s">
        <v>129</v>
      </c>
      <c r="C107" s="40">
        <v>10</v>
      </c>
      <c r="D107" s="41">
        <v>51.366708757282638</v>
      </c>
      <c r="E107" s="41">
        <v>71.500271693066992</v>
      </c>
      <c r="F107" s="41">
        <v>3.8520393010010285</v>
      </c>
      <c r="G107" s="41">
        <v>3.7281354105343576</v>
      </c>
      <c r="H107" s="41">
        <v>0.29739427082643088</v>
      </c>
      <c r="I107" s="41">
        <v>5.3348160963012283</v>
      </c>
      <c r="J107" s="41">
        <v>1.2105567005020388</v>
      </c>
      <c r="K107" s="41">
        <v>4.0856281508514112</v>
      </c>
      <c r="L107" s="41">
        <v>0.34426773447263537</v>
      </c>
      <c r="M107" s="41">
        <v>9.4821575354120738E-2</v>
      </c>
      <c r="N107" s="42">
        <v>3.1755532327532941E-2</v>
      </c>
      <c r="O107" s="42">
        <v>0.21879237050666805</v>
      </c>
      <c r="P107" s="42">
        <v>0.12981663483170111</v>
      </c>
      <c r="Z107" s="43"/>
    </row>
    <row r="108" spans="1:26" ht="13.5" customHeight="1" x14ac:dyDescent="0.2">
      <c r="A108" s="39">
        <v>116</v>
      </c>
      <c r="B108" s="39" t="s">
        <v>130</v>
      </c>
      <c r="C108" s="40">
        <v>10</v>
      </c>
      <c r="D108" s="41">
        <v>71.201962890512547</v>
      </c>
      <c r="E108" s="41">
        <v>81.095208722687673</v>
      </c>
      <c r="F108" s="41">
        <v>2.4744920488376527</v>
      </c>
      <c r="G108" s="41">
        <v>2.2205641048952391</v>
      </c>
      <c r="H108" s="41">
        <v>0.41427748267215453</v>
      </c>
      <c r="I108" s="41">
        <v>5.4101506879555128</v>
      </c>
      <c r="J108" s="41">
        <v>0.90814680521494351</v>
      </c>
      <c r="K108" s="41">
        <v>4.1055068158203154</v>
      </c>
      <c r="L108" s="41">
        <v>4.6594076274495334E-2</v>
      </c>
      <c r="M108" s="41">
        <v>1.7768425734155768E-2</v>
      </c>
      <c r="N108" s="42">
        <v>9.750225934438651E-3</v>
      </c>
      <c r="O108" s="42">
        <v>0.32712201686353087</v>
      </c>
      <c r="P108" s="42" t="s">
        <v>39</v>
      </c>
      <c r="Z108" s="43"/>
    </row>
    <row r="109" spans="1:26" ht="13.5" customHeight="1" x14ac:dyDescent="0.2">
      <c r="A109" s="39">
        <v>117</v>
      </c>
      <c r="B109" s="39" t="s">
        <v>131</v>
      </c>
      <c r="C109" s="40">
        <v>10</v>
      </c>
      <c r="D109" s="41">
        <v>77.789995476319831</v>
      </c>
      <c r="E109" s="41">
        <v>82.977376058488431</v>
      </c>
      <c r="F109" s="41">
        <v>1.9207270736527713</v>
      </c>
      <c r="G109" s="41">
        <v>1.6194966275572567</v>
      </c>
      <c r="H109" s="41">
        <v>0.35974906158680908</v>
      </c>
      <c r="I109" s="41">
        <v>5.4606504974566361</v>
      </c>
      <c r="J109" s="41">
        <v>0.86347385594002435</v>
      </c>
      <c r="K109" s="41">
        <v>4.1270706477182104</v>
      </c>
      <c r="L109" s="41">
        <v>4.2512639375914922E-2</v>
      </c>
      <c r="M109" s="41" t="s">
        <v>39</v>
      </c>
      <c r="N109" s="42">
        <v>1.909959504114583E-2</v>
      </c>
      <c r="O109" s="42">
        <v>0.27375646392216019</v>
      </c>
      <c r="P109" s="42" t="s">
        <v>39</v>
      </c>
      <c r="Z109" s="43"/>
    </row>
    <row r="110" spans="1:26" ht="13.5" customHeight="1" x14ac:dyDescent="0.2">
      <c r="A110" s="39">
        <v>118</v>
      </c>
      <c r="B110" s="39" t="s">
        <v>132</v>
      </c>
      <c r="C110" s="40">
        <v>10</v>
      </c>
      <c r="D110" s="41">
        <v>85.21587348833522</v>
      </c>
      <c r="E110" s="41">
        <v>85.584516929144328</v>
      </c>
      <c r="F110" s="41">
        <v>1.3059653418623016</v>
      </c>
      <c r="G110" s="41">
        <v>0.98336136700879695</v>
      </c>
      <c r="H110" s="41">
        <v>0.28832227666963783</v>
      </c>
      <c r="I110" s="41">
        <v>5.4383151116679063</v>
      </c>
      <c r="J110" s="41">
        <v>0.62261511254607049</v>
      </c>
      <c r="K110" s="41">
        <v>4.1231645788487175</v>
      </c>
      <c r="L110" s="41">
        <v>3.8192436635576289E-2</v>
      </c>
      <c r="M110" s="41" t="s">
        <v>39</v>
      </c>
      <c r="N110" s="42">
        <v>1.2188436829637286E-2</v>
      </c>
      <c r="O110" s="42">
        <v>0.27364201748071826</v>
      </c>
      <c r="P110" s="42" t="s">
        <v>39</v>
      </c>
      <c r="Z110" s="43"/>
    </row>
    <row r="111" spans="1:26" ht="13.5" customHeight="1" x14ac:dyDescent="0.2">
      <c r="A111" s="39">
        <v>119</v>
      </c>
      <c r="B111" s="39" t="s">
        <v>133</v>
      </c>
      <c r="C111" s="40">
        <v>10</v>
      </c>
      <c r="D111" s="41">
        <v>51.953609937602998</v>
      </c>
      <c r="E111" s="41">
        <v>72.241445910882462</v>
      </c>
      <c r="F111" s="41">
        <v>4.1495308885066899</v>
      </c>
      <c r="G111" s="41">
        <v>3.7757992818579282</v>
      </c>
      <c r="H111" s="41">
        <v>0.41833962578865813</v>
      </c>
      <c r="I111" s="41">
        <v>5.336149536847909</v>
      </c>
      <c r="J111" s="41">
        <v>1.0223552566181562</v>
      </c>
      <c r="K111" s="41">
        <v>3.9420220712469884</v>
      </c>
      <c r="L111" s="41">
        <v>0.25121643887007478</v>
      </c>
      <c r="M111" s="41">
        <v>0.1010493393264697</v>
      </c>
      <c r="N111" s="42">
        <v>2.4210139875141725E-2</v>
      </c>
      <c r="O111" s="42">
        <v>0.27229134694008705</v>
      </c>
      <c r="P111" s="42" t="s">
        <v>39</v>
      </c>
      <c r="Z111" s="43"/>
    </row>
    <row r="112" spans="1:26" ht="13.5" customHeight="1" x14ac:dyDescent="0.2">
      <c r="A112" s="39">
        <v>120</v>
      </c>
      <c r="B112" s="39" t="s">
        <v>134</v>
      </c>
      <c r="C112" s="40">
        <v>10</v>
      </c>
      <c r="D112" s="41">
        <v>54.532448907430158</v>
      </c>
      <c r="E112" s="41">
        <v>74.384315451971602</v>
      </c>
      <c r="F112" s="41">
        <v>4.0522696053925786</v>
      </c>
      <c r="G112" s="41">
        <v>3.6364937482766702</v>
      </c>
      <c r="H112" s="41">
        <v>0.34874895879649315</v>
      </c>
      <c r="I112" s="41">
        <v>5.3124287982041274</v>
      </c>
      <c r="J112" s="41">
        <v>1.0333457415691563</v>
      </c>
      <c r="K112" s="41">
        <v>4.02231943925067</v>
      </c>
      <c r="L112" s="41">
        <v>0.25758000009397619</v>
      </c>
      <c r="M112" s="41">
        <v>0.10266133186756184</v>
      </c>
      <c r="N112" s="42">
        <v>9.9255819211364164E-3</v>
      </c>
      <c r="O112" s="42">
        <v>0.22028438914486087</v>
      </c>
      <c r="P112" s="42" t="s">
        <v>39</v>
      </c>
      <c r="Z112" s="43"/>
    </row>
    <row r="113" spans="1:26" ht="13.5" customHeight="1" x14ac:dyDescent="0.2">
      <c r="A113" s="39">
        <v>121</v>
      </c>
      <c r="B113" s="39" t="s">
        <v>135</v>
      </c>
      <c r="C113" s="40">
        <v>10</v>
      </c>
      <c r="D113" s="41">
        <v>65.066257694343847</v>
      </c>
      <c r="E113" s="41">
        <v>78.210141350284403</v>
      </c>
      <c r="F113" s="41">
        <v>3.1689342625161547</v>
      </c>
      <c r="G113" s="41">
        <v>2.6000128396442195</v>
      </c>
      <c r="H113" s="41">
        <v>0.43230853715035383</v>
      </c>
      <c r="I113" s="41">
        <v>5.2383399669627675</v>
      </c>
      <c r="J113" s="41">
        <v>0.96052082865486155</v>
      </c>
      <c r="K113" s="41">
        <v>4.0769333104443524</v>
      </c>
      <c r="L113" s="41">
        <v>0.13019570071309061</v>
      </c>
      <c r="M113" s="41">
        <v>4.0772231799796881E-2</v>
      </c>
      <c r="N113" s="42">
        <v>8.5275550901698846E-3</v>
      </c>
      <c r="O113" s="42">
        <v>0.36492959999386337</v>
      </c>
      <c r="P113" s="42" t="s">
        <v>39</v>
      </c>
      <c r="Z113" s="43"/>
    </row>
    <row r="114" spans="1:26" ht="13.5" customHeight="1" x14ac:dyDescent="0.2">
      <c r="A114" s="39">
        <v>122</v>
      </c>
      <c r="B114" s="39" t="s">
        <v>136</v>
      </c>
      <c r="C114" s="40">
        <v>10</v>
      </c>
      <c r="D114" s="41">
        <v>79.545198130606465</v>
      </c>
      <c r="E114" s="41">
        <v>82.707812935551715</v>
      </c>
      <c r="F114" s="41">
        <v>1.5059334161078028</v>
      </c>
      <c r="G114" s="41">
        <v>1.549021102793517</v>
      </c>
      <c r="H114" s="41">
        <v>0.15018429873077871</v>
      </c>
      <c r="I114" s="41">
        <v>5.2837490370484463</v>
      </c>
      <c r="J114" s="41">
        <v>0.72524171343231025</v>
      </c>
      <c r="K114" s="41">
        <v>4.2387733398370111</v>
      </c>
      <c r="L114" s="41">
        <v>3.1675567084154851E-2</v>
      </c>
      <c r="M114" s="41" t="s">
        <v>39</v>
      </c>
      <c r="N114" s="42">
        <v>2.804980001530654E-4</v>
      </c>
      <c r="O114" s="42">
        <v>0.2247274711805658</v>
      </c>
      <c r="P114" s="42" t="s">
        <v>39</v>
      </c>
      <c r="Z114" s="43"/>
    </row>
    <row r="115" spans="1:26" ht="13.5" customHeight="1" x14ac:dyDescent="0.2">
      <c r="A115" s="39">
        <v>123</v>
      </c>
      <c r="B115" s="39" t="s">
        <v>137</v>
      </c>
      <c r="C115" s="40">
        <v>10</v>
      </c>
      <c r="D115" s="41">
        <v>84.525383155539075</v>
      </c>
      <c r="E115" s="41">
        <v>83.871406048096247</v>
      </c>
      <c r="F115" s="41">
        <v>1.2108549812142217</v>
      </c>
      <c r="G115" s="41">
        <v>1.1062510862673278</v>
      </c>
      <c r="H115" s="41">
        <v>0.18338642448079207</v>
      </c>
      <c r="I115" s="41">
        <v>5.3916791343417172</v>
      </c>
      <c r="J115" s="41">
        <v>0.58844633327794282</v>
      </c>
      <c r="K115" s="41">
        <v>4.1874441131803</v>
      </c>
      <c r="L115" s="41">
        <v>2.9068972689403713E-2</v>
      </c>
      <c r="M115" s="41" t="s">
        <v>39</v>
      </c>
      <c r="N115" s="42">
        <v>1.4615708971061857E-2</v>
      </c>
      <c r="O115" s="42">
        <v>0.3022453190191105</v>
      </c>
      <c r="P115" s="42" t="s">
        <v>39</v>
      </c>
      <c r="Z115" s="43"/>
    </row>
    <row r="116" spans="1:26" ht="13.5" customHeight="1" x14ac:dyDescent="0.2">
      <c r="A116" s="39">
        <v>124</v>
      </c>
      <c r="B116" s="39" t="s">
        <v>138</v>
      </c>
      <c r="C116" s="40">
        <v>10</v>
      </c>
      <c r="D116" s="41">
        <v>89.344867215407191</v>
      </c>
      <c r="E116" s="41">
        <v>85.983420859123299</v>
      </c>
      <c r="F116" s="41">
        <v>0.80537246452841715</v>
      </c>
      <c r="G116" s="41">
        <v>0.69271166998876088</v>
      </c>
      <c r="H116" s="41">
        <v>0.27064609770978787</v>
      </c>
      <c r="I116" s="41">
        <v>5.4526018885355301</v>
      </c>
      <c r="J116" s="41">
        <v>0.38047927966357487</v>
      </c>
      <c r="K116" s="41">
        <v>4.2077798409063707</v>
      </c>
      <c r="L116" s="41">
        <v>2.6143801432697768E-2</v>
      </c>
      <c r="M116" s="41" t="s">
        <v>39</v>
      </c>
      <c r="N116" s="42">
        <v>2.8538762007194302E-3</v>
      </c>
      <c r="O116" s="42">
        <v>0.3336156811167803</v>
      </c>
      <c r="P116" s="42" t="s">
        <v>39</v>
      </c>
      <c r="Z116" s="43"/>
    </row>
    <row r="117" spans="1:26" ht="13.5" customHeight="1" x14ac:dyDescent="0.2">
      <c r="A117" s="39">
        <v>125</v>
      </c>
      <c r="B117" s="39" t="s">
        <v>139</v>
      </c>
      <c r="C117" s="40">
        <v>10</v>
      </c>
      <c r="D117" s="41">
        <v>78.858019004916613</v>
      </c>
      <c r="E117" s="41">
        <v>83.289350993583128</v>
      </c>
      <c r="F117" s="41">
        <v>1.8683297887627695</v>
      </c>
      <c r="G117" s="41">
        <v>1.5228717084516421</v>
      </c>
      <c r="H117" s="41">
        <v>0.32252028551719458</v>
      </c>
      <c r="I117" s="41">
        <v>5.2526457313899497</v>
      </c>
      <c r="J117" s="41">
        <v>0.79059599089973898</v>
      </c>
      <c r="K117" s="41">
        <v>4.1777594179318855</v>
      </c>
      <c r="L117" s="41">
        <v>4.7483161953052577E-2</v>
      </c>
      <c r="M117" s="41" t="s">
        <v>39</v>
      </c>
      <c r="N117" s="42">
        <v>4.3826852507354488E-3</v>
      </c>
      <c r="O117" s="42">
        <v>0.22845472853485635</v>
      </c>
      <c r="P117" s="42" t="s">
        <v>39</v>
      </c>
      <c r="Z117" s="43"/>
    </row>
    <row r="118" spans="1:26" ht="13.5" customHeight="1" x14ac:dyDescent="0.2">
      <c r="A118" s="39">
        <v>126</v>
      </c>
      <c r="B118" s="39" t="s">
        <v>140</v>
      </c>
      <c r="C118" s="40">
        <v>10</v>
      </c>
      <c r="D118" s="41">
        <v>69.217362126575196</v>
      </c>
      <c r="E118" s="41">
        <v>79.904784406715635</v>
      </c>
      <c r="F118" s="41">
        <v>2.7913475978529356</v>
      </c>
      <c r="G118" s="41">
        <v>2.3875912532147057</v>
      </c>
      <c r="H118" s="41">
        <v>0.67666134507770581</v>
      </c>
      <c r="I118" s="41">
        <v>5.2576992602081463</v>
      </c>
      <c r="J118" s="41">
        <v>0.8652701094528058</v>
      </c>
      <c r="K118" s="41">
        <v>4.0834806792979172</v>
      </c>
      <c r="L118" s="41">
        <v>9.6636888958581718E-2</v>
      </c>
      <c r="M118" s="41">
        <v>1.9384602084134034E-2</v>
      </c>
      <c r="N118" s="42">
        <v>6.5419074319569906E-3</v>
      </c>
      <c r="O118" s="42">
        <v>0.32928359302429744</v>
      </c>
      <c r="P118" s="42" t="s">
        <v>39</v>
      </c>
      <c r="Z118" s="43"/>
    </row>
    <row r="119" spans="1:26" ht="13.5" customHeight="1" x14ac:dyDescent="0.2">
      <c r="A119" s="39">
        <v>127</v>
      </c>
      <c r="B119" s="39" t="s">
        <v>141</v>
      </c>
      <c r="C119" s="40">
        <v>10</v>
      </c>
      <c r="D119" s="41">
        <v>76.236663793191951</v>
      </c>
      <c r="E119" s="41">
        <v>82.381584390447884</v>
      </c>
      <c r="F119" s="41">
        <v>2.1738682570486607</v>
      </c>
      <c r="G119" s="41">
        <v>1.7155163974396404</v>
      </c>
      <c r="H119" s="41">
        <v>0.36223040446623955</v>
      </c>
      <c r="I119" s="41">
        <v>5.2542931084120212</v>
      </c>
      <c r="J119" s="41">
        <v>0.82618286010192932</v>
      </c>
      <c r="K119" s="41">
        <v>4.1459331163535342</v>
      </c>
      <c r="L119" s="41">
        <v>5.0604750509477686E-2</v>
      </c>
      <c r="M119" s="41">
        <v>8.5055083269187648E-2</v>
      </c>
      <c r="N119" s="42">
        <v>2.700496728314922E-3</v>
      </c>
      <c r="O119" s="42">
        <v>0.18537936488744439</v>
      </c>
      <c r="P119" s="42" t="s">
        <v>39</v>
      </c>
      <c r="Z119" s="43"/>
    </row>
    <row r="120" spans="1:26" ht="13.5" customHeight="1" x14ac:dyDescent="0.2">
      <c r="A120" s="39">
        <v>128</v>
      </c>
      <c r="B120" s="39" t="s">
        <v>142</v>
      </c>
      <c r="C120" s="40">
        <v>10</v>
      </c>
      <c r="D120" s="41">
        <v>132.95387613128329</v>
      </c>
      <c r="E120" s="41">
        <v>118.2594964255708</v>
      </c>
      <c r="F120" s="41">
        <v>7.9193400101666735E-3</v>
      </c>
      <c r="G120" s="41">
        <v>0.14122892576455995</v>
      </c>
      <c r="H120" s="41" t="s">
        <v>39</v>
      </c>
      <c r="I120" s="41">
        <v>7.896505290710004</v>
      </c>
      <c r="J120" s="41" t="s">
        <v>39</v>
      </c>
      <c r="K120" s="41">
        <v>5.4206456038698168</v>
      </c>
      <c r="L120" s="41" t="s">
        <v>39</v>
      </c>
      <c r="M120" s="41" t="s">
        <v>39</v>
      </c>
      <c r="N120" s="42" t="s">
        <v>39</v>
      </c>
      <c r="O120" s="42">
        <v>0.12486940639286688</v>
      </c>
      <c r="P120" s="42" t="s">
        <v>39</v>
      </c>
      <c r="Z120" s="43"/>
    </row>
    <row r="121" spans="1:26" ht="13.5" customHeight="1" x14ac:dyDescent="0.2">
      <c r="A121" s="39">
        <v>129</v>
      </c>
      <c r="B121" s="39" t="s">
        <v>143</v>
      </c>
      <c r="C121" s="40">
        <v>10</v>
      </c>
      <c r="D121" s="41">
        <v>40.24771349972319</v>
      </c>
      <c r="E121" s="41">
        <v>68.492965038106249</v>
      </c>
      <c r="F121" s="41">
        <v>5.4454928330311194</v>
      </c>
      <c r="G121" s="41">
        <v>5.2628556196155261</v>
      </c>
      <c r="H121" s="41">
        <v>0.46429933699399761</v>
      </c>
      <c r="I121" s="41">
        <v>5.4985764788796141</v>
      </c>
      <c r="J121" s="41">
        <v>1.2562652691525664</v>
      </c>
      <c r="K121" s="41">
        <v>4.1228162189402404</v>
      </c>
      <c r="L121" s="41">
        <v>0.52526720258086457</v>
      </c>
      <c r="M121" s="41">
        <v>0.27941949738592509</v>
      </c>
      <c r="N121" s="42">
        <v>1.4827781286540062E-2</v>
      </c>
      <c r="O121" s="42">
        <v>0.22952931867892781</v>
      </c>
      <c r="P121" s="42">
        <v>5.497620087905896E-2</v>
      </c>
      <c r="Z121" s="43"/>
    </row>
    <row r="122" spans="1:26" ht="13.5" customHeight="1" x14ac:dyDescent="0.2">
      <c r="A122" s="39">
        <v>130</v>
      </c>
      <c r="B122" s="39" t="s">
        <v>144</v>
      </c>
      <c r="C122" s="40">
        <v>10</v>
      </c>
      <c r="D122" s="41">
        <v>44.139633210623757</v>
      </c>
      <c r="E122" s="41">
        <v>70.87819309025295</v>
      </c>
      <c r="F122" s="41">
        <v>5.0561187676829222</v>
      </c>
      <c r="G122" s="41">
        <v>4.9341716672500642</v>
      </c>
      <c r="H122" s="41">
        <v>0.61463374908822188</v>
      </c>
      <c r="I122" s="41">
        <v>5.5229141369411199</v>
      </c>
      <c r="J122" s="41">
        <v>1.2345265824085359</v>
      </c>
      <c r="K122" s="41">
        <v>4.1955081345945979</v>
      </c>
      <c r="L122" s="41">
        <v>0.86835029407610742</v>
      </c>
      <c r="M122" s="41">
        <v>0.67542188756503929</v>
      </c>
      <c r="N122" s="42">
        <v>1.382121083404201E-2</v>
      </c>
      <c r="O122" s="42">
        <v>0.19744919479378226</v>
      </c>
      <c r="P122" s="42">
        <v>4.7939276250164656E-2</v>
      </c>
      <c r="Z122" s="43"/>
    </row>
    <row r="123" spans="1:26" ht="13.5" customHeight="1" x14ac:dyDescent="0.2">
      <c r="A123" s="39">
        <v>131</v>
      </c>
      <c r="B123" s="39" t="s">
        <v>145</v>
      </c>
      <c r="C123" s="40">
        <v>10</v>
      </c>
      <c r="D123" s="41">
        <v>36.714584732363946</v>
      </c>
      <c r="E123" s="41">
        <v>64.735536818680103</v>
      </c>
      <c r="F123" s="41">
        <v>5.2966803955252759</v>
      </c>
      <c r="G123" s="41">
        <v>5.2634848389875843</v>
      </c>
      <c r="H123" s="41">
        <v>0.2968312383648955</v>
      </c>
      <c r="I123" s="41">
        <v>5.2995142766867884</v>
      </c>
      <c r="J123" s="41">
        <v>1.2104255912087114</v>
      </c>
      <c r="K123" s="41">
        <v>3.9659388449424497</v>
      </c>
      <c r="L123" s="41">
        <v>0.64900843596701474</v>
      </c>
      <c r="M123" s="41">
        <v>0.26618314500683737</v>
      </c>
      <c r="N123" s="42">
        <v>1.5715911565275093E-2</v>
      </c>
      <c r="O123" s="42">
        <v>0.17628779396981362</v>
      </c>
      <c r="P123" s="42">
        <v>4.8969291197465022E-2</v>
      </c>
      <c r="Z123" s="43"/>
    </row>
    <row r="124" spans="1:26" ht="13.5" customHeight="1" x14ac:dyDescent="0.2">
      <c r="A124" s="39">
        <v>132</v>
      </c>
      <c r="B124" s="39" t="s">
        <v>146</v>
      </c>
      <c r="C124" s="40">
        <v>10</v>
      </c>
      <c r="D124" s="41">
        <v>51.548115751652546</v>
      </c>
      <c r="E124" s="41">
        <v>70.303778380445408</v>
      </c>
      <c r="F124" s="41">
        <v>3.512853409003649</v>
      </c>
      <c r="G124" s="41">
        <v>3.7322803466902683</v>
      </c>
      <c r="H124" s="41">
        <v>1.1128464022260323</v>
      </c>
      <c r="I124" s="41">
        <v>5.1373100402504939</v>
      </c>
      <c r="J124" s="41">
        <v>0.97419284439064235</v>
      </c>
      <c r="K124" s="41">
        <v>4.1449826189865107</v>
      </c>
      <c r="L124" s="41">
        <v>1.0391829528064087</v>
      </c>
      <c r="M124" s="41">
        <v>1.2743233926109854</v>
      </c>
      <c r="N124" s="42">
        <v>9.6345141744164173E-3</v>
      </c>
      <c r="O124" s="42">
        <v>0.28309182606688016</v>
      </c>
      <c r="P124" s="42" t="s">
        <v>39</v>
      </c>
      <c r="Z124" s="43"/>
    </row>
    <row r="125" spans="1:26" ht="13.5" customHeight="1" x14ac:dyDescent="0.2">
      <c r="A125" s="39">
        <v>133</v>
      </c>
      <c r="B125" s="39" t="s">
        <v>147</v>
      </c>
      <c r="C125" s="40">
        <v>10</v>
      </c>
      <c r="D125" s="41">
        <v>51.223825623768839</v>
      </c>
      <c r="E125" s="41">
        <v>72.991410906052465</v>
      </c>
      <c r="F125" s="41">
        <v>3.8450687003267223</v>
      </c>
      <c r="G125" s="41">
        <v>4.3668552229962234</v>
      </c>
      <c r="H125" s="41">
        <v>0.41770034787220572</v>
      </c>
      <c r="I125" s="41">
        <v>5.8523404850406227</v>
      </c>
      <c r="J125" s="41">
        <v>1.2725964710887552</v>
      </c>
      <c r="K125" s="41">
        <v>4.3435599247048371</v>
      </c>
      <c r="L125" s="41">
        <v>0.22034943036924021</v>
      </c>
      <c r="M125" s="41">
        <v>4.6371921726293425E-2</v>
      </c>
      <c r="N125" s="42">
        <v>6.3007865394993201E-2</v>
      </c>
      <c r="O125" s="42">
        <v>0.27206686078530412</v>
      </c>
      <c r="P125" s="42" t="s">
        <v>39</v>
      </c>
      <c r="Z125" s="43"/>
    </row>
    <row r="126" spans="1:26" ht="13.5" customHeight="1" x14ac:dyDescent="0.2">
      <c r="A126" s="39">
        <v>134</v>
      </c>
      <c r="B126" s="39" t="s">
        <v>148</v>
      </c>
      <c r="C126" s="40">
        <v>10</v>
      </c>
      <c r="D126" s="41">
        <v>43.552569116850322</v>
      </c>
      <c r="E126" s="41">
        <v>68.379404282823998</v>
      </c>
      <c r="F126" s="41">
        <v>4.6846478696722471</v>
      </c>
      <c r="G126" s="41">
        <v>4.7431111514822337</v>
      </c>
      <c r="H126" s="41">
        <v>0.46413129004189208</v>
      </c>
      <c r="I126" s="41">
        <v>5.4769629760301903</v>
      </c>
      <c r="J126" s="41">
        <v>1.1664114964408872</v>
      </c>
      <c r="K126" s="41">
        <v>3.9963593784352773</v>
      </c>
      <c r="L126" s="41">
        <v>0.3783096738448537</v>
      </c>
      <c r="M126" s="41">
        <v>8.1284236495224801E-2</v>
      </c>
      <c r="N126" s="42">
        <v>4.589730381733035E-2</v>
      </c>
      <c r="O126" s="42">
        <v>0.24822231291353464</v>
      </c>
      <c r="P126" s="42">
        <v>8.3751417043265525E-2</v>
      </c>
      <c r="Z126" s="43"/>
    </row>
    <row r="127" spans="1:26" ht="13.5" customHeight="1" x14ac:dyDescent="0.2">
      <c r="A127" s="39">
        <v>135</v>
      </c>
      <c r="B127" s="39" t="s">
        <v>149</v>
      </c>
      <c r="C127" s="40">
        <v>10</v>
      </c>
      <c r="D127" s="41">
        <v>41.095695913923734</v>
      </c>
      <c r="E127" s="41">
        <v>66.006114744908814</v>
      </c>
      <c r="F127" s="41">
        <v>4.7706897889991966</v>
      </c>
      <c r="G127" s="41">
        <v>4.7224540684025378</v>
      </c>
      <c r="H127" s="41">
        <v>0.42977381203973131</v>
      </c>
      <c r="I127" s="41">
        <v>5.3963827503624708</v>
      </c>
      <c r="J127" s="41">
        <v>1.19187121531247</v>
      </c>
      <c r="K127" s="41">
        <v>3.9220586621340994</v>
      </c>
      <c r="L127" s="41">
        <v>0.47093851845171669</v>
      </c>
      <c r="M127" s="41">
        <v>0.14356338557373086</v>
      </c>
      <c r="N127" s="42">
        <v>5.2974993760278415E-2</v>
      </c>
      <c r="O127" s="42">
        <v>0.25663597903609286</v>
      </c>
      <c r="P127" s="42">
        <v>3.25422260720672E-2</v>
      </c>
      <c r="Z127" s="43"/>
    </row>
    <row r="128" spans="1:26" ht="13.5" customHeight="1" x14ac:dyDescent="0.2">
      <c r="A128" s="39">
        <v>136</v>
      </c>
      <c r="B128" s="39" t="s">
        <v>150</v>
      </c>
      <c r="C128" s="40">
        <v>10</v>
      </c>
      <c r="D128" s="41">
        <v>45.394082952326741</v>
      </c>
      <c r="E128" s="41">
        <v>69.560544429629061</v>
      </c>
      <c r="F128" s="41">
        <v>4.5290334811744746</v>
      </c>
      <c r="G128" s="41">
        <v>4.5875334456142598</v>
      </c>
      <c r="H128" s="41">
        <v>0.28949312391263088</v>
      </c>
      <c r="I128" s="41">
        <v>5.4701120292082175</v>
      </c>
      <c r="J128" s="41">
        <v>1.1028268134536496</v>
      </c>
      <c r="K128" s="41">
        <v>4.0858076038751783</v>
      </c>
      <c r="L128" s="41">
        <v>0.44006418737812641</v>
      </c>
      <c r="M128" s="41">
        <v>0.13100024582534922</v>
      </c>
      <c r="N128" s="42">
        <v>2.7932749804180812E-2</v>
      </c>
      <c r="O128" s="42">
        <v>0.26543698868524729</v>
      </c>
      <c r="P128" s="42">
        <v>9.7371657576133655E-2</v>
      </c>
      <c r="Z128" s="43"/>
    </row>
    <row r="129" spans="1:26" ht="13.5" customHeight="1" x14ac:dyDescent="0.2">
      <c r="A129" s="39">
        <v>137</v>
      </c>
      <c r="B129" s="39" t="s">
        <v>151</v>
      </c>
      <c r="C129" s="40">
        <v>10</v>
      </c>
      <c r="D129" s="41">
        <v>47.247874160938309</v>
      </c>
      <c r="E129" s="41">
        <v>69.466727326193961</v>
      </c>
      <c r="F129" s="41">
        <v>3.6628399338989244</v>
      </c>
      <c r="G129" s="41">
        <v>4.4024897757463242</v>
      </c>
      <c r="H129" s="41">
        <v>0.54074218275703023</v>
      </c>
      <c r="I129" s="41">
        <v>5.3013338357819597</v>
      </c>
      <c r="J129" s="41">
        <v>1.0764741611031012</v>
      </c>
      <c r="K129" s="41">
        <v>4.1408261597906835</v>
      </c>
      <c r="L129" s="41">
        <v>0.26758563156086063</v>
      </c>
      <c r="M129" s="41">
        <v>5.5323405581378098E-2</v>
      </c>
      <c r="N129" s="42">
        <v>2.4364320894165938E-2</v>
      </c>
      <c r="O129" s="42">
        <v>0.30172839660385997</v>
      </c>
      <c r="P129" s="42">
        <v>7.9858773417757198E-2</v>
      </c>
      <c r="Z129" s="43"/>
    </row>
    <row r="130" spans="1:26" ht="13.5" customHeight="1" x14ac:dyDescent="0.2">
      <c r="A130" s="39">
        <v>138</v>
      </c>
      <c r="B130" s="39" t="s">
        <v>152</v>
      </c>
      <c r="C130" s="40">
        <v>10</v>
      </c>
      <c r="D130" s="41">
        <v>36.126243365511172</v>
      </c>
      <c r="E130" s="41">
        <v>61.852263624804408</v>
      </c>
      <c r="F130" s="41">
        <v>3.9723972361432205</v>
      </c>
      <c r="G130" s="41">
        <v>5.4389547467801869</v>
      </c>
      <c r="H130" s="41">
        <v>0.40087183333310067</v>
      </c>
      <c r="I130" s="41">
        <v>5.3578213052085122</v>
      </c>
      <c r="J130" s="41">
        <v>1.020403875778098</v>
      </c>
      <c r="K130" s="41">
        <v>3.9500729741737111</v>
      </c>
      <c r="L130" s="41">
        <v>0.29786951693592484</v>
      </c>
      <c r="M130" s="41">
        <v>5.3361102542260369E-2</v>
      </c>
      <c r="N130" s="42">
        <v>4.748827850303252E-2</v>
      </c>
      <c r="O130" s="42">
        <v>0.24960605551181342</v>
      </c>
      <c r="P130" s="42">
        <v>7.5686403883814757E-2</v>
      </c>
      <c r="Z130" s="43"/>
    </row>
    <row r="131" spans="1:26" ht="13.5" customHeight="1" x14ac:dyDescent="0.2">
      <c r="A131" s="39">
        <v>139</v>
      </c>
      <c r="B131" s="39" t="s">
        <v>153</v>
      </c>
      <c r="C131" s="40">
        <v>10</v>
      </c>
      <c r="D131" s="41">
        <v>41.713216223301558</v>
      </c>
      <c r="E131" s="41">
        <v>67.686004283517661</v>
      </c>
      <c r="F131" s="41">
        <v>4.0655749633316525</v>
      </c>
      <c r="G131" s="41">
        <v>5.5015574500386801</v>
      </c>
      <c r="H131" s="41">
        <v>0.55340965533790687</v>
      </c>
      <c r="I131" s="41">
        <v>5.7042664261317277</v>
      </c>
      <c r="J131" s="41">
        <v>1.0596037754341965</v>
      </c>
      <c r="K131" s="41">
        <v>4.240396698080767</v>
      </c>
      <c r="L131" s="41">
        <v>0.2253399803655553</v>
      </c>
      <c r="M131" s="41">
        <v>3.092575499829292E-2</v>
      </c>
      <c r="N131" s="42">
        <v>4.6670906821286412E-2</v>
      </c>
      <c r="O131" s="42">
        <v>0.23006878982980067</v>
      </c>
      <c r="P131" s="42">
        <v>6.6912338759573226E-2</v>
      </c>
      <c r="Z131" s="43"/>
    </row>
    <row r="132" spans="1:26" ht="13.5" customHeight="1" x14ac:dyDescent="0.2">
      <c r="A132" s="39">
        <v>140</v>
      </c>
      <c r="B132" s="39" t="s">
        <v>154</v>
      </c>
      <c r="C132" s="40">
        <v>10</v>
      </c>
      <c r="D132" s="41">
        <v>40.075077385126363</v>
      </c>
      <c r="E132" s="41">
        <v>67.099319684417168</v>
      </c>
      <c r="F132" s="41">
        <v>4.269446037182238</v>
      </c>
      <c r="G132" s="41">
        <v>5.6889728722750927</v>
      </c>
      <c r="H132" s="41">
        <v>0.55976714656354243</v>
      </c>
      <c r="I132" s="41">
        <v>5.7504051833518668</v>
      </c>
      <c r="J132" s="41">
        <v>1.0430657412144337</v>
      </c>
      <c r="K132" s="41">
        <v>4.2373682836325877</v>
      </c>
      <c r="L132" s="41">
        <v>0.32080701392072752</v>
      </c>
      <c r="M132" s="41">
        <v>8.6496520724558268E-2</v>
      </c>
      <c r="N132" s="42">
        <v>4.3430833520287933E-2</v>
      </c>
      <c r="O132" s="42">
        <v>0.23744268874484498</v>
      </c>
      <c r="P132" s="42">
        <v>0.10419450783967137</v>
      </c>
      <c r="Z132" s="43"/>
    </row>
    <row r="133" spans="1:26" ht="13.5" customHeight="1" x14ac:dyDescent="0.2">
      <c r="A133" s="39">
        <v>141</v>
      </c>
      <c r="B133" s="39" t="s">
        <v>155</v>
      </c>
      <c r="C133" s="40">
        <v>10</v>
      </c>
      <c r="D133" s="41">
        <v>40.495573746886713</v>
      </c>
      <c r="E133" s="41">
        <v>67.923638074267572</v>
      </c>
      <c r="F133" s="41">
        <v>5.1238407766827629</v>
      </c>
      <c r="G133" s="41">
        <v>5.26468907374651</v>
      </c>
      <c r="H133" s="41">
        <v>0.40198282145018094</v>
      </c>
      <c r="I133" s="41">
        <v>5.5762836212303757</v>
      </c>
      <c r="J133" s="41">
        <v>1.1888537194043836</v>
      </c>
      <c r="K133" s="41">
        <v>4.0735341368298981</v>
      </c>
      <c r="L133" s="41">
        <v>0.44127811766550445</v>
      </c>
      <c r="M133" s="41">
        <v>0.13743725572626714</v>
      </c>
      <c r="N133" s="42">
        <v>3.5789080072406498E-2</v>
      </c>
      <c r="O133" s="42">
        <v>0.59099511662408077</v>
      </c>
      <c r="P133" s="42">
        <v>8.765778086740611E-2</v>
      </c>
      <c r="Z133" s="43"/>
    </row>
    <row r="134" spans="1:26" ht="13.5" customHeight="1" x14ac:dyDescent="0.2">
      <c r="A134" s="39">
        <v>142</v>
      </c>
      <c r="B134" s="39" t="s">
        <v>156</v>
      </c>
      <c r="C134" s="40">
        <v>10</v>
      </c>
      <c r="D134" s="41">
        <v>38.173058340767739</v>
      </c>
      <c r="E134" s="41">
        <v>65.129387331014286</v>
      </c>
      <c r="F134" s="41">
        <v>4.7938778968946778</v>
      </c>
      <c r="G134" s="41">
        <v>5.2204164205422803</v>
      </c>
      <c r="H134" s="41">
        <v>0.42076245551583907</v>
      </c>
      <c r="I134" s="41">
        <v>5.3233323694356454</v>
      </c>
      <c r="J134" s="41">
        <v>1.1157628708648899</v>
      </c>
      <c r="K134" s="41">
        <v>3.9385124917499543</v>
      </c>
      <c r="L134" s="41">
        <v>0.41537792768848991</v>
      </c>
      <c r="M134" s="41">
        <v>0.13431120336796398</v>
      </c>
      <c r="N134" s="42">
        <v>2.8441802643505494E-2</v>
      </c>
      <c r="O134" s="42">
        <v>0.21706676846386261</v>
      </c>
      <c r="P134" s="42">
        <v>9.3302922365856356E-2</v>
      </c>
      <c r="Z134" s="43"/>
    </row>
    <row r="135" spans="1:26" ht="13.5" customHeight="1" x14ac:dyDescent="0.2">
      <c r="A135" s="39">
        <v>143</v>
      </c>
      <c r="B135" s="39" t="s">
        <v>157</v>
      </c>
      <c r="C135" s="40">
        <v>10</v>
      </c>
      <c r="D135" s="41">
        <v>43.544628971846898</v>
      </c>
      <c r="E135" s="41">
        <v>68.699678861099898</v>
      </c>
      <c r="F135" s="41">
        <v>4.371560721728561</v>
      </c>
      <c r="G135" s="41">
        <v>4.8227543504507384</v>
      </c>
      <c r="H135" s="41">
        <v>0.39365407732629176</v>
      </c>
      <c r="I135" s="41">
        <v>5.4421000709798948</v>
      </c>
      <c r="J135" s="41">
        <v>1.1283458845532155</v>
      </c>
      <c r="K135" s="41">
        <v>4.0241494531053332</v>
      </c>
      <c r="L135" s="41">
        <v>0.33151648353096796</v>
      </c>
      <c r="M135" s="41">
        <v>9.4054877880459312E-2</v>
      </c>
      <c r="N135" s="42">
        <v>2.9015317942156303E-2</v>
      </c>
      <c r="O135" s="42">
        <v>0.19846790842586226</v>
      </c>
      <c r="P135" s="42">
        <v>6.2682734589624478E-2</v>
      </c>
      <c r="Z135" s="43"/>
    </row>
    <row r="136" spans="1:26" ht="13.5" customHeight="1" x14ac:dyDescent="0.2">
      <c r="A136" s="39">
        <v>144</v>
      </c>
      <c r="B136" s="39" t="s">
        <v>158</v>
      </c>
      <c r="C136" s="40">
        <v>10</v>
      </c>
      <c r="D136" s="41">
        <v>49.333812491018989</v>
      </c>
      <c r="E136" s="41">
        <v>71.24720086526807</v>
      </c>
      <c r="F136" s="41">
        <v>3.8911673513572191</v>
      </c>
      <c r="G136" s="41">
        <v>3.9825359041169399</v>
      </c>
      <c r="H136" s="41">
        <v>0.6814870028873099</v>
      </c>
      <c r="I136" s="41">
        <v>5.3379110456071803</v>
      </c>
      <c r="J136" s="41">
        <v>0.94927280428834238</v>
      </c>
      <c r="K136" s="41">
        <v>3.8947214308401765</v>
      </c>
      <c r="L136" s="41">
        <v>0.14293433522737103</v>
      </c>
      <c r="M136" s="41">
        <v>7.0514697766433682E-2</v>
      </c>
      <c r="N136" s="42">
        <v>1.7728528071620193E-2</v>
      </c>
      <c r="O136" s="42">
        <v>0.18280969046664536</v>
      </c>
      <c r="P136" s="42">
        <v>8.92626202826209E-2</v>
      </c>
      <c r="Z136" s="43"/>
    </row>
    <row r="137" spans="1:26" ht="13.5" customHeight="1" x14ac:dyDescent="0.2">
      <c r="A137" s="39">
        <v>145</v>
      </c>
      <c r="B137" s="39" t="s">
        <v>159</v>
      </c>
      <c r="C137" s="40">
        <v>10</v>
      </c>
      <c r="D137" s="41">
        <v>49.933657761011418</v>
      </c>
      <c r="E137" s="41">
        <v>72.164602540129067</v>
      </c>
      <c r="F137" s="41">
        <v>4.0514958832903911</v>
      </c>
      <c r="G137" s="41">
        <v>4.045815978841051</v>
      </c>
      <c r="H137" s="41">
        <v>0.48886839931327442</v>
      </c>
      <c r="I137" s="41">
        <v>5.4953235211423497</v>
      </c>
      <c r="J137" s="41">
        <v>0.95342474404569055</v>
      </c>
      <c r="K137" s="41">
        <v>3.942579780237923</v>
      </c>
      <c r="L137" s="41">
        <v>0.13916880989945596</v>
      </c>
      <c r="M137" s="41">
        <v>6.6416429052453527E-2</v>
      </c>
      <c r="N137" s="42">
        <v>2.5791157565144961E-2</v>
      </c>
      <c r="O137" s="42">
        <v>0.18607542349189243</v>
      </c>
      <c r="P137" s="42" t="s">
        <v>39</v>
      </c>
      <c r="Z137" s="43"/>
    </row>
    <row r="138" spans="1:26" ht="13.5" customHeight="1" x14ac:dyDescent="0.2">
      <c r="A138" s="39">
        <v>146</v>
      </c>
      <c r="B138" s="39" t="s">
        <v>160</v>
      </c>
      <c r="C138" s="40">
        <v>10</v>
      </c>
      <c r="D138" s="41">
        <v>48.18881515196616</v>
      </c>
      <c r="E138" s="41">
        <v>72.0045839986347</v>
      </c>
      <c r="F138" s="41">
        <v>4.4445742251863694</v>
      </c>
      <c r="G138" s="41">
        <v>4.3497746971637792</v>
      </c>
      <c r="H138" s="41">
        <v>0.76277037229555023</v>
      </c>
      <c r="I138" s="41">
        <v>5.5139623218238185</v>
      </c>
      <c r="J138" s="41">
        <v>0.98207589591439381</v>
      </c>
      <c r="K138" s="41">
        <v>3.9844551942608275</v>
      </c>
      <c r="L138" s="41">
        <v>0.16882636137220719</v>
      </c>
      <c r="M138" s="41">
        <v>7.8645782855568835E-2</v>
      </c>
      <c r="N138" s="42">
        <v>1.8920700981563444E-2</v>
      </c>
      <c r="O138" s="42">
        <v>0.17629100846894613</v>
      </c>
      <c r="P138" s="42" t="s">
        <v>39</v>
      </c>
      <c r="Z138" s="43"/>
    </row>
    <row r="139" spans="1:26" ht="13.5" customHeight="1" x14ac:dyDescent="0.2">
      <c r="A139" s="39">
        <v>147</v>
      </c>
      <c r="B139" s="39" t="s">
        <v>161</v>
      </c>
      <c r="C139" s="40">
        <v>10</v>
      </c>
      <c r="D139" s="41">
        <v>43.56455068503152</v>
      </c>
      <c r="E139" s="41">
        <v>69.980943888950335</v>
      </c>
      <c r="F139" s="41">
        <v>5.0555800775998776</v>
      </c>
      <c r="G139" s="41">
        <v>4.9227035456204593</v>
      </c>
      <c r="H139" s="41">
        <v>0.40305159573533789</v>
      </c>
      <c r="I139" s="41">
        <v>5.5729645487110755</v>
      </c>
      <c r="J139" s="41">
        <v>1.0977643477426429</v>
      </c>
      <c r="K139" s="41">
        <v>3.9997431931649934</v>
      </c>
      <c r="L139" s="41">
        <v>0.42857807760675448</v>
      </c>
      <c r="M139" s="41">
        <v>0.150477559725545</v>
      </c>
      <c r="N139" s="42">
        <v>2.3036960625298981E-2</v>
      </c>
      <c r="O139" s="42">
        <v>0.21836474676717621</v>
      </c>
      <c r="P139" s="42">
        <v>5.9445322178773907E-2</v>
      </c>
      <c r="Z139" s="43"/>
    </row>
    <row r="140" spans="1:26" ht="13.5" customHeight="1" x14ac:dyDescent="0.2">
      <c r="A140" s="39">
        <v>148</v>
      </c>
      <c r="B140" s="39" t="s">
        <v>162</v>
      </c>
      <c r="C140" s="40">
        <v>10</v>
      </c>
      <c r="D140" s="41">
        <v>32.733523177323022</v>
      </c>
      <c r="E140" s="41">
        <v>63.083575489615896</v>
      </c>
      <c r="F140" s="41">
        <v>5.5408342250309328</v>
      </c>
      <c r="G140" s="41">
        <v>5.8870476293307092</v>
      </c>
      <c r="H140" s="41">
        <v>0.43581177800757909</v>
      </c>
      <c r="I140" s="41">
        <v>5.4743900197661386</v>
      </c>
      <c r="J140" s="41">
        <v>1.12407537074612</v>
      </c>
      <c r="K140" s="41">
        <v>3.8906423859665606</v>
      </c>
      <c r="L140" s="41">
        <v>0.57284909409114015</v>
      </c>
      <c r="M140" s="41">
        <v>0.22598040538386222</v>
      </c>
      <c r="N140" s="42">
        <v>2.3980983862656347E-2</v>
      </c>
      <c r="O140" s="42">
        <v>0.17325464496163201</v>
      </c>
      <c r="P140" s="42" t="s">
        <v>39</v>
      </c>
      <c r="Z140" s="43"/>
    </row>
    <row r="141" spans="1:26" ht="13.5" customHeight="1" x14ac:dyDescent="0.2">
      <c r="A141" s="39">
        <v>149</v>
      </c>
      <c r="B141" s="39" t="s">
        <v>163</v>
      </c>
      <c r="C141" s="40">
        <v>10</v>
      </c>
      <c r="D141" s="41">
        <v>40.981326904373496</v>
      </c>
      <c r="E141" s="41">
        <v>67.870038581895045</v>
      </c>
      <c r="F141" s="41">
        <v>4.973185114622237</v>
      </c>
      <c r="G141" s="41">
        <v>5.0394327988630758</v>
      </c>
      <c r="H141" s="41">
        <v>0.34458751753629058</v>
      </c>
      <c r="I141" s="41">
        <v>5.5326606827389222</v>
      </c>
      <c r="J141" s="41">
        <v>1.1423789315787969</v>
      </c>
      <c r="K141" s="41">
        <v>3.9512322135182387</v>
      </c>
      <c r="L141" s="41">
        <v>0.45646170881567161</v>
      </c>
      <c r="M141" s="41">
        <v>0.15694748344230169</v>
      </c>
      <c r="N141" s="42">
        <v>2.5262249170914547E-2</v>
      </c>
      <c r="O141" s="42">
        <v>0.17267092604651257</v>
      </c>
      <c r="P141" s="42">
        <v>7.1308566217448632E-2</v>
      </c>
      <c r="Z141" s="43"/>
    </row>
    <row r="142" spans="1:26" ht="13.5" customHeight="1" x14ac:dyDescent="0.2">
      <c r="A142" s="39">
        <v>150</v>
      </c>
      <c r="B142" s="39" t="s">
        <v>164</v>
      </c>
      <c r="C142" s="40">
        <v>10</v>
      </c>
      <c r="D142" s="41">
        <v>35.891176334682271</v>
      </c>
      <c r="E142" s="41">
        <v>63.188793331031469</v>
      </c>
      <c r="F142" s="41">
        <v>4.1832297809853527</v>
      </c>
      <c r="G142" s="41">
        <v>5.8351360718139631</v>
      </c>
      <c r="H142" s="41">
        <v>0.45378945917014724</v>
      </c>
      <c r="I142" s="41">
        <v>5.5326920550576206</v>
      </c>
      <c r="J142" s="41">
        <v>1.1473094045834258</v>
      </c>
      <c r="K142" s="41">
        <v>4.1571697418125488</v>
      </c>
      <c r="L142" s="41">
        <v>0.28735074301522945</v>
      </c>
      <c r="M142" s="41">
        <v>0.10369945555720447</v>
      </c>
      <c r="N142" s="42">
        <v>2.5359477321295891E-2</v>
      </c>
      <c r="O142" s="42">
        <v>0.18455714857744457</v>
      </c>
      <c r="P142" s="42">
        <v>7.6341049931248781E-2</v>
      </c>
      <c r="Z142" s="43"/>
    </row>
    <row r="143" spans="1:26" ht="13.5" customHeight="1" x14ac:dyDescent="0.2">
      <c r="A143" s="39">
        <v>151</v>
      </c>
      <c r="B143" s="39" t="s">
        <v>165</v>
      </c>
      <c r="C143" s="40">
        <v>10</v>
      </c>
      <c r="D143" s="41">
        <v>34.624131201484374</v>
      </c>
      <c r="E143" s="41">
        <v>62.375000721214306</v>
      </c>
      <c r="F143" s="41">
        <v>4.1164815529267615</v>
      </c>
      <c r="G143" s="41">
        <v>6.0853921195538927</v>
      </c>
      <c r="H143" s="41">
        <v>0.31958536627132372</v>
      </c>
      <c r="I143" s="41">
        <v>5.7468153704930689</v>
      </c>
      <c r="J143" s="41">
        <v>1.2361820230207088</v>
      </c>
      <c r="K143" s="41">
        <v>4.2049922420942307</v>
      </c>
      <c r="L143" s="41">
        <v>0.3734978203136638</v>
      </c>
      <c r="M143" s="41">
        <v>0.10726204944927004</v>
      </c>
      <c r="N143" s="42">
        <v>4.6833032190447717E-2</v>
      </c>
      <c r="O143" s="42">
        <v>0.20447103954703705</v>
      </c>
      <c r="P143" s="42" t="s">
        <v>39</v>
      </c>
      <c r="Z143" s="43"/>
    </row>
    <row r="144" spans="1:26" ht="13.5" customHeight="1" x14ac:dyDescent="0.2">
      <c r="A144" s="39">
        <v>152</v>
      </c>
      <c r="B144" s="39" t="s">
        <v>166</v>
      </c>
      <c r="C144" s="40">
        <v>10</v>
      </c>
      <c r="D144" s="41">
        <v>34.639146833344604</v>
      </c>
      <c r="E144" s="41">
        <v>60.479611261470225</v>
      </c>
      <c r="F144" s="41">
        <v>3.9784325331874451</v>
      </c>
      <c r="G144" s="41">
        <v>5.5002283678047545</v>
      </c>
      <c r="H144" s="41">
        <v>0.47771910186397859</v>
      </c>
      <c r="I144" s="41">
        <v>5.4690895353273064</v>
      </c>
      <c r="J144" s="41">
        <v>1.2132699712130437</v>
      </c>
      <c r="K144" s="41">
        <v>3.9675948851264042</v>
      </c>
      <c r="L144" s="41">
        <v>0.26569660701136738</v>
      </c>
      <c r="M144" s="41">
        <v>7.5433377282928621E-2</v>
      </c>
      <c r="N144" s="42">
        <v>5.5774453118877625E-2</v>
      </c>
      <c r="O144" s="42">
        <v>0.19280633149739518</v>
      </c>
      <c r="P144" s="42">
        <v>6.6414982687140259E-2</v>
      </c>
      <c r="Z144" s="43"/>
    </row>
    <row r="145" spans="1:26" ht="13.5" customHeight="1" x14ac:dyDescent="0.2">
      <c r="A145" s="39">
        <v>153</v>
      </c>
      <c r="B145" s="39" t="s">
        <v>167</v>
      </c>
      <c r="C145" s="40">
        <v>10</v>
      </c>
      <c r="D145" s="41">
        <v>42.659697739475021</v>
      </c>
      <c r="E145" s="41">
        <v>65.409262145661216</v>
      </c>
      <c r="F145" s="41">
        <v>3.8264031522829649</v>
      </c>
      <c r="G145" s="41">
        <v>4.6474097318640375</v>
      </c>
      <c r="H145" s="41">
        <v>0.48705399278224282</v>
      </c>
      <c r="I145" s="41">
        <v>5.2337911903783336</v>
      </c>
      <c r="J145" s="41">
        <v>1.0756235456467262</v>
      </c>
      <c r="K145" s="41">
        <v>3.87522738805343</v>
      </c>
      <c r="L145" s="41">
        <v>0.25631872646045911</v>
      </c>
      <c r="M145" s="41">
        <v>7.3809929586294398E-2</v>
      </c>
      <c r="N145" s="42">
        <v>3.5691284144749105E-2</v>
      </c>
      <c r="O145" s="42">
        <v>0.19588658527566097</v>
      </c>
      <c r="P145" s="42">
        <v>6.6458408371167593E-2</v>
      </c>
      <c r="Z145" s="43"/>
    </row>
    <row r="146" spans="1:26" ht="13.5" customHeight="1" x14ac:dyDescent="0.2">
      <c r="A146" s="39">
        <v>154</v>
      </c>
      <c r="B146" s="39" t="s">
        <v>168</v>
      </c>
      <c r="C146" s="40">
        <v>10</v>
      </c>
      <c r="D146" s="41">
        <v>47.025880542652423</v>
      </c>
      <c r="E146" s="41">
        <v>68.8163330397865</v>
      </c>
      <c r="F146" s="41">
        <v>3.7202959062248131</v>
      </c>
      <c r="G146" s="41">
        <v>4.4162666581495378</v>
      </c>
      <c r="H146" s="41">
        <v>0.40630066230349704</v>
      </c>
      <c r="I146" s="41">
        <v>5.3088964717062481</v>
      </c>
      <c r="J146" s="41">
        <v>1.0413773731474139</v>
      </c>
      <c r="K146" s="41">
        <v>4.0291765097387442</v>
      </c>
      <c r="L146" s="41">
        <v>0.23021945946255384</v>
      </c>
      <c r="M146" s="41">
        <v>7.2321643251473999E-2</v>
      </c>
      <c r="N146" s="42">
        <v>1.8037965157370824E-2</v>
      </c>
      <c r="O146" s="42">
        <v>0.21159738062491065</v>
      </c>
      <c r="P146" s="42">
        <v>9.402487979350746E-2</v>
      </c>
      <c r="Z146" s="43"/>
    </row>
    <row r="147" spans="1:26" ht="13.5" customHeight="1" x14ac:dyDescent="0.2">
      <c r="A147" s="39">
        <v>155</v>
      </c>
      <c r="B147" s="39" t="s">
        <v>169</v>
      </c>
      <c r="C147" s="40">
        <v>10</v>
      </c>
      <c r="D147" s="41">
        <v>46.081932148630933</v>
      </c>
      <c r="E147" s="41">
        <v>68.412094223048186</v>
      </c>
      <c r="F147" s="41">
        <v>3.6613098082810724</v>
      </c>
      <c r="G147" s="41">
        <v>4.5392906729075522</v>
      </c>
      <c r="H147" s="41">
        <v>0.49723473103891069</v>
      </c>
      <c r="I147" s="41">
        <v>5.3025293848089063</v>
      </c>
      <c r="J147" s="41">
        <v>1.0267555252010661</v>
      </c>
      <c r="K147" s="41">
        <v>4.032524678753763</v>
      </c>
      <c r="L147" s="41">
        <v>0.21960008773433667</v>
      </c>
      <c r="M147" s="41">
        <v>7.4459071413057312E-2</v>
      </c>
      <c r="N147" s="42">
        <v>1.6045845004098145E-2</v>
      </c>
      <c r="O147" s="42">
        <v>0.18489391289092877</v>
      </c>
      <c r="P147" s="42">
        <v>4.0071779075052522E-2</v>
      </c>
      <c r="Z147" s="43"/>
    </row>
    <row r="148" spans="1:26" ht="13.5" customHeight="1" x14ac:dyDescent="0.2">
      <c r="A148" s="39">
        <v>156</v>
      </c>
      <c r="B148" s="39" t="s">
        <v>170</v>
      </c>
      <c r="C148" s="40">
        <v>10</v>
      </c>
      <c r="D148" s="41">
        <v>51.003590438964757</v>
      </c>
      <c r="E148" s="41">
        <v>70.382505283149854</v>
      </c>
      <c r="F148" s="41">
        <v>3.0889674889343448</v>
      </c>
      <c r="G148" s="41">
        <v>4.7359640461233194</v>
      </c>
      <c r="H148" s="41">
        <v>0.3721460975744218</v>
      </c>
      <c r="I148" s="41">
        <v>5.5345570382892237</v>
      </c>
      <c r="J148" s="41">
        <v>1.0948393328840773</v>
      </c>
      <c r="K148" s="41">
        <v>4.4325369290147023</v>
      </c>
      <c r="L148" s="41">
        <v>0.16228373192820247</v>
      </c>
      <c r="M148" s="41">
        <v>8.250966417832839E-2</v>
      </c>
      <c r="N148" s="42">
        <v>2.0378912660605999E-2</v>
      </c>
      <c r="O148" s="42">
        <v>0.23722860690758235</v>
      </c>
      <c r="P148" s="42">
        <v>7.7409880581544979E-2</v>
      </c>
      <c r="Z148" s="43"/>
    </row>
    <row r="149" spans="1:26" ht="13.5" customHeight="1" x14ac:dyDescent="0.2">
      <c r="A149" s="39">
        <v>157</v>
      </c>
      <c r="B149" s="39" t="s">
        <v>171</v>
      </c>
      <c r="C149" s="40">
        <v>10</v>
      </c>
      <c r="D149" s="41">
        <v>48.314810050344896</v>
      </c>
      <c r="E149" s="41">
        <v>66.993204315311516</v>
      </c>
      <c r="F149" s="41">
        <v>3.2165968953113353</v>
      </c>
      <c r="G149" s="41">
        <v>4.5931668096479648</v>
      </c>
      <c r="H149" s="41">
        <v>0.42098045519049199</v>
      </c>
      <c r="I149" s="41">
        <v>5.3749074517678874</v>
      </c>
      <c r="J149" s="41">
        <v>1.0696170297519247</v>
      </c>
      <c r="K149" s="41">
        <v>4.2425260930479123</v>
      </c>
      <c r="L149" s="41">
        <v>0.13516258487620533</v>
      </c>
      <c r="M149" s="41">
        <v>3.9944889241557015E-2</v>
      </c>
      <c r="N149" s="42">
        <v>2.290141836983714E-2</v>
      </c>
      <c r="O149" s="42">
        <v>0.23736680475640703</v>
      </c>
      <c r="P149" s="42" t="s">
        <v>39</v>
      </c>
      <c r="Z149" s="43"/>
    </row>
    <row r="150" spans="1:26" ht="13.5" customHeight="1" x14ac:dyDescent="0.2">
      <c r="A150" s="39">
        <v>158</v>
      </c>
      <c r="B150" s="39" t="s">
        <v>172</v>
      </c>
      <c r="C150" s="40">
        <v>10</v>
      </c>
      <c r="D150" s="41">
        <v>45.945368743721602</v>
      </c>
      <c r="E150" s="41">
        <v>65.900887964123385</v>
      </c>
      <c r="F150" s="41">
        <v>3.5090542795022484</v>
      </c>
      <c r="G150" s="41">
        <v>4.9841020071990263</v>
      </c>
      <c r="H150" s="41">
        <v>0.37274088600972644</v>
      </c>
      <c r="I150" s="41">
        <v>5.4502534133616702</v>
      </c>
      <c r="J150" s="41">
        <v>1.113128421304334</v>
      </c>
      <c r="K150" s="41">
        <v>4.3220229266693009</v>
      </c>
      <c r="L150" s="41">
        <v>0.20956089550247825</v>
      </c>
      <c r="M150" s="41">
        <v>0.1170216313581026</v>
      </c>
      <c r="N150" s="42">
        <v>2.3344559311034244E-2</v>
      </c>
      <c r="O150" s="42">
        <v>0.23024130280514019</v>
      </c>
      <c r="P150" s="42">
        <v>6.5467746583048464E-2</v>
      </c>
      <c r="Z150" s="43"/>
    </row>
    <row r="151" spans="1:26" ht="13.5" customHeight="1" x14ac:dyDescent="0.2">
      <c r="A151" s="39">
        <v>159</v>
      </c>
      <c r="B151" s="39" t="s">
        <v>173</v>
      </c>
      <c r="C151" s="40">
        <v>10</v>
      </c>
      <c r="D151" s="41">
        <v>55.997247120102315</v>
      </c>
      <c r="E151" s="41">
        <v>73.53919414007963</v>
      </c>
      <c r="F151" s="41">
        <v>3.7153649643063313</v>
      </c>
      <c r="G151" s="41">
        <v>3.6694954455313256</v>
      </c>
      <c r="H151" s="41">
        <v>0.45940189228443296</v>
      </c>
      <c r="I151" s="41">
        <v>5.4186107255340286</v>
      </c>
      <c r="J151" s="41">
        <v>0.99785099961056467</v>
      </c>
      <c r="K151" s="41">
        <v>4.0706428152352423</v>
      </c>
      <c r="L151" s="41">
        <v>0.29703106153344322</v>
      </c>
      <c r="M151" s="41">
        <v>5.8940574554178636E-2</v>
      </c>
      <c r="N151" s="42">
        <v>2.5952609885214768E-2</v>
      </c>
      <c r="O151" s="42">
        <v>0.20189496346364044</v>
      </c>
      <c r="P151" s="42">
        <v>6.5482835795106109E-2</v>
      </c>
      <c r="Z151" s="43"/>
    </row>
    <row r="152" spans="1:26" ht="13.5" customHeight="1" x14ac:dyDescent="0.2">
      <c r="A152" s="39">
        <v>160</v>
      </c>
      <c r="B152" s="39" t="s">
        <v>174</v>
      </c>
      <c r="C152" s="40">
        <v>10</v>
      </c>
      <c r="D152" s="41">
        <v>52.44407351586149</v>
      </c>
      <c r="E152" s="41">
        <v>71.54063605554164</v>
      </c>
      <c r="F152" s="41">
        <v>4.1118988479236798</v>
      </c>
      <c r="G152" s="41">
        <v>4.0854213652877922</v>
      </c>
      <c r="H152" s="41">
        <v>0.53475649938780878</v>
      </c>
      <c r="I152" s="41">
        <v>5.4646447077845304</v>
      </c>
      <c r="J152" s="41">
        <v>0.98779384910187884</v>
      </c>
      <c r="K152" s="41">
        <v>4.1011409602990723</v>
      </c>
      <c r="L152" s="41">
        <v>0.34385587973325527</v>
      </c>
      <c r="M152" s="41">
        <v>6.8259553110625149E-2</v>
      </c>
      <c r="N152" s="42">
        <v>2.4873594743479159E-2</v>
      </c>
      <c r="O152" s="42">
        <v>0.19054340875433068</v>
      </c>
      <c r="P152" s="42">
        <v>8.1149117790189129E-2</v>
      </c>
      <c r="Z152" s="43"/>
    </row>
    <row r="153" spans="1:26" ht="13.5" customHeight="1" x14ac:dyDescent="0.2">
      <c r="A153" s="39">
        <v>161</v>
      </c>
      <c r="B153" s="39" t="s">
        <v>175</v>
      </c>
      <c r="C153" s="40">
        <v>10</v>
      </c>
      <c r="D153" s="41">
        <v>53.442558554326183</v>
      </c>
      <c r="E153" s="41">
        <v>71.348685069960069</v>
      </c>
      <c r="F153" s="41">
        <v>3.7294353550223751</v>
      </c>
      <c r="G153" s="41">
        <v>3.7474956800544916</v>
      </c>
      <c r="H153" s="41">
        <v>0.54177529835177163</v>
      </c>
      <c r="I153" s="41">
        <v>5.2387139928790152</v>
      </c>
      <c r="J153" s="41">
        <v>0.9990801870107745</v>
      </c>
      <c r="K153" s="41">
        <v>4.0208376688728515</v>
      </c>
      <c r="L153" s="41">
        <v>0.30896173362022511</v>
      </c>
      <c r="M153" s="41">
        <v>6.0739046402347931E-2</v>
      </c>
      <c r="N153" s="42">
        <v>2.2602173270473799E-2</v>
      </c>
      <c r="O153" s="42">
        <v>0.19502403917998673</v>
      </c>
      <c r="P153" s="42">
        <v>6.2290157414521666E-2</v>
      </c>
      <c r="Z153" s="43"/>
    </row>
    <row r="154" spans="1:26" ht="13.5" customHeight="1" x14ac:dyDescent="0.2">
      <c r="A154" s="39">
        <v>162</v>
      </c>
      <c r="B154" s="39" t="s">
        <v>176</v>
      </c>
      <c r="C154" s="40">
        <v>10</v>
      </c>
      <c r="D154" s="41">
        <v>41.063198317554154</v>
      </c>
      <c r="E154" s="41">
        <v>66.645266263066631</v>
      </c>
      <c r="F154" s="41">
        <v>3.9816272460744484</v>
      </c>
      <c r="G154" s="41">
        <v>5.2529796263781474</v>
      </c>
      <c r="H154" s="41">
        <v>0.50524462534165637</v>
      </c>
      <c r="I154" s="41">
        <v>5.4326713712753794</v>
      </c>
      <c r="J154" s="41">
        <v>1.1215722892253854</v>
      </c>
      <c r="K154" s="41">
        <v>4.2909268710037933</v>
      </c>
      <c r="L154" s="41">
        <v>0.30824017591592912</v>
      </c>
      <c r="M154" s="41">
        <v>3.3411713787424364E-2</v>
      </c>
      <c r="N154" s="42">
        <v>4.5490726560301536E-2</v>
      </c>
      <c r="O154" s="42">
        <v>0.20265256190861239</v>
      </c>
      <c r="P154" s="42">
        <v>8.5660163689402644E-2</v>
      </c>
      <c r="Z154" s="43"/>
    </row>
    <row r="155" spans="1:26" ht="13.5" customHeight="1" x14ac:dyDescent="0.2">
      <c r="A155" s="39">
        <v>163</v>
      </c>
      <c r="B155" s="39" t="s">
        <v>177</v>
      </c>
      <c r="C155" s="40">
        <v>10</v>
      </c>
      <c r="D155" s="41">
        <v>37.037052146424017</v>
      </c>
      <c r="E155" s="41">
        <v>63.4568096420888</v>
      </c>
      <c r="F155" s="41">
        <v>4.02413903038833</v>
      </c>
      <c r="G155" s="41">
        <v>5.4871753946575339</v>
      </c>
      <c r="H155" s="41">
        <v>0.36789215893958477</v>
      </c>
      <c r="I155" s="41">
        <v>5.3071770969565986</v>
      </c>
      <c r="J155" s="41">
        <v>1.0718653455363507</v>
      </c>
      <c r="K155" s="41">
        <v>4.2001540546830549</v>
      </c>
      <c r="L155" s="41">
        <v>0.34994267202085866</v>
      </c>
      <c r="M155" s="41">
        <v>5.248483798907521E-2</v>
      </c>
      <c r="N155" s="42">
        <v>4.4976144754569083E-2</v>
      </c>
      <c r="O155" s="42">
        <v>0.22594033881890097</v>
      </c>
      <c r="P155" s="42">
        <v>9.7563118960009382E-2</v>
      </c>
      <c r="Z155" s="43"/>
    </row>
    <row r="156" spans="1:26" ht="13.5" customHeight="1" x14ac:dyDescent="0.2">
      <c r="A156" s="39">
        <v>164</v>
      </c>
      <c r="B156" s="39" t="s">
        <v>178</v>
      </c>
      <c r="C156" s="40">
        <v>10</v>
      </c>
      <c r="D156" s="41">
        <v>32.973712609167634</v>
      </c>
      <c r="E156" s="41">
        <v>59.776823526330638</v>
      </c>
      <c r="F156" s="41">
        <v>4.1716400560080498</v>
      </c>
      <c r="G156" s="41">
        <v>5.7023925562169779</v>
      </c>
      <c r="H156" s="41">
        <v>0.55798327603772935</v>
      </c>
      <c r="I156" s="41">
        <v>5.1966291356654235</v>
      </c>
      <c r="J156" s="41">
        <v>1.0138120470474736</v>
      </c>
      <c r="K156" s="41">
        <v>4.1072162004267208</v>
      </c>
      <c r="L156" s="41">
        <v>0.38834205746503458</v>
      </c>
      <c r="M156" s="41">
        <v>6.371705247149545E-2</v>
      </c>
      <c r="N156" s="42">
        <v>4.6018059888208562E-2</v>
      </c>
      <c r="O156" s="42">
        <v>0.22051399655884277</v>
      </c>
      <c r="P156" s="42">
        <v>5.7999170086216412E-2</v>
      </c>
      <c r="Z156" s="43"/>
    </row>
    <row r="157" spans="1:26" ht="13.5" customHeight="1" x14ac:dyDescent="0.2">
      <c r="A157" s="39">
        <v>165</v>
      </c>
      <c r="B157" s="39" t="s">
        <v>179</v>
      </c>
      <c r="C157" s="40">
        <v>10</v>
      </c>
      <c r="D157" s="41">
        <v>38.24473192610143</v>
      </c>
      <c r="E157" s="41">
        <v>72.690081157867638</v>
      </c>
      <c r="F157" s="41">
        <v>5.917533546600823</v>
      </c>
      <c r="G157" s="41">
        <v>6.9455019683843497</v>
      </c>
      <c r="H157" s="41">
        <v>0.45046363754511926</v>
      </c>
      <c r="I157" s="41">
        <v>6.3911414103018194</v>
      </c>
      <c r="J157" s="41">
        <v>1.3097924342118703</v>
      </c>
      <c r="K157" s="41">
        <v>4.7894377301701319</v>
      </c>
      <c r="L157" s="41">
        <v>0.67602539255370964</v>
      </c>
      <c r="M157" s="41">
        <v>0.19929509402098836</v>
      </c>
      <c r="N157" s="42">
        <v>3.9298348413642221E-2</v>
      </c>
      <c r="O157" s="42">
        <v>0.14843136368601162</v>
      </c>
      <c r="P157" s="42">
        <v>8.2979757856572731E-2</v>
      </c>
      <c r="Z157" s="43"/>
    </row>
    <row r="158" spans="1:26" ht="13.5" customHeight="1" x14ac:dyDescent="0.2">
      <c r="A158" s="39">
        <v>166</v>
      </c>
      <c r="B158" s="39" t="s">
        <v>180</v>
      </c>
      <c r="C158" s="40">
        <v>10</v>
      </c>
      <c r="D158" s="41">
        <v>32.83098268325913</v>
      </c>
      <c r="E158" s="41">
        <v>60.566845402612266</v>
      </c>
      <c r="F158" s="41">
        <v>4.7531737024963121</v>
      </c>
      <c r="G158" s="41">
        <v>5.4497205663887485</v>
      </c>
      <c r="H158" s="41">
        <v>0.4304388787742347</v>
      </c>
      <c r="I158" s="41">
        <v>5.1936728451349712</v>
      </c>
      <c r="J158" s="41">
        <v>1.0668526978346189</v>
      </c>
      <c r="K158" s="41">
        <v>3.9007935148832509</v>
      </c>
      <c r="L158" s="41">
        <v>0.52323663664562892</v>
      </c>
      <c r="M158" s="41">
        <v>0.11337695047433924</v>
      </c>
      <c r="N158" s="42">
        <v>3.1096369762787287E-2</v>
      </c>
      <c r="O158" s="42">
        <v>0.17407737665517697</v>
      </c>
      <c r="P158" s="42">
        <v>5.5633547230338025E-2</v>
      </c>
      <c r="Z158" s="43"/>
    </row>
    <row r="159" spans="1:26" ht="13.5" customHeight="1" x14ac:dyDescent="0.2">
      <c r="A159" s="39">
        <v>167</v>
      </c>
      <c r="B159" s="39" t="s">
        <v>181</v>
      </c>
      <c r="C159" s="40">
        <v>10</v>
      </c>
      <c r="D159" s="41">
        <v>32.888061055252287</v>
      </c>
      <c r="E159" s="41">
        <v>62.093876320283663</v>
      </c>
      <c r="F159" s="41">
        <v>5.0985036486817039</v>
      </c>
      <c r="G159" s="41">
        <v>5.9064873063790566</v>
      </c>
      <c r="H159" s="41">
        <v>0.43578969905799264</v>
      </c>
      <c r="I159" s="41">
        <v>5.3536060934398062</v>
      </c>
      <c r="J159" s="41">
        <v>1.0875530855703173</v>
      </c>
      <c r="K159" s="41">
        <v>4.055225243399355</v>
      </c>
      <c r="L159" s="41">
        <v>0.56970373505760352</v>
      </c>
      <c r="M159" s="41">
        <v>0.1430605275304086</v>
      </c>
      <c r="N159" s="42">
        <v>3.1477192160371335E-2</v>
      </c>
      <c r="O159" s="42">
        <v>0.19089704027422333</v>
      </c>
      <c r="P159" s="42" t="s">
        <v>39</v>
      </c>
      <c r="Z159" s="43"/>
    </row>
    <row r="160" spans="1:26" ht="13.5" customHeight="1" x14ac:dyDescent="0.2">
      <c r="A160" s="39">
        <v>168</v>
      </c>
      <c r="B160" s="39" t="s">
        <v>182</v>
      </c>
      <c r="C160" s="40">
        <v>10</v>
      </c>
      <c r="D160" s="41">
        <v>56.869235568415903</v>
      </c>
      <c r="E160" s="41">
        <v>75.859886782223384</v>
      </c>
      <c r="F160" s="41">
        <v>3.4085951086748589</v>
      </c>
      <c r="G160" s="41">
        <v>3.5437485864641256</v>
      </c>
      <c r="H160" s="41">
        <v>0.78210599632049282</v>
      </c>
      <c r="I160" s="41">
        <v>5.4980585826460571</v>
      </c>
      <c r="J160" s="41">
        <v>0.94100928501340897</v>
      </c>
      <c r="K160" s="41">
        <v>4.1323455973441376</v>
      </c>
      <c r="L160" s="41">
        <v>6.9392581611091061E-2</v>
      </c>
      <c r="M160" s="41">
        <v>6.0081236567557088E-2</v>
      </c>
      <c r="N160" s="42">
        <v>1.1088207714199511E-2</v>
      </c>
      <c r="O160" s="42">
        <v>0.2376680378536703</v>
      </c>
      <c r="P160" s="42" t="s">
        <v>39</v>
      </c>
      <c r="Z160" s="43"/>
    </row>
    <row r="161" spans="1:26" ht="13.5" customHeight="1" x14ac:dyDescent="0.2">
      <c r="A161" s="39">
        <v>169</v>
      </c>
      <c r="B161" s="39" t="s">
        <v>183</v>
      </c>
      <c r="C161" s="40">
        <v>10</v>
      </c>
      <c r="D161" s="41">
        <v>59.584747928230115</v>
      </c>
      <c r="E161" s="41">
        <v>76.847331084528307</v>
      </c>
      <c r="F161" s="41">
        <v>3.5288966377168856</v>
      </c>
      <c r="G161" s="41">
        <v>3.2740371848235594</v>
      </c>
      <c r="H161" s="41">
        <v>0.72905201960421284</v>
      </c>
      <c r="I161" s="41">
        <v>5.6418231557722232</v>
      </c>
      <c r="J161" s="41">
        <v>0.98833090734542883</v>
      </c>
      <c r="K161" s="41">
        <v>4.106068285348119</v>
      </c>
      <c r="L161" s="41">
        <v>6.3500660298607292E-2</v>
      </c>
      <c r="M161" s="41">
        <v>7.3497100486482142E-2</v>
      </c>
      <c r="N161" s="42">
        <v>3.1064536197043212E-2</v>
      </c>
      <c r="O161" s="42">
        <v>0.2628480053398991</v>
      </c>
      <c r="P161" s="42" t="s">
        <v>39</v>
      </c>
      <c r="Z161" s="43"/>
    </row>
    <row r="162" spans="1:26" ht="13.5" customHeight="1" x14ac:dyDescent="0.2">
      <c r="A162" s="39">
        <v>170</v>
      </c>
      <c r="B162" s="39" t="s">
        <v>184</v>
      </c>
      <c r="C162" s="40">
        <v>10</v>
      </c>
      <c r="D162" s="41">
        <v>70.137945490145782</v>
      </c>
      <c r="E162" s="41">
        <v>81.015070543498354</v>
      </c>
      <c r="F162" s="41">
        <v>2.4996170533127291</v>
      </c>
      <c r="G162" s="41">
        <v>2.3571669084968794</v>
      </c>
      <c r="H162" s="41">
        <v>0.52777528280653285</v>
      </c>
      <c r="I162" s="41">
        <v>5.5814977661832543</v>
      </c>
      <c r="J162" s="41">
        <v>0.96116730685447005</v>
      </c>
      <c r="K162" s="41">
        <v>4.1054111025208702</v>
      </c>
      <c r="L162" s="41">
        <v>4.6905452878514838E-2</v>
      </c>
      <c r="M162" s="41">
        <v>1.6059298759071507E-2</v>
      </c>
      <c r="N162" s="42">
        <v>2.8163465127260829E-2</v>
      </c>
      <c r="O162" s="42">
        <v>0.24315334652909809</v>
      </c>
      <c r="P162" s="42" t="s">
        <v>39</v>
      </c>
      <c r="Z162" s="43"/>
    </row>
    <row r="163" spans="1:26" ht="13.5" customHeight="1" x14ac:dyDescent="0.2">
      <c r="A163" s="39">
        <v>171</v>
      </c>
      <c r="B163" s="39" t="s">
        <v>185</v>
      </c>
      <c r="C163" s="40">
        <v>10</v>
      </c>
      <c r="D163" s="41">
        <v>31.696877036248459</v>
      </c>
      <c r="E163" s="41">
        <v>61.927923377059329</v>
      </c>
      <c r="F163" s="41">
        <v>5.5607387532019601</v>
      </c>
      <c r="G163" s="41">
        <v>5.954825057120873</v>
      </c>
      <c r="H163" s="41">
        <v>0.61546873852879636</v>
      </c>
      <c r="I163" s="41">
        <v>5.6086196552637615</v>
      </c>
      <c r="J163" s="41">
        <v>1.1346927714179633</v>
      </c>
      <c r="K163" s="41">
        <v>3.8888169918825528</v>
      </c>
      <c r="L163" s="41">
        <v>0.55008020030958316</v>
      </c>
      <c r="M163" s="41">
        <v>0.26290493513757135</v>
      </c>
      <c r="N163" s="42">
        <v>4.1183114014971892E-2</v>
      </c>
      <c r="O163" s="42">
        <v>0.16960818959050356</v>
      </c>
      <c r="P163" s="42" t="s">
        <v>39</v>
      </c>
      <c r="Z163" s="43"/>
    </row>
    <row r="164" spans="1:26" ht="13.5" customHeight="1" x14ac:dyDescent="0.2">
      <c r="A164" s="39">
        <v>172</v>
      </c>
      <c r="B164" s="39" t="s">
        <v>186</v>
      </c>
      <c r="C164" s="40">
        <v>10</v>
      </c>
      <c r="D164" s="41">
        <v>31.502704431456301</v>
      </c>
      <c r="E164" s="41">
        <v>60.377410990307105</v>
      </c>
      <c r="F164" s="41">
        <v>5.3117973354605024</v>
      </c>
      <c r="G164" s="41">
        <v>5.5541669045169515</v>
      </c>
      <c r="H164" s="41">
        <v>0.46034897981202394</v>
      </c>
      <c r="I164" s="41">
        <v>5.1836579693534812</v>
      </c>
      <c r="J164" s="41">
        <v>1.046374733055468</v>
      </c>
      <c r="K164" s="41">
        <v>3.7656308548387214</v>
      </c>
      <c r="L164" s="41">
        <v>0.55044215998741453</v>
      </c>
      <c r="M164" s="41">
        <v>0.25896983231451914</v>
      </c>
      <c r="N164" s="42">
        <v>1.3226457533404826E-2</v>
      </c>
      <c r="O164" s="42">
        <v>0.1680714672293887</v>
      </c>
      <c r="P164" s="42">
        <v>6.7818010099762474E-2</v>
      </c>
      <c r="Z164" s="43"/>
    </row>
    <row r="165" spans="1:26" ht="13.5" customHeight="1" x14ac:dyDescent="0.2">
      <c r="A165" s="39">
        <v>173</v>
      </c>
      <c r="B165" s="39" t="s">
        <v>187</v>
      </c>
      <c r="C165" s="40">
        <v>10</v>
      </c>
      <c r="D165" s="41">
        <v>39.234057651135203</v>
      </c>
      <c r="E165" s="41">
        <v>67.156108515896776</v>
      </c>
      <c r="F165" s="41">
        <v>5.1424599944034819</v>
      </c>
      <c r="G165" s="41">
        <v>5.1890344967063173</v>
      </c>
      <c r="H165" s="41">
        <v>0.48531900723660432</v>
      </c>
      <c r="I165" s="41">
        <v>5.4289517558945803</v>
      </c>
      <c r="J165" s="41">
        <v>1.1447825572998531</v>
      </c>
      <c r="K165" s="41">
        <v>4.0161296124431747</v>
      </c>
      <c r="L165" s="41">
        <v>0.46891917508166492</v>
      </c>
      <c r="M165" s="41">
        <v>0.18627278056289948</v>
      </c>
      <c r="N165" s="42">
        <v>1.3730807386761669E-2</v>
      </c>
      <c r="O165" s="42">
        <v>0.1743411244337037</v>
      </c>
      <c r="P165" s="42">
        <v>6.1428004970331407E-2</v>
      </c>
      <c r="Z165" s="43"/>
    </row>
    <row r="166" spans="1:26" ht="13.5" customHeight="1" x14ac:dyDescent="0.2">
      <c r="A166" s="39">
        <v>174</v>
      </c>
      <c r="B166" s="39" t="s">
        <v>188</v>
      </c>
      <c r="C166" s="40">
        <v>10</v>
      </c>
      <c r="D166" s="41">
        <v>49.104782123400398</v>
      </c>
      <c r="E166" s="41">
        <v>67.364986908377162</v>
      </c>
      <c r="F166" s="41">
        <v>3.4403670244509592</v>
      </c>
      <c r="G166" s="41">
        <v>4.6829168853774297</v>
      </c>
      <c r="H166" s="41">
        <v>0.49821218409017348</v>
      </c>
      <c r="I166" s="41">
        <v>5.3568635900588424</v>
      </c>
      <c r="J166" s="41">
        <v>1.0319462070688641</v>
      </c>
      <c r="K166" s="41">
        <v>4.2840238206654782</v>
      </c>
      <c r="L166" s="41">
        <v>0.23816534988257571</v>
      </c>
      <c r="M166" s="41">
        <v>0.16565106724041168</v>
      </c>
      <c r="N166" s="42">
        <v>8.9784845786860176E-3</v>
      </c>
      <c r="O166" s="42">
        <v>0.22256630389629245</v>
      </c>
      <c r="P166" s="42" t="s">
        <v>39</v>
      </c>
      <c r="Z166" s="43"/>
    </row>
    <row r="167" spans="1:26" ht="13.5" customHeight="1" x14ac:dyDescent="0.2">
      <c r="A167" s="39">
        <v>175</v>
      </c>
      <c r="B167" s="39" t="s">
        <v>189</v>
      </c>
      <c r="C167" s="40">
        <v>10</v>
      </c>
      <c r="D167" s="41">
        <v>62.693570890795911</v>
      </c>
      <c r="E167" s="41">
        <v>74.771157287887632</v>
      </c>
      <c r="F167" s="41">
        <v>2.4702157215794203</v>
      </c>
      <c r="G167" s="41">
        <v>3.0959466075025324</v>
      </c>
      <c r="H167" s="41">
        <v>0.26098709053278024</v>
      </c>
      <c r="I167" s="41">
        <v>5.6163065346460286</v>
      </c>
      <c r="J167" s="41">
        <v>1.1217163541571764</v>
      </c>
      <c r="K167" s="41">
        <v>4.1923337182956573</v>
      </c>
      <c r="L167" s="41">
        <v>6.8603246078849933E-2</v>
      </c>
      <c r="M167" s="41">
        <v>3.2946165854465394E-2</v>
      </c>
      <c r="N167" s="42">
        <v>4.9544251846789872E-2</v>
      </c>
      <c r="O167" s="42">
        <v>0.23997787117250036</v>
      </c>
      <c r="P167" s="42" t="s">
        <v>39</v>
      </c>
      <c r="Z167" s="43"/>
    </row>
    <row r="168" spans="1:26" ht="13.5" customHeight="1" x14ac:dyDescent="0.2">
      <c r="A168" s="39">
        <v>176</v>
      </c>
      <c r="B168" s="39" t="s">
        <v>190</v>
      </c>
      <c r="C168" s="40">
        <v>10</v>
      </c>
      <c r="D168" s="41">
        <v>70.542561775096189</v>
      </c>
      <c r="E168" s="41">
        <v>79.339813360100351</v>
      </c>
      <c r="F168" s="41">
        <v>2.2360741016801913</v>
      </c>
      <c r="G168" s="41">
        <v>2.505098151543224</v>
      </c>
      <c r="H168" s="41">
        <v>0.35079109059686953</v>
      </c>
      <c r="I168" s="41">
        <v>5.595636691623513</v>
      </c>
      <c r="J168" s="41">
        <v>1.0119735594048125</v>
      </c>
      <c r="K168" s="41">
        <v>4.2427057366781167</v>
      </c>
      <c r="L168" s="41">
        <v>5.1302512791804297E-2</v>
      </c>
      <c r="M168" s="41">
        <v>1.2784388793613414E-2</v>
      </c>
      <c r="N168" s="42">
        <v>4.0312828319791986E-2</v>
      </c>
      <c r="O168" s="42">
        <v>0.3354274807049073</v>
      </c>
      <c r="P168" s="42" t="s">
        <v>39</v>
      </c>
      <c r="Z168" s="43"/>
    </row>
    <row r="169" spans="1:26" ht="13.5" customHeight="1" x14ac:dyDescent="0.2">
      <c r="A169" s="39">
        <v>177</v>
      </c>
      <c r="B169" s="39" t="s">
        <v>191</v>
      </c>
      <c r="C169" s="40">
        <v>10</v>
      </c>
      <c r="D169" s="41">
        <v>57.919411369829007</v>
      </c>
      <c r="E169" s="41">
        <v>75.553804879588071</v>
      </c>
      <c r="F169" s="41">
        <v>3.7483321450658469</v>
      </c>
      <c r="G169" s="41">
        <v>3.5049224991727574</v>
      </c>
      <c r="H169" s="41">
        <v>0.43244617827506759</v>
      </c>
      <c r="I169" s="41">
        <v>5.7358632613256617</v>
      </c>
      <c r="J169" s="41">
        <v>1.1445278182621199</v>
      </c>
      <c r="K169" s="41">
        <v>4.1117980132390795</v>
      </c>
      <c r="L169" s="41">
        <v>0.27004231961574926</v>
      </c>
      <c r="M169" s="41">
        <v>7.0506616991145493E-2</v>
      </c>
      <c r="N169" s="42">
        <v>5.2372101202394487E-2</v>
      </c>
      <c r="O169" s="42">
        <v>0.21514018504530918</v>
      </c>
      <c r="P169" s="42">
        <v>6.5755219901768178E-2</v>
      </c>
      <c r="Z169" s="43"/>
    </row>
    <row r="170" spans="1:26" ht="13.5" customHeight="1" x14ac:dyDescent="0.2">
      <c r="A170" s="39">
        <v>178</v>
      </c>
      <c r="B170" s="39" t="s">
        <v>192</v>
      </c>
      <c r="C170" s="40">
        <v>10</v>
      </c>
      <c r="D170" s="41">
        <v>56.786156670836839</v>
      </c>
      <c r="E170" s="41">
        <v>73.8270564823314</v>
      </c>
      <c r="F170" s="41">
        <v>3.7786669506226813</v>
      </c>
      <c r="G170" s="41">
        <v>3.4964019431024584</v>
      </c>
      <c r="H170" s="41">
        <v>0.58936875857653881</v>
      </c>
      <c r="I170" s="41">
        <v>5.3843699055604022</v>
      </c>
      <c r="J170" s="41">
        <v>1.0011314967789138</v>
      </c>
      <c r="K170" s="41">
        <v>4.0083281072313444</v>
      </c>
      <c r="L170" s="41">
        <v>0.25836768877971028</v>
      </c>
      <c r="M170" s="41">
        <v>5.213028938699131E-2</v>
      </c>
      <c r="N170" s="42">
        <v>2.6357072159856547E-2</v>
      </c>
      <c r="O170" s="42">
        <v>0.20163816036802484</v>
      </c>
      <c r="P170" s="42">
        <v>3.582788370382315E-2</v>
      </c>
      <c r="Z170" s="43"/>
    </row>
    <row r="171" spans="1:26" ht="13.5" customHeight="1" x14ac:dyDescent="0.2">
      <c r="A171" s="39">
        <v>179</v>
      </c>
      <c r="B171" s="39" t="s">
        <v>193</v>
      </c>
      <c r="C171" s="40">
        <v>10</v>
      </c>
      <c r="D171" s="41">
        <v>53.024377559777932</v>
      </c>
      <c r="E171" s="41">
        <v>70.023921449193153</v>
      </c>
      <c r="F171" s="41">
        <v>3.7205271757792184</v>
      </c>
      <c r="G171" s="41">
        <v>3.4272616928212436</v>
      </c>
      <c r="H171" s="41">
        <v>0.46980011291325052</v>
      </c>
      <c r="I171" s="41">
        <v>5.0480998972887834</v>
      </c>
      <c r="J171" s="41">
        <v>0.92504727639753015</v>
      </c>
      <c r="K171" s="41">
        <v>3.8314604404963948</v>
      </c>
      <c r="L171" s="41">
        <v>0.24917356823972728</v>
      </c>
      <c r="M171" s="41">
        <v>6.6489225175545244E-2</v>
      </c>
      <c r="N171" s="42">
        <v>1.2433938263146711E-2</v>
      </c>
      <c r="O171" s="42">
        <v>0.19046409936114039</v>
      </c>
      <c r="P171" s="42">
        <v>6.3446647191339731E-2</v>
      </c>
      <c r="Z171" s="43"/>
    </row>
    <row r="172" spans="1:26" ht="13.5" customHeight="1" x14ac:dyDescent="0.2">
      <c r="A172" s="39">
        <v>180</v>
      </c>
      <c r="B172" s="39" t="s">
        <v>194</v>
      </c>
      <c r="C172" s="40">
        <v>5</v>
      </c>
      <c r="D172" s="41">
        <v>3.6335409580154439</v>
      </c>
      <c r="E172" s="41">
        <v>29.627263506969189</v>
      </c>
      <c r="F172" s="41">
        <v>6.9068699301234018</v>
      </c>
      <c r="G172" s="41">
        <v>9.4870927862782555</v>
      </c>
      <c r="H172" s="41">
        <v>0.22910957293154319</v>
      </c>
      <c r="I172" s="41">
        <v>5.1072059021407359</v>
      </c>
      <c r="J172" s="41">
        <v>1.050938998668391</v>
      </c>
      <c r="K172" s="41">
        <v>3.6683558568351824</v>
      </c>
      <c r="L172" s="41">
        <v>1.1279946600672479</v>
      </c>
      <c r="M172" s="41">
        <v>0.501166821106236</v>
      </c>
      <c r="N172" s="42">
        <v>1.8800010790890741E-2</v>
      </c>
      <c r="O172" s="42">
        <v>8.712794301191755E-2</v>
      </c>
      <c r="P172" s="42">
        <v>7.0563330424558299E-2</v>
      </c>
      <c r="Z172" s="43"/>
    </row>
    <row r="173" spans="1:26" ht="13.5" customHeight="1" x14ac:dyDescent="0.2">
      <c r="A173" s="39">
        <v>181</v>
      </c>
      <c r="B173" s="39" t="s">
        <v>195</v>
      </c>
      <c r="C173" s="40">
        <v>5</v>
      </c>
      <c r="D173" s="41">
        <v>3.725556646853037</v>
      </c>
      <c r="E173" s="41">
        <v>29.520853885586664</v>
      </c>
      <c r="F173" s="41">
        <v>7.0442064617368141</v>
      </c>
      <c r="G173" s="41">
        <v>9.5646424061373665</v>
      </c>
      <c r="H173" s="41">
        <v>0.30665761925216461</v>
      </c>
      <c r="I173" s="41">
        <v>5.1412079514221789</v>
      </c>
      <c r="J173" s="41">
        <v>1.0809050928764798</v>
      </c>
      <c r="K173" s="41">
        <v>3.6440320678024625</v>
      </c>
      <c r="L173" s="41">
        <v>1.1732648458668395</v>
      </c>
      <c r="M173" s="41">
        <v>0.50063688338520906</v>
      </c>
      <c r="N173" s="42">
        <v>2.2814569086516859E-2</v>
      </c>
      <c r="O173" s="42">
        <v>8.5247319220177614E-2</v>
      </c>
      <c r="P173" s="42">
        <v>9.0072601724081158E-2</v>
      </c>
      <c r="Z173" s="43"/>
    </row>
    <row r="174" spans="1:26" ht="13.5" customHeight="1" x14ac:dyDescent="0.2">
      <c r="A174" s="39">
        <v>182</v>
      </c>
      <c r="B174" s="39" t="s">
        <v>196</v>
      </c>
      <c r="C174" s="40">
        <v>5</v>
      </c>
      <c r="D174" s="41">
        <v>1.7084134402506803</v>
      </c>
      <c r="E174" s="41">
        <v>22.662896320518481</v>
      </c>
      <c r="F174" s="41">
        <v>7.2396569746086055</v>
      </c>
      <c r="G174" s="41">
        <v>10.196312018650231</v>
      </c>
      <c r="H174" s="41">
        <v>0.19196390093393312</v>
      </c>
      <c r="I174" s="41">
        <v>5.1406803119295343</v>
      </c>
      <c r="J174" s="41">
        <v>1.1175492355118246</v>
      </c>
      <c r="K174" s="41">
        <v>3.6161076093463196</v>
      </c>
      <c r="L174" s="41">
        <v>1.3114865152547395</v>
      </c>
      <c r="M174" s="41">
        <v>0.60514756236156864</v>
      </c>
      <c r="N174" s="42">
        <v>2.4575281402132897E-2</v>
      </c>
      <c r="O174" s="42">
        <v>8.6051654692359675E-2</v>
      </c>
      <c r="P174" s="42">
        <v>6.1373857601384793E-2</v>
      </c>
      <c r="Z174" s="43"/>
    </row>
    <row r="175" spans="1:26" ht="13.5" customHeight="1" x14ac:dyDescent="0.2">
      <c r="A175" s="39">
        <v>183</v>
      </c>
      <c r="B175" s="39" t="s">
        <v>197</v>
      </c>
      <c r="C175" s="40">
        <v>5</v>
      </c>
      <c r="D175" s="41">
        <v>18.518208839958344</v>
      </c>
      <c r="E175" s="41">
        <v>47.630096251410656</v>
      </c>
      <c r="F175" s="41">
        <v>4.8933453482238765</v>
      </c>
      <c r="G175" s="41">
        <v>7.3968799227552298</v>
      </c>
      <c r="H175" s="41">
        <v>0.91353378353204451</v>
      </c>
      <c r="I175" s="41">
        <v>5.1822208568677217</v>
      </c>
      <c r="J175" s="41">
        <v>0.8275260142101355</v>
      </c>
      <c r="K175" s="41">
        <v>4.1711245031685893</v>
      </c>
      <c r="L175" s="41">
        <v>4.6397995861504899</v>
      </c>
      <c r="M175" s="41">
        <v>4.1733132274662719</v>
      </c>
      <c r="N175" s="42">
        <v>1.5959148156476061E-2</v>
      </c>
      <c r="O175" s="42">
        <v>0.11009759132938703</v>
      </c>
      <c r="P175" s="42">
        <v>0.13758631390864831</v>
      </c>
      <c r="Z175" s="43"/>
    </row>
    <row r="176" spans="1:26" ht="13.5" customHeight="1" x14ac:dyDescent="0.2">
      <c r="A176" s="39">
        <v>184</v>
      </c>
      <c r="B176" s="39" t="s">
        <v>198</v>
      </c>
      <c r="C176" s="40">
        <v>5</v>
      </c>
      <c r="D176" s="41">
        <v>13.538375056076706</v>
      </c>
      <c r="E176" s="41">
        <v>44.87771922003315</v>
      </c>
      <c r="F176" s="41">
        <v>5.2509715739837803</v>
      </c>
      <c r="G176" s="41">
        <v>7.9636527444165104</v>
      </c>
      <c r="H176" s="41">
        <v>0.72239055791772411</v>
      </c>
      <c r="I176" s="41">
        <v>5.2033130449807077</v>
      </c>
      <c r="J176" s="41">
        <v>0.8160801783290863</v>
      </c>
      <c r="K176" s="41">
        <v>4.0918597395262521</v>
      </c>
      <c r="L176" s="41">
        <v>2.7873330226726605</v>
      </c>
      <c r="M176" s="41">
        <v>2.0095763725976368</v>
      </c>
      <c r="N176" s="42">
        <v>1.8390832636010972E-2</v>
      </c>
      <c r="O176" s="42">
        <v>0.12012167847442548</v>
      </c>
      <c r="P176" s="42">
        <v>0.11806749764129404</v>
      </c>
      <c r="Z176" s="43"/>
    </row>
    <row r="177" spans="1:26" ht="13.5" customHeight="1" x14ac:dyDescent="0.2">
      <c r="A177" s="39">
        <v>185</v>
      </c>
      <c r="B177" s="39" t="s">
        <v>199</v>
      </c>
      <c r="C177" s="40">
        <v>5</v>
      </c>
      <c r="D177" s="41">
        <v>6.2891298986028419</v>
      </c>
      <c r="E177" s="41">
        <v>35.311291734923266</v>
      </c>
      <c r="F177" s="41">
        <v>6.6988073639954919</v>
      </c>
      <c r="G177" s="41">
        <v>9.0098676952927974</v>
      </c>
      <c r="H177" s="41">
        <v>0.49952095859185652</v>
      </c>
      <c r="I177" s="41">
        <v>5.167031760435834</v>
      </c>
      <c r="J177" s="41">
        <v>0.99134786024600252</v>
      </c>
      <c r="K177" s="41">
        <v>3.8773495150439636</v>
      </c>
      <c r="L177" s="41">
        <v>1.1318591384139642</v>
      </c>
      <c r="M177" s="41">
        <v>0.45328607732963144</v>
      </c>
      <c r="N177" s="42">
        <v>1.8903734109118095E-2</v>
      </c>
      <c r="O177" s="42">
        <v>8.5592572785012894E-2</v>
      </c>
      <c r="P177" s="42">
        <v>8.8754267902630857E-2</v>
      </c>
      <c r="Z177" s="43"/>
    </row>
    <row r="178" spans="1:26" ht="13.5" customHeight="1" x14ac:dyDescent="0.2">
      <c r="A178" s="39">
        <v>186</v>
      </c>
      <c r="B178" s="39" t="s">
        <v>200</v>
      </c>
      <c r="C178" s="40">
        <v>5</v>
      </c>
      <c r="D178" s="41">
        <v>7.1618195652720216</v>
      </c>
      <c r="E178" s="41">
        <v>36.333220438137637</v>
      </c>
      <c r="F178" s="41">
        <v>6.8460787984650437</v>
      </c>
      <c r="G178" s="41">
        <v>8.8691547150717813</v>
      </c>
      <c r="H178" s="41">
        <v>0.29201782888930433</v>
      </c>
      <c r="I178" s="41">
        <v>5.1395514809176834</v>
      </c>
      <c r="J178" s="41">
        <v>1.0472399832391786</v>
      </c>
      <c r="K178" s="41">
        <v>3.8479754102712533</v>
      </c>
      <c r="L178" s="41">
        <v>1.2171493993824605</v>
      </c>
      <c r="M178" s="41">
        <v>0.48763115663436357</v>
      </c>
      <c r="N178" s="42">
        <v>2.4249162637245778E-2</v>
      </c>
      <c r="O178" s="42">
        <v>7.2654036268959415E-2</v>
      </c>
      <c r="P178" s="42">
        <v>9.4185896324995855E-2</v>
      </c>
      <c r="Z178" s="43"/>
    </row>
    <row r="179" spans="1:26" ht="13.5" customHeight="1" x14ac:dyDescent="0.2">
      <c r="A179" s="39">
        <v>187</v>
      </c>
      <c r="B179" s="39" t="s">
        <v>201</v>
      </c>
      <c r="C179" s="40">
        <v>5</v>
      </c>
      <c r="D179" s="41">
        <v>9.7475992657670059</v>
      </c>
      <c r="E179" s="41">
        <v>39.145647103888173</v>
      </c>
      <c r="F179" s="41">
        <v>6.0688345711315881</v>
      </c>
      <c r="G179" s="41">
        <v>7.9746602681575318</v>
      </c>
      <c r="H179" s="41">
        <v>0.31828454236106496</v>
      </c>
      <c r="I179" s="41">
        <v>4.9454704590105667</v>
      </c>
      <c r="J179" s="41">
        <v>0.88354344887261249</v>
      </c>
      <c r="K179" s="41">
        <v>3.595071457495628</v>
      </c>
      <c r="L179" s="41">
        <v>0.88273244834504627</v>
      </c>
      <c r="M179" s="41">
        <v>0.33456490302615083</v>
      </c>
      <c r="N179" s="42">
        <v>2.4689801429546882E-2</v>
      </c>
      <c r="O179" s="42">
        <v>7.6965331704869744E-2</v>
      </c>
      <c r="P179" s="42">
        <v>5.937566827383501E-2</v>
      </c>
      <c r="Z179" s="43"/>
    </row>
    <row r="180" spans="1:26" ht="13.5" customHeight="1" x14ac:dyDescent="0.2">
      <c r="A180" s="39">
        <v>188</v>
      </c>
      <c r="B180" s="39" t="s">
        <v>202</v>
      </c>
      <c r="C180" s="40">
        <v>5</v>
      </c>
      <c r="D180" s="41">
        <v>14.615216497626305</v>
      </c>
      <c r="E180" s="41">
        <v>45.83720773964329</v>
      </c>
      <c r="F180" s="41">
        <v>4.9952920168391959</v>
      </c>
      <c r="G180" s="41">
        <v>7.703748268691645</v>
      </c>
      <c r="H180" s="41">
        <v>0.66842479849144421</v>
      </c>
      <c r="I180" s="41">
        <v>5.249185037590137</v>
      </c>
      <c r="J180" s="41">
        <v>0.79670123895631861</v>
      </c>
      <c r="K180" s="41">
        <v>4.0151931881045257</v>
      </c>
      <c r="L180" s="41">
        <v>0.59712910453971135</v>
      </c>
      <c r="M180" s="41">
        <v>0.16604976865778806</v>
      </c>
      <c r="N180" s="42">
        <v>3.6266081569706614E-2</v>
      </c>
      <c r="O180" s="42">
        <v>0.11186864273592917</v>
      </c>
      <c r="P180" s="42">
        <v>9.8470142011088183E-2</v>
      </c>
      <c r="Z180" s="43"/>
    </row>
    <row r="181" spans="1:26" ht="13.5" customHeight="1" x14ac:dyDescent="0.2">
      <c r="A181" s="39">
        <v>189</v>
      </c>
      <c r="B181" s="39" t="s">
        <v>203</v>
      </c>
      <c r="C181" s="40">
        <v>5</v>
      </c>
      <c r="D181" s="41">
        <v>3.4876854133983191</v>
      </c>
      <c r="E181" s="41">
        <v>29.431590989472799</v>
      </c>
      <c r="F181" s="41">
        <v>5.4644970044875265</v>
      </c>
      <c r="G181" s="41">
        <v>9.8025283304987436</v>
      </c>
      <c r="H181" s="41">
        <v>0.51053496762706252</v>
      </c>
      <c r="I181" s="41">
        <v>5.4740914000411376</v>
      </c>
      <c r="J181" s="41">
        <v>0.90497909560045264</v>
      </c>
      <c r="K181" s="41">
        <v>3.9646118315387806</v>
      </c>
      <c r="L181" s="41">
        <v>1.916011937625226</v>
      </c>
      <c r="M181" s="41">
        <v>0.15418861356422378</v>
      </c>
      <c r="N181" s="42">
        <v>6.4030407293233435E-2</v>
      </c>
      <c r="O181" s="42">
        <v>8.8034912274111254E-2</v>
      </c>
      <c r="P181" s="42">
        <v>7.0839375171467212E-2</v>
      </c>
      <c r="Z181" s="43"/>
    </row>
    <row r="182" spans="1:26" ht="13.5" customHeight="1" x14ac:dyDescent="0.2">
      <c r="A182" s="39">
        <v>190</v>
      </c>
      <c r="B182" s="39" t="s">
        <v>204</v>
      </c>
      <c r="C182" s="40">
        <v>5</v>
      </c>
      <c r="D182" s="41">
        <v>3.3812102671186324</v>
      </c>
      <c r="E182" s="41">
        <v>31.545591316440621</v>
      </c>
      <c r="F182" s="41">
        <v>5.3533355669507792</v>
      </c>
      <c r="G182" s="41">
        <v>9.8066154060342381</v>
      </c>
      <c r="H182" s="41">
        <v>0.53832720721083105</v>
      </c>
      <c r="I182" s="41">
        <v>5.5045987365145326</v>
      </c>
      <c r="J182" s="41">
        <v>0.85512744820085318</v>
      </c>
      <c r="K182" s="41">
        <v>3.9761970662497879</v>
      </c>
      <c r="L182" s="41">
        <v>1.6254631255146237</v>
      </c>
      <c r="M182" s="41">
        <v>0.12690900047199141</v>
      </c>
      <c r="N182" s="42">
        <v>5.9701061359115522E-2</v>
      </c>
      <c r="O182" s="42">
        <v>9.5133656408518924E-2</v>
      </c>
      <c r="P182" s="42">
        <v>6.7191064109263468E-2</v>
      </c>
      <c r="Z182" s="43"/>
    </row>
    <row r="183" spans="1:26" ht="13.5" customHeight="1" x14ac:dyDescent="0.2">
      <c r="A183" s="39">
        <v>191</v>
      </c>
      <c r="B183" s="39" t="s">
        <v>205</v>
      </c>
      <c r="C183" s="40">
        <v>5</v>
      </c>
      <c r="D183" s="41">
        <v>3.2114272036901599</v>
      </c>
      <c r="E183" s="41">
        <v>31.611394224796342</v>
      </c>
      <c r="F183" s="41">
        <v>5.5311947159469232</v>
      </c>
      <c r="G183" s="41">
        <v>9.9788025620751011</v>
      </c>
      <c r="H183" s="41">
        <v>0.53180352797454322</v>
      </c>
      <c r="I183" s="41">
        <v>5.6459684288383807</v>
      </c>
      <c r="J183" s="41">
        <v>0.97840274089094792</v>
      </c>
      <c r="K183" s="41">
        <v>4.0136385215087031</v>
      </c>
      <c r="L183" s="41">
        <v>1.7660273086563345</v>
      </c>
      <c r="M183" s="41">
        <v>0.13779517223984675</v>
      </c>
      <c r="N183" s="42">
        <v>7.2414932424815795E-2</v>
      </c>
      <c r="O183" s="42">
        <v>9.7691982685680773E-2</v>
      </c>
      <c r="P183" s="42">
        <v>8.1550639715531476E-2</v>
      </c>
      <c r="Z183" s="43"/>
    </row>
    <row r="184" spans="1:26" ht="13.5" customHeight="1" x14ac:dyDescent="0.2">
      <c r="A184" s="39">
        <v>192</v>
      </c>
      <c r="B184" s="39" t="s">
        <v>206</v>
      </c>
      <c r="C184" s="40">
        <v>5</v>
      </c>
      <c r="D184" s="41">
        <v>1.9263843372832876</v>
      </c>
      <c r="E184" s="41">
        <v>26.206029018807108</v>
      </c>
      <c r="F184" s="41">
        <v>6.7736832844006418</v>
      </c>
      <c r="G184" s="41">
        <v>10.031225955229813</v>
      </c>
      <c r="H184" s="41">
        <v>0.19949880365506209</v>
      </c>
      <c r="I184" s="41">
        <v>5.4382070881787623</v>
      </c>
      <c r="J184" s="41">
        <v>1.1379691528190516</v>
      </c>
      <c r="K184" s="41">
        <v>3.7488422566470629</v>
      </c>
      <c r="L184" s="41">
        <v>1.2878850585396031</v>
      </c>
      <c r="M184" s="41">
        <v>0.44409313720012067</v>
      </c>
      <c r="N184" s="42">
        <v>5.5473860334173647E-2</v>
      </c>
      <c r="O184" s="42">
        <v>9.4970005048913314E-2</v>
      </c>
      <c r="P184" s="42">
        <v>7.3703598060673906E-2</v>
      </c>
      <c r="Z184" s="43"/>
    </row>
    <row r="185" spans="1:26" ht="13.5" customHeight="1" x14ac:dyDescent="0.2">
      <c r="A185" s="39">
        <v>193</v>
      </c>
      <c r="B185" s="39" t="s">
        <v>207</v>
      </c>
      <c r="C185" s="40">
        <v>5</v>
      </c>
      <c r="D185" s="41">
        <v>8.0589657269476653</v>
      </c>
      <c r="E185" s="41">
        <v>38.325371963941762</v>
      </c>
      <c r="F185" s="41">
        <v>6.1028474353646178</v>
      </c>
      <c r="G185" s="41">
        <v>8.9169516601823027</v>
      </c>
      <c r="H185" s="41">
        <v>0.25417101979687329</v>
      </c>
      <c r="I185" s="41">
        <v>5.5119666411683257</v>
      </c>
      <c r="J185" s="41">
        <v>0.99627594253396679</v>
      </c>
      <c r="K185" s="41">
        <v>3.746643380200684</v>
      </c>
      <c r="L185" s="41">
        <v>0.92427275013693944</v>
      </c>
      <c r="M185" s="41">
        <v>0.32105278833022377</v>
      </c>
      <c r="N185" s="42">
        <v>4.8107002227680482E-2</v>
      </c>
      <c r="O185" s="42">
        <v>7.5818353891970239E-2</v>
      </c>
      <c r="P185" s="42">
        <v>5.946155413555855E-2</v>
      </c>
      <c r="Z185" s="43"/>
    </row>
    <row r="186" spans="1:26" ht="13.5" customHeight="1" x14ac:dyDescent="0.2">
      <c r="A186" s="39">
        <v>194</v>
      </c>
      <c r="B186" s="39" t="s">
        <v>208</v>
      </c>
      <c r="C186" s="40">
        <v>5</v>
      </c>
      <c r="D186" s="41">
        <v>2.743387016611849</v>
      </c>
      <c r="E186" s="41">
        <v>29.190336210928901</v>
      </c>
      <c r="F186" s="41">
        <v>6.4223013386714287</v>
      </c>
      <c r="G186" s="41">
        <v>9.8452868243668874</v>
      </c>
      <c r="H186" s="41">
        <v>0.33167248628770785</v>
      </c>
      <c r="I186" s="41">
        <v>5.3644142602231124</v>
      </c>
      <c r="J186" s="41">
        <v>1.044815865621566</v>
      </c>
      <c r="K186" s="41">
        <v>3.7466277437916675</v>
      </c>
      <c r="L186" s="41">
        <v>1.0838809627762556</v>
      </c>
      <c r="M186" s="41">
        <v>0.38700660257434927</v>
      </c>
      <c r="N186" s="42">
        <v>4.0804642103751336E-2</v>
      </c>
      <c r="O186" s="42">
        <v>7.2886309937033572E-2</v>
      </c>
      <c r="P186" s="42">
        <v>7.6776628294037544E-2</v>
      </c>
      <c r="Z186" s="43"/>
    </row>
    <row r="187" spans="1:26" ht="13.5" customHeight="1" x14ac:dyDescent="0.2">
      <c r="A187" s="39">
        <v>195</v>
      </c>
      <c r="B187" s="39" t="s">
        <v>209</v>
      </c>
      <c r="C187" s="40">
        <v>5</v>
      </c>
      <c r="D187" s="41">
        <v>22.835373071117168</v>
      </c>
      <c r="E187" s="41">
        <v>54.087216155649713</v>
      </c>
      <c r="F187" s="41">
        <v>5.2079770120638287</v>
      </c>
      <c r="G187" s="41">
        <v>6.9420808520033663</v>
      </c>
      <c r="H187" s="41">
        <v>0.62086549002064562</v>
      </c>
      <c r="I187" s="41">
        <v>5.5980103808270627</v>
      </c>
      <c r="J187" s="41">
        <v>0.76311567267192992</v>
      </c>
      <c r="K187" s="41">
        <v>3.6760073468768368</v>
      </c>
      <c r="L187" s="41">
        <v>0.30733334550074326</v>
      </c>
      <c r="M187" s="41">
        <v>0.1630549925861306</v>
      </c>
      <c r="N187" s="42">
        <v>2.9585876474525572E-2</v>
      </c>
      <c r="O187" s="42">
        <v>0.15045830664042306</v>
      </c>
      <c r="P187" s="42">
        <v>8.6417327958114923E-2</v>
      </c>
      <c r="Z187" s="43"/>
    </row>
    <row r="188" spans="1:26" ht="13.5" customHeight="1" x14ac:dyDescent="0.2">
      <c r="A188" s="39">
        <v>196</v>
      </c>
      <c r="B188" s="39" t="s">
        <v>210</v>
      </c>
      <c r="C188" s="40">
        <v>5</v>
      </c>
      <c r="D188" s="41">
        <v>18.335198912051467</v>
      </c>
      <c r="E188" s="41">
        <v>49.288411397300884</v>
      </c>
      <c r="F188" s="41">
        <v>5.296800775348145</v>
      </c>
      <c r="G188" s="41">
        <v>7.2192621431460013</v>
      </c>
      <c r="H188" s="41">
        <v>0.70060305037947035</v>
      </c>
      <c r="I188" s="41">
        <v>5.5042251899547532</v>
      </c>
      <c r="J188" s="41">
        <v>0.7562588680706771</v>
      </c>
      <c r="K188" s="41">
        <v>3.5406302460547252</v>
      </c>
      <c r="L188" s="41">
        <v>0.33151060170637914</v>
      </c>
      <c r="M188" s="41">
        <v>0.19103959405730186</v>
      </c>
      <c r="N188" s="42">
        <v>4.434275899148192E-2</v>
      </c>
      <c r="O188" s="42">
        <v>9.002474572027036E-2</v>
      </c>
      <c r="P188" s="42">
        <v>7.3285738803696696E-2</v>
      </c>
      <c r="Z188" s="43"/>
    </row>
    <row r="189" spans="1:26" ht="13.5" customHeight="1" x14ac:dyDescent="0.2">
      <c r="A189" s="39">
        <v>197</v>
      </c>
      <c r="B189" s="39" t="s">
        <v>211</v>
      </c>
      <c r="C189" s="40">
        <v>5</v>
      </c>
      <c r="D189" s="41">
        <v>15.541356975677358</v>
      </c>
      <c r="E189" s="41">
        <v>46.783617179374801</v>
      </c>
      <c r="F189" s="41">
        <v>5.6036303973694315</v>
      </c>
      <c r="G189" s="41">
        <v>7.5929219926094618</v>
      </c>
      <c r="H189" s="41">
        <v>0.75387625557266102</v>
      </c>
      <c r="I189" s="41">
        <v>5.4844000203783878</v>
      </c>
      <c r="J189" s="41">
        <v>0.79700011790625702</v>
      </c>
      <c r="K189" s="41">
        <v>3.5599384125817508</v>
      </c>
      <c r="L189" s="41">
        <v>0.35785158091211877</v>
      </c>
      <c r="M189" s="41">
        <v>0.20202731731856766</v>
      </c>
      <c r="N189" s="42">
        <v>3.9437183365816045E-2</v>
      </c>
      <c r="O189" s="42">
        <v>8.8875016334125756E-2</v>
      </c>
      <c r="P189" s="42">
        <v>8.616398791732871E-2</v>
      </c>
      <c r="Z189" s="43"/>
    </row>
    <row r="190" spans="1:26" ht="13.5" customHeight="1" x14ac:dyDescent="0.2">
      <c r="A190" s="39">
        <v>198</v>
      </c>
      <c r="B190" s="39" t="s">
        <v>212</v>
      </c>
      <c r="C190" s="40">
        <v>5</v>
      </c>
      <c r="D190" s="41">
        <v>1.9834200886386666</v>
      </c>
      <c r="E190" s="41">
        <v>26.24499414963925</v>
      </c>
      <c r="F190" s="41">
        <v>7.0213298035297003</v>
      </c>
      <c r="G190" s="41">
        <v>10.009927324045435</v>
      </c>
      <c r="H190" s="41">
        <v>0.34433068749736895</v>
      </c>
      <c r="I190" s="41">
        <v>5.4761023438826868</v>
      </c>
      <c r="J190" s="41">
        <v>1.1431482680558163</v>
      </c>
      <c r="K190" s="41">
        <v>3.5866493540139373</v>
      </c>
      <c r="L190" s="41">
        <v>1.2351191731262541</v>
      </c>
      <c r="M190" s="41">
        <v>0.49021383813928476</v>
      </c>
      <c r="N190" s="42">
        <v>5.8401921111124619E-2</v>
      </c>
      <c r="O190" s="42">
        <v>9.0738413236548104E-2</v>
      </c>
      <c r="P190" s="42">
        <v>6.2000861048002981E-2</v>
      </c>
      <c r="Z190" s="43"/>
    </row>
    <row r="191" spans="1:26" ht="13.5" customHeight="1" x14ac:dyDescent="0.2">
      <c r="A191" s="39">
        <v>199</v>
      </c>
      <c r="B191" s="39" t="s">
        <v>213</v>
      </c>
      <c r="C191" s="40">
        <v>5</v>
      </c>
      <c r="D191" s="41">
        <v>2.8900151715912648</v>
      </c>
      <c r="E191" s="41">
        <v>29.943829103648568</v>
      </c>
      <c r="F191" s="41">
        <v>6.921215440820311</v>
      </c>
      <c r="G191" s="41">
        <v>9.724923111021873</v>
      </c>
      <c r="H191" s="41">
        <v>0.28738187546166211</v>
      </c>
      <c r="I191" s="41">
        <v>5.3286226330221806</v>
      </c>
      <c r="J191" s="41">
        <v>1.0429494398289401</v>
      </c>
      <c r="K191" s="41">
        <v>3.6741433390474865</v>
      </c>
      <c r="L191" s="41">
        <v>1.0611721121676545</v>
      </c>
      <c r="M191" s="41">
        <v>0.4799379383588071</v>
      </c>
      <c r="N191" s="42">
        <v>3.650614297158937E-2</v>
      </c>
      <c r="O191" s="42">
        <v>8.3604172328140852E-2</v>
      </c>
      <c r="P191" s="42">
        <v>9.498266821567003E-2</v>
      </c>
      <c r="Z191" s="43"/>
    </row>
    <row r="192" spans="1:26" ht="13.5" customHeight="1" x14ac:dyDescent="0.2">
      <c r="A192" s="39">
        <v>200</v>
      </c>
      <c r="B192" s="39" t="s">
        <v>214</v>
      </c>
      <c r="C192" s="40">
        <v>5</v>
      </c>
      <c r="D192" s="41">
        <v>2.1160327916120867</v>
      </c>
      <c r="E192" s="41">
        <v>26.779129386393571</v>
      </c>
      <c r="F192" s="41">
        <v>6.9645012188060171</v>
      </c>
      <c r="G192" s="41">
        <v>9.9462712792272985</v>
      </c>
      <c r="H192" s="41">
        <v>0.30928590940610301</v>
      </c>
      <c r="I192" s="41">
        <v>5.2941372295309161</v>
      </c>
      <c r="J192" s="41">
        <v>1.0893999268835617</v>
      </c>
      <c r="K192" s="41">
        <v>3.6173361063827416</v>
      </c>
      <c r="L192" s="41">
        <v>1.1815105548906799</v>
      </c>
      <c r="M192" s="41">
        <v>0.47505201222987525</v>
      </c>
      <c r="N192" s="42">
        <v>3.668649839385868E-2</v>
      </c>
      <c r="O192" s="42">
        <v>8.8100094246504196E-2</v>
      </c>
      <c r="P192" s="42">
        <v>6.7654646862672654E-2</v>
      </c>
      <c r="Z192" s="43"/>
    </row>
    <row r="193" spans="1:26" ht="13.5" customHeight="1" x14ac:dyDescent="0.2">
      <c r="A193" s="39">
        <v>201</v>
      </c>
      <c r="B193" s="39" t="s">
        <v>215</v>
      </c>
      <c r="C193" s="40">
        <v>5</v>
      </c>
      <c r="D193" s="41">
        <v>4.7182210187903459</v>
      </c>
      <c r="E193" s="41">
        <v>34.136231239247515</v>
      </c>
      <c r="F193" s="41">
        <v>5.0592847729826937</v>
      </c>
      <c r="G193" s="41">
        <v>9.3855645552276208</v>
      </c>
      <c r="H193" s="41">
        <v>0.57528593252567772</v>
      </c>
      <c r="I193" s="41">
        <v>5.3086176593613565</v>
      </c>
      <c r="J193" s="41">
        <v>0.8687415323768154</v>
      </c>
      <c r="K193" s="41">
        <v>3.9641190979578882</v>
      </c>
      <c r="L193" s="41">
        <v>0.54460994863402057</v>
      </c>
      <c r="M193" s="41">
        <v>0.19930058146973587</v>
      </c>
      <c r="N193" s="42">
        <v>2.973336950826683E-2</v>
      </c>
      <c r="O193" s="42">
        <v>7.7003150190180017E-2</v>
      </c>
      <c r="P193" s="42">
        <v>4.9455282707451365E-2</v>
      </c>
      <c r="Z193" s="43"/>
    </row>
    <row r="194" spans="1:26" ht="13.5" customHeight="1" x14ac:dyDescent="0.2">
      <c r="A194" s="39">
        <v>202</v>
      </c>
      <c r="B194" s="39" t="s">
        <v>216</v>
      </c>
      <c r="C194" s="40">
        <v>5</v>
      </c>
      <c r="D194" s="41">
        <v>4.5751712061299017</v>
      </c>
      <c r="E194" s="41">
        <v>32.955773412092938</v>
      </c>
      <c r="F194" s="41">
        <v>5.1228984228358767</v>
      </c>
      <c r="G194" s="41">
        <v>9.2998486030876002</v>
      </c>
      <c r="H194" s="41">
        <v>0.36937538175390999</v>
      </c>
      <c r="I194" s="41">
        <v>5.3101267429355223</v>
      </c>
      <c r="J194" s="41">
        <v>0.78518597656923106</v>
      </c>
      <c r="K194" s="41">
        <v>3.8331690886475394</v>
      </c>
      <c r="L194" s="41">
        <v>0.6798512448935472</v>
      </c>
      <c r="M194" s="41">
        <v>0.16169242988862273</v>
      </c>
      <c r="N194" s="42">
        <v>4.7023824345345529E-2</v>
      </c>
      <c r="O194" s="42">
        <v>0.11390717909186626</v>
      </c>
      <c r="P194" s="42">
        <v>4.8123678084748725E-2</v>
      </c>
      <c r="Z194" s="43"/>
    </row>
    <row r="195" spans="1:26" ht="13.5" customHeight="1" x14ac:dyDescent="0.2">
      <c r="A195" s="39">
        <v>203</v>
      </c>
      <c r="B195" s="39" t="s">
        <v>217</v>
      </c>
      <c r="C195" s="40">
        <v>5</v>
      </c>
      <c r="D195" s="41">
        <v>3.7743867449770758</v>
      </c>
      <c r="E195" s="41">
        <v>31.113908372228742</v>
      </c>
      <c r="F195" s="41">
        <v>5.1914082261105712</v>
      </c>
      <c r="G195" s="41">
        <v>9.4815968389673557</v>
      </c>
      <c r="H195" s="41">
        <v>0.51544438904527956</v>
      </c>
      <c r="I195" s="41">
        <v>5.2832060529562312</v>
      </c>
      <c r="J195" s="41">
        <v>0.82984996220533103</v>
      </c>
      <c r="K195" s="41">
        <v>3.9200537819166099</v>
      </c>
      <c r="L195" s="41">
        <v>0.60456193957786397</v>
      </c>
      <c r="M195" s="41">
        <v>0.17837011658542901</v>
      </c>
      <c r="N195" s="42">
        <v>4.0413083664270842E-2</v>
      </c>
      <c r="O195" s="42">
        <v>8.2861866589097305E-2</v>
      </c>
      <c r="P195" s="42">
        <v>4.0741478652730853E-2</v>
      </c>
      <c r="Z195" s="43"/>
    </row>
    <row r="196" spans="1:26" ht="13.5" customHeight="1" x14ac:dyDescent="0.2">
      <c r="A196" s="39">
        <v>204</v>
      </c>
      <c r="B196" s="39" t="s">
        <v>218</v>
      </c>
      <c r="C196" s="40">
        <v>5</v>
      </c>
      <c r="D196" s="41">
        <v>13.754771887601599</v>
      </c>
      <c r="E196" s="41">
        <v>45.07386096905627</v>
      </c>
      <c r="F196" s="41">
        <v>5.0187863388847811</v>
      </c>
      <c r="G196" s="41">
        <v>8.2270642759135288</v>
      </c>
      <c r="H196" s="41">
        <v>0.47304697895126474</v>
      </c>
      <c r="I196" s="41">
        <v>5.3626811428841306</v>
      </c>
      <c r="J196" s="41">
        <v>0.8308464787117954</v>
      </c>
      <c r="K196" s="41">
        <v>3.9256690502742382</v>
      </c>
      <c r="L196" s="41">
        <v>0.58758791719241921</v>
      </c>
      <c r="M196" s="41">
        <v>0.17119333941215642</v>
      </c>
      <c r="N196" s="42">
        <v>3.6566462801786284E-2</v>
      </c>
      <c r="O196" s="42">
        <v>9.2682178021115252E-2</v>
      </c>
      <c r="P196" s="42">
        <v>5.4855035509449028E-2</v>
      </c>
      <c r="Z196" s="43"/>
    </row>
    <row r="197" spans="1:26" ht="13.5" customHeight="1" x14ac:dyDescent="0.2">
      <c r="A197" s="39">
        <v>205</v>
      </c>
      <c r="B197" s="39" t="s">
        <v>219</v>
      </c>
      <c r="C197" s="40">
        <v>5</v>
      </c>
      <c r="D197" s="41">
        <v>14.55271701817259</v>
      </c>
      <c r="E197" s="41">
        <v>45.577527147145453</v>
      </c>
      <c r="F197" s="41">
        <v>5.0540394702024454</v>
      </c>
      <c r="G197" s="41">
        <v>8.0614263806331561</v>
      </c>
      <c r="H197" s="41">
        <v>0.40399836381510174</v>
      </c>
      <c r="I197" s="41">
        <v>5.3563883517523898</v>
      </c>
      <c r="J197" s="41">
        <v>0.86850725823065011</v>
      </c>
      <c r="K197" s="41">
        <v>3.9164558976993229</v>
      </c>
      <c r="L197" s="41">
        <v>0.5934541110328303</v>
      </c>
      <c r="M197" s="41">
        <v>0.17608314692122962</v>
      </c>
      <c r="N197" s="42">
        <v>2.9623475609134663E-2</v>
      </c>
      <c r="O197" s="42">
        <v>8.2934048036374136E-2</v>
      </c>
      <c r="P197" s="42">
        <v>9.1667795235236063E-2</v>
      </c>
      <c r="Z197" s="43"/>
    </row>
    <row r="198" spans="1:26" ht="13.5" customHeight="1" x14ac:dyDescent="0.2">
      <c r="A198" s="39">
        <v>206</v>
      </c>
      <c r="B198" s="39" t="s">
        <v>220</v>
      </c>
      <c r="C198" s="40">
        <v>5</v>
      </c>
      <c r="D198" s="41">
        <v>13.430606541109867</v>
      </c>
      <c r="E198" s="41">
        <v>44.439845319564938</v>
      </c>
      <c r="F198" s="41">
        <v>5.096826225041732</v>
      </c>
      <c r="G198" s="41">
        <v>8.2432854608450317</v>
      </c>
      <c r="H198" s="41">
        <v>0.41431429779992968</v>
      </c>
      <c r="I198" s="41">
        <v>5.3052057770174841</v>
      </c>
      <c r="J198" s="41">
        <v>0.89056918529582973</v>
      </c>
      <c r="K198" s="41">
        <v>3.8907875942018748</v>
      </c>
      <c r="L198" s="41">
        <v>0.5704656537725632</v>
      </c>
      <c r="M198" s="41">
        <v>0.19520866237594942</v>
      </c>
      <c r="N198" s="42">
        <v>2.8282136115779229E-2</v>
      </c>
      <c r="O198" s="42">
        <v>0.11252381569379903</v>
      </c>
      <c r="P198" s="42">
        <v>9.7925358275860297E-2</v>
      </c>
      <c r="Z198" s="43"/>
    </row>
    <row r="199" spans="1:26" ht="13.5" customHeight="1" x14ac:dyDescent="0.2">
      <c r="A199" s="39">
        <v>207</v>
      </c>
      <c r="B199" s="39" t="s">
        <v>221</v>
      </c>
      <c r="C199" s="40">
        <v>5</v>
      </c>
      <c r="D199" s="41">
        <v>10.092611820765608</v>
      </c>
      <c r="E199" s="41">
        <v>33.395470831630256</v>
      </c>
      <c r="F199" s="41">
        <v>4.4414770041485898</v>
      </c>
      <c r="G199" s="41">
        <v>9.0904721453900645</v>
      </c>
      <c r="H199" s="41">
        <v>0.43823951514194043</v>
      </c>
      <c r="I199" s="41">
        <v>5.252009574148234</v>
      </c>
      <c r="J199" s="41">
        <v>0.97332190316034084</v>
      </c>
      <c r="K199" s="41">
        <v>4.266460683968095</v>
      </c>
      <c r="L199" s="41">
        <v>0.4466854748179227</v>
      </c>
      <c r="M199" s="41">
        <v>0.25625230122922232</v>
      </c>
      <c r="N199" s="42">
        <v>3.9151009978659328E-2</v>
      </c>
      <c r="O199" s="42">
        <v>9.7435148380165815E-2</v>
      </c>
      <c r="P199" s="42">
        <v>5.0363807781413319E-2</v>
      </c>
      <c r="Z199" s="43"/>
    </row>
    <row r="200" spans="1:26" ht="13.5" customHeight="1" x14ac:dyDescent="0.2">
      <c r="A200" s="39">
        <v>208</v>
      </c>
      <c r="B200" s="39" t="s">
        <v>222</v>
      </c>
      <c r="C200" s="40">
        <v>5</v>
      </c>
      <c r="D200" s="41">
        <v>8.1483554514206737</v>
      </c>
      <c r="E200" s="41">
        <v>30.296528601979741</v>
      </c>
      <c r="F200" s="41">
        <v>4.6955981774979163</v>
      </c>
      <c r="G200" s="41">
        <v>9.5017783000983034</v>
      </c>
      <c r="H200" s="41">
        <v>0.40685409165470832</v>
      </c>
      <c r="I200" s="41">
        <v>5.2900965470798393</v>
      </c>
      <c r="J200" s="41">
        <v>0.97794488135327606</v>
      </c>
      <c r="K200" s="41">
        <v>4.314684113450487</v>
      </c>
      <c r="L200" s="41">
        <v>0.46812418829780578</v>
      </c>
      <c r="M200" s="41">
        <v>0.27737152501761481</v>
      </c>
      <c r="N200" s="42">
        <v>3.7558815213527184E-2</v>
      </c>
      <c r="O200" s="42">
        <v>0.13131881066539436</v>
      </c>
      <c r="P200" s="42">
        <v>5.5313429736458211E-2</v>
      </c>
      <c r="Z200" s="43"/>
    </row>
    <row r="201" spans="1:26" ht="13.5" customHeight="1" x14ac:dyDescent="0.2">
      <c r="A201" s="39">
        <v>209</v>
      </c>
      <c r="B201" s="39" t="s">
        <v>223</v>
      </c>
      <c r="C201" s="40">
        <v>5</v>
      </c>
      <c r="D201" s="41">
        <v>10.359975004330746</v>
      </c>
      <c r="E201" s="41">
        <v>34.350654218894107</v>
      </c>
      <c r="F201" s="41">
        <v>4.6470465447401264</v>
      </c>
      <c r="G201" s="41">
        <v>9.168100129715377</v>
      </c>
      <c r="H201" s="41">
        <v>0.38879411658468149</v>
      </c>
      <c r="I201" s="41">
        <v>5.386445504224632</v>
      </c>
      <c r="J201" s="41">
        <v>0.93481219707469243</v>
      </c>
      <c r="K201" s="41">
        <v>4.3380609505812435</v>
      </c>
      <c r="L201" s="41">
        <v>0.48106327520353176</v>
      </c>
      <c r="M201" s="41">
        <v>0.27435219187986337</v>
      </c>
      <c r="N201" s="42">
        <v>3.6948042496640694E-2</v>
      </c>
      <c r="O201" s="42">
        <v>0.12221689085221157</v>
      </c>
      <c r="P201" s="42">
        <v>3.0275827591854751E-2</v>
      </c>
      <c r="Z201" s="43"/>
    </row>
    <row r="202" spans="1:26" ht="13.5" customHeight="1" x14ac:dyDescent="0.2">
      <c r="A202" s="39">
        <v>210</v>
      </c>
      <c r="B202" s="39" t="s">
        <v>224</v>
      </c>
      <c r="C202" s="40">
        <v>5</v>
      </c>
      <c r="D202" s="41">
        <v>32.803371424342657</v>
      </c>
      <c r="E202" s="41">
        <v>55.774159953750278</v>
      </c>
      <c r="F202" s="41">
        <v>4.7433103305231432</v>
      </c>
      <c r="G202" s="41">
        <v>6.0041756801854511</v>
      </c>
      <c r="H202" s="41">
        <v>0.38210427977589062</v>
      </c>
      <c r="I202" s="41">
        <v>5.3825618691514521</v>
      </c>
      <c r="J202" s="41">
        <v>0.92438404860807799</v>
      </c>
      <c r="K202" s="41">
        <v>3.8992015142930452</v>
      </c>
      <c r="L202" s="41">
        <v>0.61628419438829296</v>
      </c>
      <c r="M202" s="41">
        <v>0.15922823491783811</v>
      </c>
      <c r="N202" s="42">
        <v>3.8677772480487045E-2</v>
      </c>
      <c r="O202" s="42">
        <v>0.10434665184197989</v>
      </c>
      <c r="P202" s="42">
        <v>8.2285240987973254E-2</v>
      </c>
      <c r="Z202" s="43"/>
    </row>
    <row r="203" spans="1:26" ht="13.5" customHeight="1" x14ac:dyDescent="0.2">
      <c r="A203" s="39">
        <v>211</v>
      </c>
      <c r="B203" s="39" t="s">
        <v>225</v>
      </c>
      <c r="C203" s="40">
        <v>5</v>
      </c>
      <c r="D203" s="41">
        <v>33.959226814138567</v>
      </c>
      <c r="E203" s="41">
        <v>56.887091412180837</v>
      </c>
      <c r="F203" s="41">
        <v>4.7043956663190309</v>
      </c>
      <c r="G203" s="41">
        <v>5.9792899110267816</v>
      </c>
      <c r="H203" s="41">
        <v>0.3210628316648525</v>
      </c>
      <c r="I203" s="41">
        <v>5.5132481552461492</v>
      </c>
      <c r="J203" s="41">
        <v>0.92855363666038038</v>
      </c>
      <c r="K203" s="41">
        <v>3.9407458808093185</v>
      </c>
      <c r="L203" s="41">
        <v>0.566747282242132</v>
      </c>
      <c r="M203" s="41">
        <v>0.14291744945950871</v>
      </c>
      <c r="N203" s="42">
        <v>4.5355040100218645E-2</v>
      </c>
      <c r="O203" s="42">
        <v>0.13987633695619725</v>
      </c>
      <c r="P203" s="42">
        <v>8.5155362717731886E-2</v>
      </c>
      <c r="Z203" s="43"/>
    </row>
    <row r="204" spans="1:26" ht="13.5" customHeight="1" x14ac:dyDescent="0.2">
      <c r="A204" s="39">
        <v>212</v>
      </c>
      <c r="B204" s="39" t="s">
        <v>226</v>
      </c>
      <c r="C204" s="40">
        <v>5</v>
      </c>
      <c r="D204" s="41">
        <v>33.789624035686316</v>
      </c>
      <c r="E204" s="41">
        <v>56.526619514963102</v>
      </c>
      <c r="F204" s="41">
        <v>4.7365642193093018</v>
      </c>
      <c r="G204" s="41">
        <v>5.8746576124835421</v>
      </c>
      <c r="H204" s="41">
        <v>0.43404194097386656</v>
      </c>
      <c r="I204" s="41">
        <v>5.5337786396042006</v>
      </c>
      <c r="J204" s="41">
        <v>1.012009766142544</v>
      </c>
      <c r="K204" s="41">
        <v>3.9299708560576456</v>
      </c>
      <c r="L204" s="41">
        <v>0.58761738395853058</v>
      </c>
      <c r="M204" s="41">
        <v>0.13887778177779486</v>
      </c>
      <c r="N204" s="42">
        <v>5.5354004744663676E-2</v>
      </c>
      <c r="O204" s="42">
        <v>0.10985934760890162</v>
      </c>
      <c r="P204" s="42">
        <v>8.8065998885433094E-2</v>
      </c>
      <c r="Z204" s="43"/>
    </row>
    <row r="205" spans="1:26" ht="13.5" customHeight="1" x14ac:dyDescent="0.2">
      <c r="A205" s="39">
        <v>213</v>
      </c>
      <c r="B205" s="39" t="s">
        <v>227</v>
      </c>
      <c r="C205" s="40">
        <v>5</v>
      </c>
      <c r="D205" s="41">
        <v>11.391138795825098</v>
      </c>
      <c r="E205" s="41">
        <v>42.283356841086935</v>
      </c>
      <c r="F205" s="41">
        <v>4.8492167813896438</v>
      </c>
      <c r="G205" s="41">
        <v>8.4621372394822902</v>
      </c>
      <c r="H205" s="41">
        <v>0.3400236172147067</v>
      </c>
      <c r="I205" s="41">
        <v>5.971226610097319</v>
      </c>
      <c r="J205" s="41">
        <v>0.96246009507547814</v>
      </c>
      <c r="K205" s="41">
        <v>4.2055906025786314</v>
      </c>
      <c r="L205" s="41">
        <v>0.6724174896717533</v>
      </c>
      <c r="M205" s="41">
        <v>0.11968065847986978</v>
      </c>
      <c r="N205" s="42">
        <v>3.9610142951641919E-2</v>
      </c>
      <c r="O205" s="42">
        <v>0.10135350054233824</v>
      </c>
      <c r="P205" s="42">
        <v>9.7095005127050202E-2</v>
      </c>
      <c r="Z205" s="43"/>
    </row>
    <row r="206" spans="1:26" ht="13.5" customHeight="1" x14ac:dyDescent="0.2">
      <c r="A206" s="39">
        <v>214</v>
      </c>
      <c r="B206" s="39" t="s">
        <v>228</v>
      </c>
      <c r="C206" s="40">
        <v>5</v>
      </c>
      <c r="D206" s="41">
        <v>11.141844670349414</v>
      </c>
      <c r="E206" s="41">
        <v>41.937671749980566</v>
      </c>
      <c r="F206" s="41">
        <v>4.8513867881897932</v>
      </c>
      <c r="G206" s="41">
        <v>8.4094314486826534</v>
      </c>
      <c r="H206" s="41">
        <v>0.3914022151361185</v>
      </c>
      <c r="I206" s="41">
        <v>5.6490082887772983</v>
      </c>
      <c r="J206" s="41">
        <v>0.87002563973143943</v>
      </c>
      <c r="K206" s="41">
        <v>4.1803855522924742</v>
      </c>
      <c r="L206" s="41">
        <v>0.63536779090277651</v>
      </c>
      <c r="M206" s="41">
        <v>0.11213230532689447</v>
      </c>
      <c r="N206" s="42">
        <v>3.8944841204666673E-2</v>
      </c>
      <c r="O206" s="42">
        <v>0.15160944574522817</v>
      </c>
      <c r="P206" s="42">
        <v>9.330416500932151E-2</v>
      </c>
      <c r="Z206" s="43"/>
    </row>
    <row r="207" spans="1:26" ht="13.5" customHeight="1" x14ac:dyDescent="0.2">
      <c r="A207" s="39">
        <v>215</v>
      </c>
      <c r="B207" s="39" t="s">
        <v>229</v>
      </c>
      <c r="C207" s="40">
        <v>5</v>
      </c>
      <c r="D207" s="41">
        <v>7.7205970171888758</v>
      </c>
      <c r="E207" s="41">
        <v>35.492742986463945</v>
      </c>
      <c r="F207" s="41">
        <v>4.8079783618733893</v>
      </c>
      <c r="G207" s="41">
        <v>8.4889817536349561</v>
      </c>
      <c r="H207" s="41">
        <v>0.49539800014809965</v>
      </c>
      <c r="I207" s="41">
        <v>5.0023989650885889</v>
      </c>
      <c r="J207" s="41">
        <v>0.77057825377732314</v>
      </c>
      <c r="K207" s="41">
        <v>4.0434538519328171</v>
      </c>
      <c r="L207" s="41">
        <v>0.64766736941305503</v>
      </c>
      <c r="M207" s="41">
        <v>0.11149161092794672</v>
      </c>
      <c r="N207" s="42">
        <v>6.0746523471218103E-2</v>
      </c>
      <c r="O207" s="42">
        <v>0.16495901204601957</v>
      </c>
      <c r="P207" s="42">
        <v>8.179181082211176E-2</v>
      </c>
      <c r="Z207" s="43"/>
    </row>
    <row r="208" spans="1:26" ht="13.5" customHeight="1" x14ac:dyDescent="0.2">
      <c r="A208" s="39">
        <v>216</v>
      </c>
      <c r="B208" s="39" t="s">
        <v>230</v>
      </c>
      <c r="C208" s="40">
        <v>5</v>
      </c>
      <c r="D208" s="41">
        <v>5.0879286708733833</v>
      </c>
      <c r="E208" s="41">
        <v>35.426778901756911</v>
      </c>
      <c r="F208" s="41">
        <v>6.2665119382391241</v>
      </c>
      <c r="G208" s="41">
        <v>9.2131644440532696</v>
      </c>
      <c r="H208" s="41">
        <v>0.30893608755393898</v>
      </c>
      <c r="I208" s="41">
        <v>5.314290741903668</v>
      </c>
      <c r="J208" s="41">
        <v>0.8502932255801936</v>
      </c>
      <c r="K208" s="41">
        <v>3.9310933293053147</v>
      </c>
      <c r="L208" s="41">
        <v>1.0200971420022473</v>
      </c>
      <c r="M208" s="41">
        <v>0.33597747248041554</v>
      </c>
      <c r="N208" s="42">
        <v>4.0902365147109453E-2</v>
      </c>
      <c r="O208" s="42">
        <v>7.9024318070048283E-2</v>
      </c>
      <c r="P208" s="42">
        <v>7.4926355876877321E-2</v>
      </c>
      <c r="Z208" s="43"/>
    </row>
    <row r="209" spans="1:26" ht="13.5" customHeight="1" x14ac:dyDescent="0.2">
      <c r="A209" s="39">
        <v>217</v>
      </c>
      <c r="B209" s="39" t="s">
        <v>231</v>
      </c>
      <c r="C209" s="40">
        <v>5</v>
      </c>
      <c r="D209" s="41">
        <v>3.4198013156182534</v>
      </c>
      <c r="E209" s="41">
        <v>30.889967463509556</v>
      </c>
      <c r="F209" s="41">
        <v>6.4192574995872453</v>
      </c>
      <c r="G209" s="41">
        <v>9.450524186069158</v>
      </c>
      <c r="H209" s="41">
        <v>0.28240478699415295</v>
      </c>
      <c r="I209" s="41">
        <v>5.1605579622892508</v>
      </c>
      <c r="J209" s="41">
        <v>0.90491519882669014</v>
      </c>
      <c r="K209" s="41">
        <v>3.8697401122361326</v>
      </c>
      <c r="L209" s="41">
        <v>1.1266588319992419</v>
      </c>
      <c r="M209" s="41">
        <v>0.37855194007719795</v>
      </c>
      <c r="N209" s="42">
        <v>3.8423340270370275E-2</v>
      </c>
      <c r="O209" s="42">
        <v>7.0739008282396723E-2</v>
      </c>
      <c r="P209" s="42">
        <v>6.7386389804621236E-2</v>
      </c>
      <c r="Z209" s="43"/>
    </row>
    <row r="210" spans="1:26" ht="13.5" customHeight="1" x14ac:dyDescent="0.2">
      <c r="A210" s="39">
        <v>218</v>
      </c>
      <c r="B210" s="39" t="s">
        <v>232</v>
      </c>
      <c r="C210" s="40">
        <v>5</v>
      </c>
      <c r="D210" s="41">
        <v>4.6921717355488886</v>
      </c>
      <c r="E210" s="41">
        <v>34.69621377239497</v>
      </c>
      <c r="F210" s="41">
        <v>6.3552482029885375</v>
      </c>
      <c r="G210" s="41">
        <v>9.389093505864075</v>
      </c>
      <c r="H210" s="41">
        <v>0.27903198264224988</v>
      </c>
      <c r="I210" s="41">
        <v>5.3670600742519126</v>
      </c>
      <c r="J210" s="41">
        <v>0.86837443179222873</v>
      </c>
      <c r="K210" s="41">
        <v>3.9652731500575635</v>
      </c>
      <c r="L210" s="41">
        <v>1.0440156667148879</v>
      </c>
      <c r="M210" s="41">
        <v>0.33461415519517512</v>
      </c>
      <c r="N210" s="42">
        <v>4.393783810862753E-2</v>
      </c>
      <c r="O210" s="42">
        <v>8.1488017141374408E-2</v>
      </c>
      <c r="P210" s="42">
        <v>6.8329953000829197E-2</v>
      </c>
      <c r="Z210" s="43"/>
    </row>
    <row r="211" spans="1:26" ht="13.5" customHeight="1" x14ac:dyDescent="0.2">
      <c r="A211" s="39">
        <v>219</v>
      </c>
      <c r="B211" s="39" t="s">
        <v>233</v>
      </c>
      <c r="C211" s="40">
        <v>5</v>
      </c>
      <c r="D211" s="41">
        <v>18.285057776737709</v>
      </c>
      <c r="E211" s="41">
        <v>48.163200325109166</v>
      </c>
      <c r="F211" s="41">
        <v>5.0697387417511752</v>
      </c>
      <c r="G211" s="41">
        <v>7.2562960457215331</v>
      </c>
      <c r="H211" s="41">
        <v>0.96806566702879737</v>
      </c>
      <c r="I211" s="41">
        <v>5.3617429289612852</v>
      </c>
      <c r="J211" s="41">
        <v>0.71416447926114279</v>
      </c>
      <c r="K211" s="41">
        <v>3.6701248889488021</v>
      </c>
      <c r="L211" s="41">
        <v>0.21449838241757171</v>
      </c>
      <c r="M211" s="41">
        <v>0.20973947897951636</v>
      </c>
      <c r="N211" s="42">
        <v>1.9129877554540604E-2</v>
      </c>
      <c r="O211" s="42">
        <v>9.4345036155112083E-2</v>
      </c>
      <c r="P211" s="42">
        <v>8.2322441660467982E-2</v>
      </c>
      <c r="Z211" s="43"/>
    </row>
    <row r="212" spans="1:26" ht="13.5" customHeight="1" x14ac:dyDescent="0.2">
      <c r="A212" s="39">
        <v>220</v>
      </c>
      <c r="B212" s="39" t="s">
        <v>234</v>
      </c>
      <c r="C212" s="40">
        <v>5</v>
      </c>
      <c r="D212" s="41">
        <v>20.058428156508526</v>
      </c>
      <c r="E212" s="41">
        <v>49.428109219453482</v>
      </c>
      <c r="F212" s="41">
        <v>4.9351910151173701</v>
      </c>
      <c r="G212" s="41">
        <v>7.0964847055591243</v>
      </c>
      <c r="H212" s="41">
        <v>0.91140050757670688</v>
      </c>
      <c r="I212" s="41">
        <v>5.5629859322863808</v>
      </c>
      <c r="J212" s="41">
        <v>0.86303355440829299</v>
      </c>
      <c r="K212" s="41">
        <v>3.6827726032981922</v>
      </c>
      <c r="L212" s="41">
        <v>0.20317610917371412</v>
      </c>
      <c r="M212" s="41">
        <v>0.19754089017967247</v>
      </c>
      <c r="N212" s="42">
        <v>4.8222768452022502E-2</v>
      </c>
      <c r="O212" s="42">
        <v>0.14596538673418469</v>
      </c>
      <c r="P212" s="42" t="s">
        <v>39</v>
      </c>
      <c r="Z212" s="43"/>
    </row>
    <row r="213" spans="1:26" ht="13.5" customHeight="1" x14ac:dyDescent="0.2">
      <c r="A213" s="39">
        <v>221</v>
      </c>
      <c r="B213" s="39" t="s">
        <v>235</v>
      </c>
      <c r="C213" s="40">
        <v>5</v>
      </c>
      <c r="D213" s="41">
        <v>25.861102557439665</v>
      </c>
      <c r="E213" s="41">
        <v>54.426526295193518</v>
      </c>
      <c r="F213" s="41">
        <v>4.7300527110924007</v>
      </c>
      <c r="G213" s="41">
        <v>6.4515709365962994</v>
      </c>
      <c r="H213" s="41">
        <v>0.95623614900209075</v>
      </c>
      <c r="I213" s="41">
        <v>5.7767578935276536</v>
      </c>
      <c r="J213" s="41">
        <v>0.94856168611939284</v>
      </c>
      <c r="K213" s="41">
        <v>3.7242035762763805</v>
      </c>
      <c r="L213" s="41">
        <v>0.17486261206624393</v>
      </c>
      <c r="M213" s="41">
        <v>0.16401366977429449</v>
      </c>
      <c r="N213" s="42">
        <v>6.0337332232759743E-2</v>
      </c>
      <c r="O213" s="42">
        <v>8.5645052535551242E-2</v>
      </c>
      <c r="P213" s="42">
        <v>4.8702036690242013E-2</v>
      </c>
      <c r="Z213" s="43"/>
    </row>
    <row r="214" spans="1:26" ht="13.5" customHeight="1" x14ac:dyDescent="0.2">
      <c r="A214" s="39">
        <v>222</v>
      </c>
      <c r="B214" s="39" t="s">
        <v>236</v>
      </c>
      <c r="C214" s="40">
        <v>5</v>
      </c>
      <c r="D214" s="41">
        <v>1.8217078328967296</v>
      </c>
      <c r="E214" s="41">
        <v>25.279588491176192</v>
      </c>
      <c r="F214" s="41">
        <v>6.7814145863455817</v>
      </c>
      <c r="G214" s="41">
        <v>9.9724566419415037</v>
      </c>
      <c r="H214" s="41">
        <v>0.38660836758004413</v>
      </c>
      <c r="I214" s="41">
        <v>5.6052584056035766</v>
      </c>
      <c r="J214" s="41">
        <v>1.1921673769849053</v>
      </c>
      <c r="K214" s="41">
        <v>3.6446795124752112</v>
      </c>
      <c r="L214" s="41">
        <v>1.0368970482154503</v>
      </c>
      <c r="M214" s="41">
        <v>0.46944003904273063</v>
      </c>
      <c r="N214" s="42">
        <v>6.9309173718568054E-2</v>
      </c>
      <c r="O214" s="42">
        <v>7.9543813592977408E-2</v>
      </c>
      <c r="P214" s="42">
        <v>6.1428039682985137E-2</v>
      </c>
      <c r="Z214" s="43"/>
    </row>
    <row r="215" spans="1:26" ht="13.5" customHeight="1" x14ac:dyDescent="0.2">
      <c r="A215" s="39">
        <v>223</v>
      </c>
      <c r="B215" s="39" t="s">
        <v>237</v>
      </c>
      <c r="C215" s="40">
        <v>5</v>
      </c>
      <c r="D215" s="41">
        <v>3.1859870855166008</v>
      </c>
      <c r="E215" s="41">
        <v>30.81581409743491</v>
      </c>
      <c r="F215" s="41">
        <v>6.7027737385819481</v>
      </c>
      <c r="G215" s="41">
        <v>9.559190763473886</v>
      </c>
      <c r="H215" s="41">
        <v>0.40251193546263364</v>
      </c>
      <c r="I215" s="41">
        <v>5.2578934846811993</v>
      </c>
      <c r="J215" s="41">
        <v>0.96488701970756885</v>
      </c>
      <c r="K215" s="41">
        <v>3.6946425158954828</v>
      </c>
      <c r="L215" s="41">
        <v>0.96755255955258823</v>
      </c>
      <c r="M215" s="41">
        <v>0.43096745528625346</v>
      </c>
      <c r="N215" s="42">
        <v>2.6500591482443658E-2</v>
      </c>
      <c r="O215" s="42">
        <v>8.4892422242985766E-2</v>
      </c>
      <c r="P215" s="42">
        <v>7.860669626492095E-2</v>
      </c>
      <c r="Z215" s="43"/>
    </row>
    <row r="216" spans="1:26" ht="13.5" customHeight="1" x14ac:dyDescent="0.2">
      <c r="A216" s="39">
        <v>224</v>
      </c>
      <c r="B216" s="39" t="s">
        <v>238</v>
      </c>
      <c r="C216" s="40">
        <v>5</v>
      </c>
      <c r="D216" s="41">
        <v>2.750560694859284</v>
      </c>
      <c r="E216" s="41">
        <v>29.151771527152505</v>
      </c>
      <c r="F216" s="41">
        <v>7.0477208400118228</v>
      </c>
      <c r="G216" s="41">
        <v>9.8565415605962006</v>
      </c>
      <c r="H216" s="41">
        <v>0.44302625684286323</v>
      </c>
      <c r="I216" s="41">
        <v>5.3044799786276045</v>
      </c>
      <c r="J216" s="41">
        <v>1.0505923822831662</v>
      </c>
      <c r="K216" s="41">
        <v>3.7329743954823291</v>
      </c>
      <c r="L216" s="41">
        <v>1.0992269564546038</v>
      </c>
      <c r="M216" s="41">
        <v>0.49653853072326759</v>
      </c>
      <c r="N216" s="42">
        <v>2.5785731718710129E-2</v>
      </c>
      <c r="O216" s="42">
        <v>9.230282735364842E-2</v>
      </c>
      <c r="P216" s="42">
        <v>5.9375533300390769E-2</v>
      </c>
      <c r="Z216" s="43"/>
    </row>
    <row r="217" spans="1:26" ht="13.5" customHeight="1" x14ac:dyDescent="0.2">
      <c r="A217" s="39">
        <v>225</v>
      </c>
      <c r="B217" s="39" t="s">
        <v>239</v>
      </c>
      <c r="C217" s="40">
        <v>5</v>
      </c>
      <c r="D217" s="41">
        <v>6.7289016406811433</v>
      </c>
      <c r="E217" s="41">
        <v>27.803984717804617</v>
      </c>
      <c r="F217" s="41">
        <v>4.9482351521683006</v>
      </c>
      <c r="G217" s="41">
        <v>9.8821124406126906</v>
      </c>
      <c r="H217" s="41">
        <v>0.55559610712986829</v>
      </c>
      <c r="I217" s="41">
        <v>5.3575907088929986</v>
      </c>
      <c r="J217" s="41">
        <v>0.89086662698563845</v>
      </c>
      <c r="K217" s="41">
        <v>4.358814958301017</v>
      </c>
      <c r="L217" s="41">
        <v>0.50305362205457549</v>
      </c>
      <c r="M217" s="41">
        <v>0.277756694547665</v>
      </c>
      <c r="N217" s="42">
        <v>2.6251654703980054E-2</v>
      </c>
      <c r="O217" s="42">
        <v>7.3233923196973014E-2</v>
      </c>
      <c r="P217" s="42">
        <v>3.8827026643597731E-2</v>
      </c>
      <c r="Z217" s="43"/>
    </row>
    <row r="218" spans="1:26" ht="13.5" customHeight="1" x14ac:dyDescent="0.2">
      <c r="A218" s="39">
        <v>226</v>
      </c>
      <c r="B218" s="39" t="s">
        <v>240</v>
      </c>
      <c r="C218" s="40">
        <v>5</v>
      </c>
      <c r="D218" s="41">
        <v>16.440606992001715</v>
      </c>
      <c r="E218" s="41">
        <v>41.199679622490635</v>
      </c>
      <c r="F218" s="41">
        <v>4.3027438826159141</v>
      </c>
      <c r="G218" s="41">
        <v>8.5688371990204342</v>
      </c>
      <c r="H218" s="41">
        <v>0.46328629749432382</v>
      </c>
      <c r="I218" s="41">
        <v>5.5493499357941225</v>
      </c>
      <c r="J218" s="41">
        <v>0.92704937029187529</v>
      </c>
      <c r="K218" s="41">
        <v>4.2893401256913313</v>
      </c>
      <c r="L218" s="41">
        <v>0.33936168386687993</v>
      </c>
      <c r="M218" s="41">
        <v>0.21348920610088867</v>
      </c>
      <c r="N218" s="42">
        <v>5.1350171846011289E-2</v>
      </c>
      <c r="O218" s="42">
        <v>0.11788585811036242</v>
      </c>
      <c r="P218" s="42" t="s">
        <v>39</v>
      </c>
      <c r="Z218" s="43"/>
    </row>
    <row r="219" spans="1:26" ht="13.5" customHeight="1" x14ac:dyDescent="0.2">
      <c r="A219" s="39">
        <v>227</v>
      </c>
      <c r="B219" s="39" t="s">
        <v>241</v>
      </c>
      <c r="C219" s="40">
        <v>5</v>
      </c>
      <c r="D219" s="41">
        <v>19.863693625522544</v>
      </c>
      <c r="E219" s="41">
        <v>44.280689439696708</v>
      </c>
      <c r="F219" s="41">
        <v>4.0234737375360261</v>
      </c>
      <c r="G219" s="41">
        <v>7.7342717036655575</v>
      </c>
      <c r="H219" s="41">
        <v>0.4355198638675612</v>
      </c>
      <c r="I219" s="41">
        <v>5.4645686576072636</v>
      </c>
      <c r="J219" s="41">
        <v>0.90011448156011198</v>
      </c>
      <c r="K219" s="41">
        <v>4.1620004529916752</v>
      </c>
      <c r="L219" s="41">
        <v>0.28572875853831292</v>
      </c>
      <c r="M219" s="41">
        <v>0.15809280240959622</v>
      </c>
      <c r="N219" s="42">
        <v>5.2134696444226539E-2</v>
      </c>
      <c r="O219" s="42">
        <v>8.4211431608793227E-2</v>
      </c>
      <c r="P219" s="42" t="s">
        <v>39</v>
      </c>
      <c r="Z219" s="43"/>
    </row>
    <row r="220" spans="1:26" ht="13.5" customHeight="1" x14ac:dyDescent="0.2">
      <c r="A220" s="39">
        <v>228</v>
      </c>
      <c r="B220" s="39" t="s">
        <v>242</v>
      </c>
      <c r="C220" s="40">
        <v>5</v>
      </c>
      <c r="D220" s="41">
        <v>31.91730883778099</v>
      </c>
      <c r="E220" s="41">
        <v>56.571513173058165</v>
      </c>
      <c r="F220" s="41">
        <v>5.2320535827468575</v>
      </c>
      <c r="G220" s="41">
        <v>6.014597620695918</v>
      </c>
      <c r="H220" s="41">
        <v>0.43915257592417073</v>
      </c>
      <c r="I220" s="41">
        <v>5.5629917106991673</v>
      </c>
      <c r="J220" s="41">
        <v>0.97225732248700569</v>
      </c>
      <c r="K220" s="41">
        <v>3.7829038816139624</v>
      </c>
      <c r="L220" s="41">
        <v>0.69622715484503206</v>
      </c>
      <c r="M220" s="41">
        <v>0.18003235849075191</v>
      </c>
      <c r="N220" s="42">
        <v>6.397606927080747E-2</v>
      </c>
      <c r="O220" s="42">
        <v>8.4411130365100895E-2</v>
      </c>
      <c r="P220" s="42" t="s">
        <v>39</v>
      </c>
      <c r="Z220" s="43"/>
    </row>
    <row r="221" spans="1:26" ht="13.5" customHeight="1" x14ac:dyDescent="0.2">
      <c r="A221" s="39">
        <v>229</v>
      </c>
      <c r="B221" s="39" t="s">
        <v>243</v>
      </c>
      <c r="C221" s="40">
        <v>5</v>
      </c>
      <c r="D221" s="41">
        <v>38.569548805928228</v>
      </c>
      <c r="E221" s="41">
        <v>60.594554452254954</v>
      </c>
      <c r="F221" s="41">
        <v>4.5343331139760474</v>
      </c>
      <c r="G221" s="41">
        <v>5.3328577641690567</v>
      </c>
      <c r="H221" s="41">
        <v>0.40434509624367948</v>
      </c>
      <c r="I221" s="41">
        <v>5.5665318932453625</v>
      </c>
      <c r="J221" s="41">
        <v>0.95188883034103844</v>
      </c>
      <c r="K221" s="41">
        <v>3.8351312758369147</v>
      </c>
      <c r="L221" s="41">
        <v>0.53063923961595516</v>
      </c>
      <c r="M221" s="41">
        <v>0.13631534577726268</v>
      </c>
      <c r="N221" s="42">
        <v>5.8459172876411426E-2</v>
      </c>
      <c r="O221" s="42">
        <v>0.10468090408850908</v>
      </c>
      <c r="P221" s="42" t="s">
        <v>39</v>
      </c>
      <c r="Z221" s="43"/>
    </row>
    <row r="222" spans="1:26" ht="13.5" customHeight="1" x14ac:dyDescent="0.2">
      <c r="A222" s="39">
        <v>230</v>
      </c>
      <c r="B222" s="39" t="s">
        <v>244</v>
      </c>
      <c r="C222" s="40">
        <v>5</v>
      </c>
      <c r="D222" s="41">
        <v>31.112972633933992</v>
      </c>
      <c r="E222" s="41">
        <v>55.593386717718687</v>
      </c>
      <c r="F222" s="41">
        <v>5.0533661141881456</v>
      </c>
      <c r="G222" s="41">
        <v>6.2584351377931462</v>
      </c>
      <c r="H222" s="41">
        <v>0.50523627821361916</v>
      </c>
      <c r="I222" s="41">
        <v>5.5265118067448462</v>
      </c>
      <c r="J222" s="41">
        <v>0.91439828798870637</v>
      </c>
      <c r="K222" s="41">
        <v>3.8959435940058245</v>
      </c>
      <c r="L222" s="41">
        <v>0.6542470153282034</v>
      </c>
      <c r="M222" s="41">
        <v>0.1849783871254852</v>
      </c>
      <c r="N222" s="42">
        <v>4.144870147773972E-2</v>
      </c>
      <c r="O222" s="42">
        <v>9.2218054108069047E-2</v>
      </c>
      <c r="P222" s="42" t="s">
        <v>39</v>
      </c>
      <c r="Z222" s="43"/>
    </row>
    <row r="223" spans="1:26" ht="13.5" customHeight="1" x14ac:dyDescent="0.2">
      <c r="A223" s="39">
        <v>231</v>
      </c>
      <c r="B223" s="39" t="s">
        <v>245</v>
      </c>
      <c r="C223" s="40">
        <v>3</v>
      </c>
      <c r="D223" s="41" t="s">
        <v>39</v>
      </c>
      <c r="E223" s="41">
        <v>4.4033851302711282</v>
      </c>
      <c r="F223" s="41">
        <v>6.980352342321277</v>
      </c>
      <c r="G223" s="41">
        <v>10.963126072918126</v>
      </c>
      <c r="H223" s="41">
        <v>0.2350002787598035</v>
      </c>
      <c r="I223" s="41">
        <v>4.8893571555573416</v>
      </c>
      <c r="J223" s="41">
        <v>0.9116679007074735</v>
      </c>
      <c r="K223" s="41">
        <v>3.925285316648893</v>
      </c>
      <c r="L223" s="41">
        <v>1.2756555904536189</v>
      </c>
      <c r="M223" s="41">
        <v>0.63551338514001032</v>
      </c>
      <c r="N223" s="42">
        <v>1.9261131827071162E-2</v>
      </c>
      <c r="O223" s="42" t="s">
        <v>39</v>
      </c>
      <c r="P223" s="42">
        <v>7.8506401234691686E-2</v>
      </c>
      <c r="Z223" s="43"/>
    </row>
    <row r="224" spans="1:26" ht="13.5" customHeight="1" x14ac:dyDescent="0.2">
      <c r="A224" s="39">
        <v>232</v>
      </c>
      <c r="B224" s="39" t="s">
        <v>246</v>
      </c>
      <c r="C224" s="40">
        <v>3</v>
      </c>
      <c r="D224" s="41" t="s">
        <v>39</v>
      </c>
      <c r="E224" s="41">
        <v>6.6385685603437485</v>
      </c>
      <c r="F224" s="41">
        <v>7.2525304961987445</v>
      </c>
      <c r="G224" s="41">
        <v>11.240248768229083</v>
      </c>
      <c r="H224" s="41">
        <v>0.2577916956783729</v>
      </c>
      <c r="I224" s="41">
        <v>5.0659791804882879</v>
      </c>
      <c r="J224" s="41">
        <v>0.96719312567417615</v>
      </c>
      <c r="K224" s="41">
        <v>4.1298565837653713</v>
      </c>
      <c r="L224" s="41">
        <v>1.3436743788588397</v>
      </c>
      <c r="M224" s="41">
        <v>0.64321748064191098</v>
      </c>
      <c r="N224" s="42">
        <v>1.9767557576338305E-2</v>
      </c>
      <c r="O224" s="42" t="s">
        <v>39</v>
      </c>
      <c r="P224" s="42">
        <v>8.3894910041999837E-2</v>
      </c>
      <c r="Z224" s="43"/>
    </row>
    <row r="225" spans="1:26" ht="13.5" customHeight="1" x14ac:dyDescent="0.2">
      <c r="A225" s="39">
        <v>233</v>
      </c>
      <c r="B225" s="39" t="s">
        <v>247</v>
      </c>
      <c r="C225" s="40">
        <v>3</v>
      </c>
      <c r="D225" s="41" t="s">
        <v>39</v>
      </c>
      <c r="E225" s="41">
        <v>3.4342257345022653</v>
      </c>
      <c r="F225" s="41">
        <v>7.712816289258031</v>
      </c>
      <c r="G225" s="41">
        <v>11.942225001382539</v>
      </c>
      <c r="H225" s="41">
        <v>0.16852364724911031</v>
      </c>
      <c r="I225" s="41">
        <v>5.2735401801632795</v>
      </c>
      <c r="J225" s="41">
        <v>0.9958741559346368</v>
      </c>
      <c r="K225" s="41">
        <v>4.1259711570096309</v>
      </c>
      <c r="L225" s="41">
        <v>1.4500284068643974</v>
      </c>
      <c r="M225" s="41">
        <v>0.70830698207093823</v>
      </c>
      <c r="N225" s="42">
        <v>2.1254319419785936E-2</v>
      </c>
      <c r="O225" s="42" t="s">
        <v>39</v>
      </c>
      <c r="P225" s="42">
        <v>9.6448384136934184E-2</v>
      </c>
      <c r="Z225" s="43"/>
    </row>
    <row r="226" spans="1:26" ht="13.5" customHeight="1" x14ac:dyDescent="0.2">
      <c r="A226" s="39">
        <v>234</v>
      </c>
      <c r="B226" s="39" t="s">
        <v>248</v>
      </c>
      <c r="C226" s="40">
        <v>3</v>
      </c>
      <c r="D226" s="41">
        <v>7.2314908887725551</v>
      </c>
      <c r="E226" s="41">
        <v>35.464544308991719</v>
      </c>
      <c r="F226" s="41">
        <v>5.4626019649078588</v>
      </c>
      <c r="G226" s="41">
        <v>9.0880101152093964</v>
      </c>
      <c r="H226" s="41">
        <v>0.48630126641287508</v>
      </c>
      <c r="I226" s="41">
        <v>5.265782542121201</v>
      </c>
      <c r="J226" s="41">
        <v>0.74423677428448143</v>
      </c>
      <c r="K226" s="41">
        <v>4.1595391518548972</v>
      </c>
      <c r="L226" s="41">
        <v>0.77077247069939059</v>
      </c>
      <c r="M226" s="41">
        <v>0.27401726285775296</v>
      </c>
      <c r="N226" s="42">
        <v>1.9486646548633229E-2</v>
      </c>
      <c r="O226" s="42">
        <v>0.11446157388707484</v>
      </c>
      <c r="P226" s="42">
        <v>0.11016880042175917</v>
      </c>
      <c r="Z226" s="43"/>
    </row>
    <row r="227" spans="1:26" ht="13.5" customHeight="1" x14ac:dyDescent="0.2">
      <c r="A227" s="39">
        <v>235</v>
      </c>
      <c r="B227" s="39" t="s">
        <v>249</v>
      </c>
      <c r="C227" s="40">
        <v>3</v>
      </c>
      <c r="D227" s="41">
        <v>4.52058059550279</v>
      </c>
      <c r="E227" s="41">
        <v>30.489502930749133</v>
      </c>
      <c r="F227" s="41">
        <v>5.6848418666509577</v>
      </c>
      <c r="G227" s="41">
        <v>9.3586304238593385</v>
      </c>
      <c r="H227" s="41">
        <v>0.44006260619321647</v>
      </c>
      <c r="I227" s="41">
        <v>7.6389614849491601</v>
      </c>
      <c r="J227" s="41">
        <v>1.7768561171200852</v>
      </c>
      <c r="K227" s="41">
        <v>4.5530581225116302</v>
      </c>
      <c r="L227" s="41">
        <v>0.86995722323550373</v>
      </c>
      <c r="M227" s="41">
        <v>0.26206727773576505</v>
      </c>
      <c r="N227" s="42">
        <v>1.84693823140149E-2</v>
      </c>
      <c r="O227" s="42">
        <v>0.11944919917695573</v>
      </c>
      <c r="P227" s="42">
        <v>0.10362266037611004</v>
      </c>
      <c r="Z227" s="43"/>
    </row>
    <row r="228" spans="1:26" ht="13.5" customHeight="1" x14ac:dyDescent="0.2">
      <c r="A228" s="39">
        <v>236</v>
      </c>
      <c r="B228" s="39" t="s">
        <v>250</v>
      </c>
      <c r="C228" s="40">
        <v>3</v>
      </c>
      <c r="D228" s="41">
        <v>0.3337017983029763</v>
      </c>
      <c r="E228" s="41">
        <v>11.937017686056608</v>
      </c>
      <c r="F228" s="41">
        <v>7.383346596442534</v>
      </c>
      <c r="G228" s="41">
        <v>11.053710685919427</v>
      </c>
      <c r="H228" s="41">
        <v>0.18463010044031569</v>
      </c>
      <c r="I228" s="41">
        <v>7.8969640818830324</v>
      </c>
      <c r="J228" s="41">
        <v>2.0988231580401204</v>
      </c>
      <c r="K228" s="41">
        <v>5.6987986827659398</v>
      </c>
      <c r="L228" s="41">
        <v>1.421990768996531</v>
      </c>
      <c r="M228" s="41">
        <v>0.58418965532680311</v>
      </c>
      <c r="N228" s="42">
        <v>1.5281822094443889E-2</v>
      </c>
      <c r="O228" s="42">
        <v>0.10250644963423894</v>
      </c>
      <c r="P228" s="42">
        <v>9.8290811558682606E-2</v>
      </c>
      <c r="Z228" s="43"/>
    </row>
    <row r="229" spans="1:26" ht="13.5" customHeight="1" x14ac:dyDescent="0.2">
      <c r="A229" s="39">
        <v>237</v>
      </c>
      <c r="B229" s="39" t="s">
        <v>251</v>
      </c>
      <c r="C229" s="40">
        <v>3</v>
      </c>
      <c r="D229" s="41">
        <v>0.40014956211962016</v>
      </c>
      <c r="E229" s="41">
        <v>12.505846100548602</v>
      </c>
      <c r="F229" s="41">
        <v>7.5241983887919694</v>
      </c>
      <c r="G229" s="41">
        <v>10.760581340779915</v>
      </c>
      <c r="H229" s="41">
        <v>0.13140302314116625</v>
      </c>
      <c r="I229" s="41">
        <v>7.8635363839565189</v>
      </c>
      <c r="J229" s="41">
        <v>2.0550600678219029</v>
      </c>
      <c r="K229" s="41">
        <v>5.4519081478326514</v>
      </c>
      <c r="L229" s="41">
        <v>1.4403682263416955</v>
      </c>
      <c r="M229" s="41">
        <v>0.58404422088481678</v>
      </c>
      <c r="N229" s="42">
        <v>1.8928682975742551E-2</v>
      </c>
      <c r="O229" s="42">
        <v>0.10781556341617221</v>
      </c>
      <c r="P229" s="42">
        <v>8.1863000132098573E-2</v>
      </c>
      <c r="Z229" s="43"/>
    </row>
    <row r="230" spans="1:26" ht="13.5" customHeight="1" x14ac:dyDescent="0.2">
      <c r="A230" s="39">
        <v>238</v>
      </c>
      <c r="B230" s="39" t="s">
        <v>252</v>
      </c>
      <c r="C230" s="40">
        <v>3</v>
      </c>
      <c r="D230" s="41">
        <v>0.87896091838408297</v>
      </c>
      <c r="E230" s="41">
        <v>16.171955931412683</v>
      </c>
      <c r="F230" s="41">
        <v>7.2612574434080344</v>
      </c>
      <c r="G230" s="41">
        <v>10.578961809138804</v>
      </c>
      <c r="H230" s="41">
        <v>0.16087648039460747</v>
      </c>
      <c r="I230" s="41">
        <v>5.8468181079617505</v>
      </c>
      <c r="J230" s="41">
        <v>1.4799898992756702</v>
      </c>
      <c r="K230" s="41">
        <v>5.3401179962459393</v>
      </c>
      <c r="L230" s="41">
        <v>1.3827211164495858</v>
      </c>
      <c r="M230" s="41">
        <v>0.59147601391119664</v>
      </c>
      <c r="N230" s="42">
        <v>6.9856365605020648E-2</v>
      </c>
      <c r="O230" s="42">
        <v>0.10175061913791086</v>
      </c>
      <c r="P230" s="42">
        <v>7.7298526962557415E-2</v>
      </c>
      <c r="Z230" s="43"/>
    </row>
    <row r="231" spans="1:26" ht="13.5" customHeight="1" x14ac:dyDescent="0.2">
      <c r="A231" s="39">
        <v>239</v>
      </c>
      <c r="B231" s="39" t="s">
        <v>253</v>
      </c>
      <c r="C231" s="40">
        <v>3</v>
      </c>
      <c r="D231" s="41">
        <v>5.2340541956327158</v>
      </c>
      <c r="E231" s="41">
        <v>32.029295068337035</v>
      </c>
      <c r="F231" s="41">
        <v>5.6705626950427312</v>
      </c>
      <c r="G231" s="41">
        <v>9.2729240940706141</v>
      </c>
      <c r="H231" s="41">
        <v>0.40259931172185864</v>
      </c>
      <c r="I231" s="41">
        <v>5.9135796666263412</v>
      </c>
      <c r="J231" s="41">
        <v>1.2711786100012117</v>
      </c>
      <c r="K231" s="41">
        <v>4.3589142879618104</v>
      </c>
      <c r="L231" s="41">
        <v>0.85025360404190731</v>
      </c>
      <c r="M231" s="41">
        <v>0.28322644273960979</v>
      </c>
      <c r="N231" s="42">
        <v>7.7723639344151524E-2</v>
      </c>
      <c r="O231" s="42">
        <v>0.13954668748077717</v>
      </c>
      <c r="P231" s="42">
        <v>0.1258010989451841</v>
      </c>
      <c r="Z231" s="43"/>
    </row>
    <row r="232" spans="1:26" ht="13.5" customHeight="1" x14ac:dyDescent="0.2">
      <c r="A232" s="39">
        <v>240</v>
      </c>
      <c r="B232" s="39" t="s">
        <v>254</v>
      </c>
      <c r="C232" s="40">
        <v>3</v>
      </c>
      <c r="D232" s="41">
        <v>0.40111835903378545</v>
      </c>
      <c r="E232" s="41">
        <v>14.280534516438726</v>
      </c>
      <c r="F232" s="41">
        <v>5.7118617437652208</v>
      </c>
      <c r="G232" s="41">
        <v>10.924881360872416</v>
      </c>
      <c r="H232" s="41">
        <v>0.40768194876470443</v>
      </c>
      <c r="I232" s="41">
        <v>7.5328880931780713</v>
      </c>
      <c r="J232" s="41">
        <v>1.5980260275217064</v>
      </c>
      <c r="K232" s="41">
        <v>5.4365592706458541</v>
      </c>
      <c r="L232" s="41">
        <v>1.9583901534602253</v>
      </c>
      <c r="M232" s="41">
        <v>0.33492445634855472</v>
      </c>
      <c r="N232" s="42">
        <v>2.7552446891531711E-2</v>
      </c>
      <c r="O232" s="42">
        <v>9.9856269021786404E-2</v>
      </c>
      <c r="P232" s="42">
        <v>8.2481641771925185E-2</v>
      </c>
      <c r="Z232" s="43"/>
    </row>
    <row r="233" spans="1:26" ht="13.5" customHeight="1" x14ac:dyDescent="0.2">
      <c r="A233" s="39">
        <v>241</v>
      </c>
      <c r="B233" s="39" t="s">
        <v>255</v>
      </c>
      <c r="C233" s="40">
        <v>3</v>
      </c>
      <c r="D233" s="41">
        <v>0.30823180129630673</v>
      </c>
      <c r="E233" s="41">
        <v>13.098595144323617</v>
      </c>
      <c r="F233" s="41">
        <v>5.6752315417330799</v>
      </c>
      <c r="G233" s="41">
        <v>11.05595219598036</v>
      </c>
      <c r="H233" s="41">
        <v>0.4233406548894304</v>
      </c>
      <c r="I233" s="41">
        <v>7.5672921258375672</v>
      </c>
      <c r="J233" s="41">
        <v>1.5931306584627896</v>
      </c>
      <c r="K233" s="41">
        <v>5.3947485694050519</v>
      </c>
      <c r="L233" s="41">
        <v>1.8884092406879847</v>
      </c>
      <c r="M233" s="41">
        <v>0.32083339988457327</v>
      </c>
      <c r="N233" s="42">
        <v>2.611279898402924E-2</v>
      </c>
      <c r="O233" s="42">
        <v>9.8927296203193293E-2</v>
      </c>
      <c r="P233" s="42">
        <v>0.10124778868987624</v>
      </c>
      <c r="Z233" s="43"/>
    </row>
    <row r="234" spans="1:26" ht="13.5" customHeight="1" x14ac:dyDescent="0.2">
      <c r="A234" s="39">
        <v>242</v>
      </c>
      <c r="B234" s="39" t="s">
        <v>256</v>
      </c>
      <c r="C234" s="40">
        <v>3</v>
      </c>
      <c r="D234" s="41">
        <v>0.36219759272051377</v>
      </c>
      <c r="E234" s="41">
        <v>14.236876404923574</v>
      </c>
      <c r="F234" s="41">
        <v>5.8385549200540812</v>
      </c>
      <c r="G234" s="41">
        <v>11.063407449582536</v>
      </c>
      <c r="H234" s="41">
        <v>0.41338591020350757</v>
      </c>
      <c r="I234" s="41">
        <v>7.0857846718061666</v>
      </c>
      <c r="J234" s="41">
        <v>1.2857609052639878</v>
      </c>
      <c r="K234" s="41">
        <v>5.0898256754893492</v>
      </c>
      <c r="L234" s="41">
        <v>2.2689843874711935</v>
      </c>
      <c r="M234" s="41">
        <v>0.13983684590388748</v>
      </c>
      <c r="N234" s="42">
        <v>2.8717707372181052E-2</v>
      </c>
      <c r="O234" s="42">
        <v>0.10413674395582928</v>
      </c>
      <c r="P234" s="42">
        <v>9.4152956188269424E-2</v>
      </c>
      <c r="Z234" s="43"/>
    </row>
    <row r="235" spans="1:26" ht="13.5" customHeight="1" x14ac:dyDescent="0.2">
      <c r="A235" s="39">
        <v>243</v>
      </c>
      <c r="B235" s="39" t="s">
        <v>257</v>
      </c>
      <c r="C235" s="40">
        <v>3</v>
      </c>
      <c r="D235" s="41" t="s">
        <v>39</v>
      </c>
      <c r="E235" s="41">
        <v>4.6194940404046854</v>
      </c>
      <c r="F235" s="41">
        <v>7.1597524924775895</v>
      </c>
      <c r="G235" s="41">
        <v>11.676002297827994</v>
      </c>
      <c r="H235" s="41">
        <v>0.1622496503820067</v>
      </c>
      <c r="I235" s="41">
        <v>5.8286147233480126</v>
      </c>
      <c r="J235" s="41">
        <v>1.3539190881836871</v>
      </c>
      <c r="K235" s="41">
        <v>4.4961057014665755</v>
      </c>
      <c r="L235" s="41">
        <v>1.5042629565591379</v>
      </c>
      <c r="M235" s="41">
        <v>0.53029122754296187</v>
      </c>
      <c r="N235" s="42">
        <v>7.8949971624874077E-2</v>
      </c>
      <c r="O235" s="42" t="s">
        <v>39</v>
      </c>
      <c r="P235" s="42">
        <v>8.1201787938798675E-2</v>
      </c>
      <c r="Z235" s="43"/>
    </row>
    <row r="236" spans="1:26" ht="13.5" customHeight="1" x14ac:dyDescent="0.2">
      <c r="A236" s="39">
        <v>244</v>
      </c>
      <c r="B236" s="39" t="s">
        <v>258</v>
      </c>
      <c r="C236" s="40">
        <v>3</v>
      </c>
      <c r="D236" s="41">
        <v>0.75624724143497557</v>
      </c>
      <c r="E236" s="41">
        <v>18.217154706267159</v>
      </c>
      <c r="F236" s="41">
        <v>7.437227497818343</v>
      </c>
      <c r="G236" s="41">
        <v>11.841579436784308</v>
      </c>
      <c r="H236" s="41">
        <v>0.20799899837097213</v>
      </c>
      <c r="I236" s="41">
        <v>6.2891525104225297</v>
      </c>
      <c r="J236" s="41">
        <v>1.2600497953664784</v>
      </c>
      <c r="K236" s="41">
        <v>5.368110134668914</v>
      </c>
      <c r="L236" s="41">
        <v>1.395679542754902</v>
      </c>
      <c r="M236" s="41">
        <v>0.509845418188281</v>
      </c>
      <c r="N236" s="42">
        <v>6.246981808841312E-2</v>
      </c>
      <c r="O236" s="42">
        <v>9.3060403783574913E-2</v>
      </c>
      <c r="P236" s="42">
        <v>0.10036549731749081</v>
      </c>
      <c r="Z236" s="43"/>
    </row>
    <row r="237" spans="1:26" ht="13.5" customHeight="1" x14ac:dyDescent="0.2">
      <c r="A237" s="39">
        <v>245</v>
      </c>
      <c r="B237" s="39" t="s">
        <v>259</v>
      </c>
      <c r="C237" s="40">
        <v>3</v>
      </c>
      <c r="D237" s="41" t="s">
        <v>39</v>
      </c>
      <c r="E237" s="41">
        <v>5.46132150900804</v>
      </c>
      <c r="F237" s="41">
        <v>6.9199613990056523</v>
      </c>
      <c r="G237" s="41">
        <v>11.739122782050424</v>
      </c>
      <c r="H237" s="41">
        <v>0.21573769261004594</v>
      </c>
      <c r="I237" s="41">
        <v>5.7264822499971482</v>
      </c>
      <c r="J237" s="41">
        <v>1.2027327480541063</v>
      </c>
      <c r="K237" s="41">
        <v>4.5188368981712994</v>
      </c>
      <c r="L237" s="41">
        <v>1.3377184368501118</v>
      </c>
      <c r="M237" s="41">
        <v>0.46799834295627218</v>
      </c>
      <c r="N237" s="42">
        <v>5.8025074023742219E-2</v>
      </c>
      <c r="O237" s="42" t="s">
        <v>39</v>
      </c>
      <c r="P237" s="42">
        <v>8.6065155321261161E-2</v>
      </c>
      <c r="Z237" s="43"/>
    </row>
    <row r="238" spans="1:26" ht="13.5" customHeight="1" x14ac:dyDescent="0.2">
      <c r="A238" s="39">
        <v>246</v>
      </c>
      <c r="B238" s="39" t="s">
        <v>260</v>
      </c>
      <c r="C238" s="40">
        <v>3</v>
      </c>
      <c r="D238" s="41">
        <v>10.492654176049337</v>
      </c>
      <c r="E238" s="41">
        <v>41.534483108218687</v>
      </c>
      <c r="F238" s="41">
        <v>5.9113809845525536</v>
      </c>
      <c r="G238" s="41">
        <v>8.2581819491560857</v>
      </c>
      <c r="H238" s="41">
        <v>0.5202105779200793</v>
      </c>
      <c r="I238" s="41">
        <v>5.8153969202678049</v>
      </c>
      <c r="J238" s="41">
        <v>1.0560147026519719</v>
      </c>
      <c r="K238" s="41">
        <v>3.7587459946639559</v>
      </c>
      <c r="L238" s="41">
        <v>0.43561566306810201</v>
      </c>
      <c r="M238" s="41">
        <v>0.21754628045133154</v>
      </c>
      <c r="N238" s="42">
        <v>4.5671754479960934E-2</v>
      </c>
      <c r="O238" s="42">
        <v>0.1139208646489164</v>
      </c>
      <c r="P238" s="42">
        <v>0.15159732101895598</v>
      </c>
      <c r="Z238" s="43"/>
    </row>
    <row r="239" spans="1:26" ht="13.5" customHeight="1" x14ac:dyDescent="0.2">
      <c r="A239" s="39">
        <v>247</v>
      </c>
      <c r="B239" s="39" t="s">
        <v>261</v>
      </c>
      <c r="C239" s="40">
        <v>3</v>
      </c>
      <c r="D239" s="41">
        <v>7.4231923180388382</v>
      </c>
      <c r="E239" s="41">
        <v>38.355142374896786</v>
      </c>
      <c r="F239" s="41">
        <v>6.0901804844970489</v>
      </c>
      <c r="G239" s="41">
        <v>9.1570063495890537</v>
      </c>
      <c r="H239" s="41">
        <v>0.56836634380126738</v>
      </c>
      <c r="I239" s="41">
        <v>6.3406657115955802</v>
      </c>
      <c r="J239" s="41">
        <v>1.2425032630401902</v>
      </c>
      <c r="K239" s="41">
        <v>3.9116109017675482</v>
      </c>
      <c r="L239" s="41">
        <v>0.42105850253777044</v>
      </c>
      <c r="M239" s="41">
        <v>0.21311182479851742</v>
      </c>
      <c r="N239" s="42">
        <v>8.9134710643074141E-2</v>
      </c>
      <c r="O239" s="42" t="s">
        <v>39</v>
      </c>
      <c r="P239" s="42">
        <v>0.11101183597171937</v>
      </c>
      <c r="Z239" s="43"/>
    </row>
    <row r="240" spans="1:26" ht="13.5" customHeight="1" x14ac:dyDescent="0.2">
      <c r="A240" s="39">
        <v>248</v>
      </c>
      <c r="B240" s="39" t="s">
        <v>262</v>
      </c>
      <c r="C240" s="40">
        <v>3</v>
      </c>
      <c r="D240" s="41">
        <v>5.4892307074498916</v>
      </c>
      <c r="E240" s="41">
        <v>34.719564259866004</v>
      </c>
      <c r="F240" s="41">
        <v>6.2315413219299405</v>
      </c>
      <c r="G240" s="41">
        <v>9.1593352979052547</v>
      </c>
      <c r="H240" s="41">
        <v>0.60041311167673772</v>
      </c>
      <c r="I240" s="41">
        <v>6.1208227366017631</v>
      </c>
      <c r="J240" s="41">
        <v>1.1860015120688654</v>
      </c>
      <c r="K240" s="41">
        <v>3.7739918102111094</v>
      </c>
      <c r="L240" s="41">
        <v>0.43284332062388076</v>
      </c>
      <c r="M240" s="41">
        <v>0.22398724453156291</v>
      </c>
      <c r="N240" s="42">
        <v>8.4847330794069808E-2</v>
      </c>
      <c r="O240" s="42" t="s">
        <v>39</v>
      </c>
      <c r="P240" s="42">
        <v>0.12358513347776391</v>
      </c>
      <c r="Z240" s="43"/>
    </row>
    <row r="241" spans="1:26" ht="13.5" customHeight="1" x14ac:dyDescent="0.2">
      <c r="A241" s="39">
        <v>249</v>
      </c>
      <c r="B241" s="39" t="s">
        <v>263</v>
      </c>
      <c r="C241" s="40">
        <v>3</v>
      </c>
      <c r="D241" s="41" t="s">
        <v>39</v>
      </c>
      <c r="E241" s="41">
        <v>2.6384729205008064</v>
      </c>
      <c r="F241" s="41">
        <v>7.4790176194582294</v>
      </c>
      <c r="G241" s="41">
        <v>11.793531250831535</v>
      </c>
      <c r="H241" s="41">
        <v>0.15917845458564048</v>
      </c>
      <c r="I241" s="41">
        <v>5.9429165519648066</v>
      </c>
      <c r="J241" s="41">
        <v>1.3462574912473935</v>
      </c>
      <c r="K241" s="41">
        <v>4.1746636068809257</v>
      </c>
      <c r="L241" s="41">
        <v>1.4121064104694159</v>
      </c>
      <c r="M241" s="41">
        <v>0.55965670091964459</v>
      </c>
      <c r="N241" s="42">
        <v>8.7041841901797187E-2</v>
      </c>
      <c r="O241" s="42" t="s">
        <v>39</v>
      </c>
      <c r="P241" s="42">
        <v>8.4576793500976605E-2</v>
      </c>
      <c r="Z241" s="43"/>
    </row>
    <row r="242" spans="1:26" ht="13.5" customHeight="1" x14ac:dyDescent="0.2">
      <c r="A242" s="39">
        <v>250</v>
      </c>
      <c r="B242" s="39" t="s">
        <v>264</v>
      </c>
      <c r="C242" s="40">
        <v>3</v>
      </c>
      <c r="D242" s="41" t="s">
        <v>39</v>
      </c>
      <c r="E242" s="41">
        <v>5.5024327255569103</v>
      </c>
      <c r="F242" s="41">
        <v>7.4955534727755113</v>
      </c>
      <c r="G242" s="41">
        <v>11.723252284937715</v>
      </c>
      <c r="H242" s="41">
        <v>0.16713327745306697</v>
      </c>
      <c r="I242" s="41">
        <v>5.7781781517006729</v>
      </c>
      <c r="J242" s="41">
        <v>1.2815386708624164</v>
      </c>
      <c r="K242" s="41">
        <v>4.4294690227627722</v>
      </c>
      <c r="L242" s="41">
        <v>1.2705152417803294</v>
      </c>
      <c r="M242" s="41">
        <v>0.61475890429779678</v>
      </c>
      <c r="N242" s="42">
        <v>5.812887776755013E-2</v>
      </c>
      <c r="O242" s="42" t="s">
        <v>39</v>
      </c>
      <c r="P242" s="42">
        <v>9.7780679340310456E-2</v>
      </c>
      <c r="Z242" s="43"/>
    </row>
    <row r="243" spans="1:26" ht="13.5" customHeight="1" x14ac:dyDescent="0.2">
      <c r="A243" s="39">
        <v>251</v>
      </c>
      <c r="B243" s="39" t="s">
        <v>265</v>
      </c>
      <c r="C243" s="40">
        <v>3</v>
      </c>
      <c r="D243" s="41" t="s">
        <v>39</v>
      </c>
      <c r="E243" s="41">
        <v>3.3804727482132102</v>
      </c>
      <c r="F243" s="41">
        <v>7.4068328019861029</v>
      </c>
      <c r="G243" s="41">
        <v>11.681189115594455</v>
      </c>
      <c r="H243" s="41">
        <v>0.21694545031332807</v>
      </c>
      <c r="I243" s="41">
        <v>5.7622374411537347</v>
      </c>
      <c r="J243" s="41">
        <v>1.4116295160670513</v>
      </c>
      <c r="K243" s="41">
        <v>4.4705424230546988</v>
      </c>
      <c r="L243" s="41">
        <v>1.4310925407475326</v>
      </c>
      <c r="M243" s="41">
        <v>0.5796652821004169</v>
      </c>
      <c r="N243" s="42">
        <v>5.8583825090328744E-2</v>
      </c>
      <c r="O243" s="42" t="s">
        <v>39</v>
      </c>
      <c r="P243" s="42">
        <v>0.12134353523964655</v>
      </c>
      <c r="Z243" s="43"/>
    </row>
    <row r="244" spans="1:26" ht="13.5" customHeight="1" x14ac:dyDescent="0.2">
      <c r="A244" s="39">
        <v>252</v>
      </c>
      <c r="B244" s="39" t="s">
        <v>266</v>
      </c>
      <c r="C244" s="40">
        <v>3</v>
      </c>
      <c r="D244" s="41">
        <v>0.64511305755244674</v>
      </c>
      <c r="E244" s="41">
        <v>14.875044585626895</v>
      </c>
      <c r="F244" s="41">
        <v>5.4923075089994393</v>
      </c>
      <c r="G244" s="41">
        <v>10.998780514649535</v>
      </c>
      <c r="H244" s="41">
        <v>0.33915298381862924</v>
      </c>
      <c r="I244" s="41">
        <v>6.0313426233710015</v>
      </c>
      <c r="J244" s="41">
        <v>1.3779578814913083</v>
      </c>
      <c r="K244" s="41">
        <v>5.5835772482023591</v>
      </c>
      <c r="L244" s="41">
        <v>0.72266872720801678</v>
      </c>
      <c r="M244" s="41">
        <v>0.28514221823425229</v>
      </c>
      <c r="N244" s="42">
        <v>5.4442224179910667E-2</v>
      </c>
      <c r="O244" s="42" t="s">
        <v>39</v>
      </c>
      <c r="P244" s="42">
        <v>8.739454185628176E-2</v>
      </c>
      <c r="Z244" s="43"/>
    </row>
    <row r="245" spans="1:26" ht="13.5" customHeight="1" x14ac:dyDescent="0.2">
      <c r="A245" s="39">
        <v>253</v>
      </c>
      <c r="B245" s="39" t="s">
        <v>267</v>
      </c>
      <c r="C245" s="40">
        <v>3</v>
      </c>
      <c r="D245" s="41">
        <v>0.46849678080131385</v>
      </c>
      <c r="E245" s="41">
        <v>12.851163114935972</v>
      </c>
      <c r="F245" s="41">
        <v>5.565278924844943</v>
      </c>
      <c r="G245" s="41">
        <v>10.815751102470715</v>
      </c>
      <c r="H245" s="41">
        <v>0.23284014548273702</v>
      </c>
      <c r="I245" s="41">
        <v>7.8940637664621729</v>
      </c>
      <c r="J245" s="41">
        <v>2.0602990763050979</v>
      </c>
      <c r="K245" s="41">
        <v>6.1583188347399016</v>
      </c>
      <c r="L245" s="41">
        <v>0.99094531340700964</v>
      </c>
      <c r="M245" s="41">
        <v>0.27890362776604927</v>
      </c>
      <c r="N245" s="42">
        <v>1.171031040142676E-2</v>
      </c>
      <c r="O245" s="42">
        <v>0.10358723276679521</v>
      </c>
      <c r="P245" s="42">
        <v>8.2562848537039796E-2</v>
      </c>
      <c r="Z245" s="43"/>
    </row>
    <row r="246" spans="1:26" ht="13.5" customHeight="1" x14ac:dyDescent="0.2">
      <c r="A246" s="39">
        <v>254</v>
      </c>
      <c r="B246" s="39" t="s">
        <v>268</v>
      </c>
      <c r="C246" s="40">
        <v>3</v>
      </c>
      <c r="D246" s="41">
        <v>0.47306016760786329</v>
      </c>
      <c r="E246" s="41">
        <v>13.320870814915651</v>
      </c>
      <c r="F246" s="41">
        <v>5.6206925118859452</v>
      </c>
      <c r="G246" s="41">
        <v>10.95323309362869</v>
      </c>
      <c r="H246" s="41">
        <v>0.37353497984397122</v>
      </c>
      <c r="I246" s="41">
        <v>7.8666617259066003</v>
      </c>
      <c r="J246" s="41">
        <v>2.0260863288906492</v>
      </c>
      <c r="K246" s="41">
        <v>6.1799031414488983</v>
      </c>
      <c r="L246" s="41">
        <v>0.86609255464636448</v>
      </c>
      <c r="M246" s="41">
        <v>0.29488746121943477</v>
      </c>
      <c r="N246" s="42">
        <v>1.232804114033203E-2</v>
      </c>
      <c r="O246" s="42" t="s">
        <v>39</v>
      </c>
      <c r="P246" s="42">
        <v>7.5182440573769785E-2</v>
      </c>
      <c r="Z246" s="43"/>
    </row>
    <row r="247" spans="1:26" ht="13.5" customHeight="1" x14ac:dyDescent="0.2">
      <c r="A247" s="39">
        <v>255</v>
      </c>
      <c r="B247" s="39" t="s">
        <v>269</v>
      </c>
      <c r="C247" s="40">
        <v>3</v>
      </c>
      <c r="D247" s="41">
        <v>3.8531971766713022</v>
      </c>
      <c r="E247" s="41">
        <v>27.594261070473326</v>
      </c>
      <c r="F247" s="41">
        <v>5.4898733327904141</v>
      </c>
      <c r="G247" s="41">
        <v>9.4772709517062275</v>
      </c>
      <c r="H247" s="41">
        <v>0.30189862908581966</v>
      </c>
      <c r="I247" s="41">
        <v>7.7521162665649026</v>
      </c>
      <c r="J247" s="41">
        <v>2.1684361058471193</v>
      </c>
      <c r="K247" s="41">
        <v>4.5594576071837185</v>
      </c>
      <c r="L247" s="41">
        <v>0.88844510982130542</v>
      </c>
      <c r="M247" s="41">
        <v>0.28629650422132513</v>
      </c>
      <c r="N247" s="42">
        <v>1.1881464025069306E-2</v>
      </c>
      <c r="O247" s="42">
        <v>0.12734302505475828</v>
      </c>
      <c r="P247" s="42">
        <v>0.11112312545614675</v>
      </c>
      <c r="Z247" s="43"/>
    </row>
    <row r="248" spans="1:26" ht="13.5" customHeight="1" x14ac:dyDescent="0.2">
      <c r="A248" s="39">
        <v>256</v>
      </c>
      <c r="B248" s="39" t="s">
        <v>270</v>
      </c>
      <c r="C248" s="40">
        <v>3</v>
      </c>
      <c r="D248" s="41">
        <v>4.913517139647074</v>
      </c>
      <c r="E248" s="41">
        <v>31.541242105658981</v>
      </c>
      <c r="F248" s="41">
        <v>5.6478418383624041</v>
      </c>
      <c r="G248" s="41">
        <v>9.6918012379851159</v>
      </c>
      <c r="H248" s="41">
        <v>0.29052963293000622</v>
      </c>
      <c r="I248" s="41">
        <v>5.8630673777910243</v>
      </c>
      <c r="J248" s="41">
        <v>1.2998388022406364</v>
      </c>
      <c r="K248" s="41">
        <v>4.3541571162275536</v>
      </c>
      <c r="L248" s="41">
        <v>0.85850359264545983</v>
      </c>
      <c r="M248" s="41">
        <v>0.27015860442981088</v>
      </c>
      <c r="N248" s="42">
        <v>4.5718986047518881E-2</v>
      </c>
      <c r="O248" s="42">
        <v>8.6580229894029442E-2</v>
      </c>
      <c r="P248" s="42">
        <v>9.323080073258036E-2</v>
      </c>
      <c r="Z248" s="43"/>
    </row>
    <row r="249" spans="1:26" ht="13.5" customHeight="1" x14ac:dyDescent="0.2">
      <c r="A249" s="39">
        <v>257</v>
      </c>
      <c r="B249" s="39" t="s">
        <v>271</v>
      </c>
      <c r="C249" s="40">
        <v>3</v>
      </c>
      <c r="D249" s="41">
        <v>4.2514553664025927</v>
      </c>
      <c r="E249" s="41">
        <v>29.553501647104049</v>
      </c>
      <c r="F249" s="41">
        <v>5.5495157807498856</v>
      </c>
      <c r="G249" s="41">
        <v>9.8582363563028075</v>
      </c>
      <c r="H249" s="41">
        <v>0.34766798202717303</v>
      </c>
      <c r="I249" s="41">
        <v>5.7702039957336382</v>
      </c>
      <c r="J249" s="41">
        <v>1.2189425373333074</v>
      </c>
      <c r="K249" s="41">
        <v>4.2865532593325488</v>
      </c>
      <c r="L249" s="41">
        <v>0.81283524037831811</v>
      </c>
      <c r="M249" s="41">
        <v>0.28388460195737097</v>
      </c>
      <c r="N249" s="42">
        <v>3.9820062427281352E-2</v>
      </c>
      <c r="O249" s="42">
        <v>0.12780229048436295</v>
      </c>
      <c r="P249" s="42">
        <v>9.3731674123707587E-2</v>
      </c>
      <c r="Z249" s="43"/>
    </row>
    <row r="250" spans="1:26" ht="13.5" customHeight="1" x14ac:dyDescent="0.2">
      <c r="A250" s="39">
        <v>258</v>
      </c>
      <c r="B250" s="39" t="s">
        <v>272</v>
      </c>
      <c r="C250" s="40">
        <v>3</v>
      </c>
      <c r="D250" s="41">
        <v>0.27814634152629863</v>
      </c>
      <c r="E250" s="41">
        <v>5.9595727817877915</v>
      </c>
      <c r="F250" s="41">
        <v>5.0467878707660159</v>
      </c>
      <c r="G250" s="41">
        <v>11.485039519600523</v>
      </c>
      <c r="H250" s="41">
        <v>0.25547250787715486</v>
      </c>
      <c r="I250" s="41">
        <v>5.7258241378492469</v>
      </c>
      <c r="J250" s="41">
        <v>1.4454536620776575</v>
      </c>
      <c r="K250" s="41">
        <v>5.6811190707636117</v>
      </c>
      <c r="L250" s="41">
        <v>0.70868482606543526</v>
      </c>
      <c r="M250" s="41">
        <v>0.44381848202137109</v>
      </c>
      <c r="N250" s="42">
        <v>6.2788554972773775E-2</v>
      </c>
      <c r="O250" s="42">
        <v>0.14792319358141359</v>
      </c>
      <c r="P250" s="42">
        <v>5.5820434728146545E-2</v>
      </c>
      <c r="Z250" s="43"/>
    </row>
    <row r="251" spans="1:26" ht="13.5" customHeight="1" x14ac:dyDescent="0.2">
      <c r="A251" s="39">
        <v>259</v>
      </c>
      <c r="B251" s="39" t="s">
        <v>273</v>
      </c>
      <c r="C251" s="40">
        <v>3</v>
      </c>
      <c r="D251" s="41" t="s">
        <v>39</v>
      </c>
      <c r="E251" s="41">
        <v>2.1784016688807846</v>
      </c>
      <c r="F251" s="41">
        <v>5.3552808995383891</v>
      </c>
      <c r="G251" s="41">
        <v>12.138073850511606</v>
      </c>
      <c r="H251" s="41">
        <v>0.25408821959339611</v>
      </c>
      <c r="I251" s="41">
        <v>5.8285762172684965</v>
      </c>
      <c r="J251" s="41">
        <v>1.3814559748635147</v>
      </c>
      <c r="K251" s="41">
        <v>5.5997143128941183</v>
      </c>
      <c r="L251" s="41">
        <v>0.74540860197096648</v>
      </c>
      <c r="M251" s="41">
        <v>0.46815866435208336</v>
      </c>
      <c r="N251" s="42">
        <v>6.0075452149521258E-2</v>
      </c>
      <c r="O251" s="42">
        <v>0.12669900871726883</v>
      </c>
      <c r="P251" s="42">
        <v>6.0443444199116139E-2</v>
      </c>
      <c r="Z251" s="43"/>
    </row>
    <row r="252" spans="1:26" ht="13.5" customHeight="1" x14ac:dyDescent="0.2">
      <c r="A252" s="39">
        <v>260</v>
      </c>
      <c r="B252" s="39" t="s">
        <v>274</v>
      </c>
      <c r="C252" s="40">
        <v>3</v>
      </c>
      <c r="D252" s="41">
        <v>0.4645951574926096</v>
      </c>
      <c r="E252" s="41">
        <v>7.6733569110852393</v>
      </c>
      <c r="F252" s="41">
        <v>5.2329412033756508</v>
      </c>
      <c r="G252" s="41">
        <v>11.449327501170568</v>
      </c>
      <c r="H252" s="41">
        <v>0.31840468009161982</v>
      </c>
      <c r="I252" s="41">
        <v>5.6706129785553516</v>
      </c>
      <c r="J252" s="41">
        <v>1.3997950547608242</v>
      </c>
      <c r="K252" s="41">
        <v>5.8819879185427952</v>
      </c>
      <c r="L252" s="41">
        <v>0.77787393699873142</v>
      </c>
      <c r="M252" s="41">
        <v>0.50375100890362656</v>
      </c>
      <c r="N252" s="42">
        <v>5.273067746581668E-2</v>
      </c>
      <c r="O252" s="42" t="s">
        <v>39</v>
      </c>
      <c r="P252" s="42">
        <v>4.8671446206374092E-2</v>
      </c>
      <c r="Z252" s="43"/>
    </row>
    <row r="253" spans="1:26" ht="13.5" customHeight="1" x14ac:dyDescent="0.2">
      <c r="A253" s="39">
        <v>261</v>
      </c>
      <c r="B253" s="39" t="s">
        <v>275</v>
      </c>
      <c r="C253" s="40">
        <v>3</v>
      </c>
      <c r="D253" s="41">
        <v>21.256544101263039</v>
      </c>
      <c r="E253" s="41">
        <v>46.960279257113747</v>
      </c>
      <c r="F253" s="41">
        <v>5.2498951791721504</v>
      </c>
      <c r="G253" s="41">
        <v>7.4305331642156993</v>
      </c>
      <c r="H253" s="41">
        <v>0.34017569142635073</v>
      </c>
      <c r="I253" s="41">
        <v>5.6379313011303651</v>
      </c>
      <c r="J253" s="41">
        <v>1.2895980448557121</v>
      </c>
      <c r="K253" s="41">
        <v>4.5176325728463542</v>
      </c>
      <c r="L253" s="41">
        <v>0.9526686508507376</v>
      </c>
      <c r="M253" s="41">
        <v>0.30739140473947424</v>
      </c>
      <c r="N253" s="42">
        <v>5.0065040304742812E-2</v>
      </c>
      <c r="O253" s="42">
        <v>0.10259279771938132</v>
      </c>
      <c r="P253" s="42">
        <v>0.1001971770691101</v>
      </c>
      <c r="Z253" s="43"/>
    </row>
    <row r="254" spans="1:26" ht="13.5" customHeight="1" x14ac:dyDescent="0.2">
      <c r="A254" s="39">
        <v>262</v>
      </c>
      <c r="B254" s="39" t="s">
        <v>276</v>
      </c>
      <c r="C254" s="40">
        <v>3</v>
      </c>
      <c r="D254" s="41">
        <v>22.117062170734595</v>
      </c>
      <c r="E254" s="41">
        <v>48.056709998479761</v>
      </c>
      <c r="F254" s="41">
        <v>5.2210808486731795</v>
      </c>
      <c r="G254" s="41">
        <v>7.4775297932791789</v>
      </c>
      <c r="H254" s="41">
        <v>0.31405734575924993</v>
      </c>
      <c r="I254" s="41">
        <v>5.8430004801031288</v>
      </c>
      <c r="J254" s="41">
        <v>1.4023666585102963</v>
      </c>
      <c r="K254" s="41">
        <v>4.6680647437235283</v>
      </c>
      <c r="L254" s="41">
        <v>0.9398271864885448</v>
      </c>
      <c r="M254" s="41">
        <v>0.31916328637315522</v>
      </c>
      <c r="N254" s="42">
        <v>5.2728318987118723E-2</v>
      </c>
      <c r="O254" s="42">
        <v>0.12460166531745634</v>
      </c>
      <c r="P254" s="42" t="s">
        <v>39</v>
      </c>
      <c r="Z254" s="43"/>
    </row>
    <row r="255" spans="1:26" ht="13.5" customHeight="1" x14ac:dyDescent="0.2">
      <c r="A255" s="39">
        <v>263</v>
      </c>
      <c r="B255" s="39" t="s">
        <v>277</v>
      </c>
      <c r="C255" s="40">
        <v>3</v>
      </c>
      <c r="D255" s="41">
        <v>22.384132159318433</v>
      </c>
      <c r="E255" s="41">
        <v>48.032324472403779</v>
      </c>
      <c r="F255" s="41">
        <v>5.2143464413749605</v>
      </c>
      <c r="G255" s="41">
        <v>7.2412743438348777</v>
      </c>
      <c r="H255" s="41">
        <v>0.31420758027274198</v>
      </c>
      <c r="I255" s="41">
        <v>5.8262931624688274</v>
      </c>
      <c r="J255" s="41">
        <v>1.4902729067134708</v>
      </c>
      <c r="K255" s="41">
        <v>4.7896796293676616</v>
      </c>
      <c r="L255" s="41">
        <v>1.0346398740316509</v>
      </c>
      <c r="M255" s="41">
        <v>0.35318194000998843</v>
      </c>
      <c r="N255" s="42">
        <v>5.2940389571221817E-2</v>
      </c>
      <c r="O255" s="42">
        <v>0.1462765432214484</v>
      </c>
      <c r="P255" s="42" t="s">
        <v>39</v>
      </c>
      <c r="Z255" s="43"/>
    </row>
    <row r="256" spans="1:26" ht="13.5" customHeight="1" x14ac:dyDescent="0.2">
      <c r="A256" s="39">
        <v>264</v>
      </c>
      <c r="B256" s="39" t="s">
        <v>278</v>
      </c>
      <c r="C256" s="40">
        <v>3</v>
      </c>
      <c r="D256" s="41">
        <v>2.9207563916649173</v>
      </c>
      <c r="E256" s="41">
        <v>26.200818765935725</v>
      </c>
      <c r="F256" s="41">
        <v>5.4210720792804388</v>
      </c>
      <c r="G256" s="41">
        <v>10.064801095766548</v>
      </c>
      <c r="H256" s="41">
        <v>0.27856103482952754</v>
      </c>
      <c r="I256" s="41">
        <v>6.453454141216131</v>
      </c>
      <c r="J256" s="41">
        <v>1.3936278822471158</v>
      </c>
      <c r="K256" s="41">
        <v>4.8909825913003626</v>
      </c>
      <c r="L256" s="41">
        <v>1.0895481829685418</v>
      </c>
      <c r="M256" s="41">
        <v>0.29231237872536175</v>
      </c>
      <c r="N256" s="42">
        <v>4.4607045213641075E-2</v>
      </c>
      <c r="O256" s="42">
        <v>0.11887435960108936</v>
      </c>
      <c r="P256" s="42">
        <v>0.11205925649582174</v>
      </c>
      <c r="Z256" s="43"/>
    </row>
    <row r="257" spans="1:26" ht="13.5" customHeight="1" x14ac:dyDescent="0.2">
      <c r="A257" s="39">
        <v>265</v>
      </c>
      <c r="B257" s="39" t="s">
        <v>279</v>
      </c>
      <c r="C257" s="40">
        <v>3</v>
      </c>
      <c r="D257" s="41">
        <v>3.9630293126946743</v>
      </c>
      <c r="E257" s="41">
        <v>29.521420567886768</v>
      </c>
      <c r="F257" s="41">
        <v>5.1500791775739723</v>
      </c>
      <c r="G257" s="41">
        <v>9.6793700178469617</v>
      </c>
      <c r="H257" s="41">
        <v>0.34000851509614094</v>
      </c>
      <c r="I257" s="41">
        <v>6.0184231252971934</v>
      </c>
      <c r="J257" s="41">
        <v>1.2391503396810881</v>
      </c>
      <c r="K257" s="41">
        <v>4.6504568042285355</v>
      </c>
      <c r="L257" s="41">
        <v>0.92318791904922848</v>
      </c>
      <c r="M257" s="41">
        <v>0.24648350297602117</v>
      </c>
      <c r="N257" s="42">
        <v>4.2075593205170125E-2</v>
      </c>
      <c r="O257" s="42">
        <v>0.1126867241576551</v>
      </c>
      <c r="P257" s="42">
        <v>0.10021877449106048</v>
      </c>
      <c r="Z257" s="43"/>
    </row>
    <row r="258" spans="1:26" ht="13.5" customHeight="1" x14ac:dyDescent="0.2">
      <c r="A258" s="39">
        <v>266</v>
      </c>
      <c r="B258" s="39" t="s">
        <v>280</v>
      </c>
      <c r="C258" s="40">
        <v>3</v>
      </c>
      <c r="D258" s="41">
        <v>1.9291197586561704</v>
      </c>
      <c r="E258" s="41">
        <v>21.338180857392697</v>
      </c>
      <c r="F258" s="41">
        <v>5.4563684931101077</v>
      </c>
      <c r="G258" s="41">
        <v>10.261775272996172</v>
      </c>
      <c r="H258" s="41">
        <v>0.35984052980959924</v>
      </c>
      <c r="I258" s="41">
        <v>5.8428525014357326</v>
      </c>
      <c r="J258" s="41">
        <v>1.1571220987579625</v>
      </c>
      <c r="K258" s="41">
        <v>4.7302771641635744</v>
      </c>
      <c r="L258" s="41">
        <v>0.99554130224721626</v>
      </c>
      <c r="M258" s="41">
        <v>0.24809186458098298</v>
      </c>
      <c r="N258" s="42">
        <v>4.2744448351929462E-2</v>
      </c>
      <c r="O258" s="42">
        <v>9.360581798257453E-2</v>
      </c>
      <c r="P258" s="42">
        <v>0.10483495467197962</v>
      </c>
      <c r="Z258" s="43"/>
    </row>
    <row r="259" spans="1:26" ht="13.5" customHeight="1" x14ac:dyDescent="0.2">
      <c r="A259" s="39">
        <v>267</v>
      </c>
      <c r="B259" s="39" t="s">
        <v>281</v>
      </c>
      <c r="C259" s="40">
        <v>3</v>
      </c>
      <c r="D259" s="41">
        <v>0.29469772460959953</v>
      </c>
      <c r="E259" s="41">
        <v>11.240555777417917</v>
      </c>
      <c r="F259" s="41">
        <v>6.615034946295216</v>
      </c>
      <c r="G259" s="41">
        <v>10.488413153769972</v>
      </c>
      <c r="H259" s="41">
        <v>0.15182743986625855</v>
      </c>
      <c r="I259" s="41">
        <v>5.3836008981659385</v>
      </c>
      <c r="J259" s="41">
        <v>1.1989373933569873</v>
      </c>
      <c r="K259" s="41">
        <v>5.3923897733141555</v>
      </c>
      <c r="L259" s="41">
        <v>1.3920170414829589</v>
      </c>
      <c r="M259" s="41">
        <v>0.53775273889507158</v>
      </c>
      <c r="N259" s="42">
        <v>5.0699285074315113E-2</v>
      </c>
      <c r="O259" s="42" t="s">
        <v>39</v>
      </c>
      <c r="P259" s="42">
        <v>8.954091918209979E-2</v>
      </c>
      <c r="Z259" s="43"/>
    </row>
    <row r="260" spans="1:26" ht="13.5" customHeight="1" x14ac:dyDescent="0.2">
      <c r="A260" s="39">
        <v>268</v>
      </c>
      <c r="B260" s="39" t="s">
        <v>282</v>
      </c>
      <c r="C260" s="40">
        <v>3</v>
      </c>
      <c r="D260" s="41">
        <v>0.15371729677198459</v>
      </c>
      <c r="E260" s="41">
        <v>9.7474821015507995</v>
      </c>
      <c r="F260" s="41">
        <v>6.7995357740636999</v>
      </c>
      <c r="G260" s="41">
        <v>10.723052955708319</v>
      </c>
      <c r="H260" s="41">
        <v>0.17226811824092536</v>
      </c>
      <c r="I260" s="41">
        <v>5.3332631837998061</v>
      </c>
      <c r="J260" s="41">
        <v>1.217276778117403</v>
      </c>
      <c r="K260" s="41">
        <v>5.4178020324678968</v>
      </c>
      <c r="L260" s="41">
        <v>1.5183811269692029</v>
      </c>
      <c r="M260" s="41">
        <v>0.58541365110594568</v>
      </c>
      <c r="N260" s="42">
        <v>4.7002428828605544E-2</v>
      </c>
      <c r="O260" s="42" t="s">
        <v>39</v>
      </c>
      <c r="P260" s="42">
        <v>0.10484757398231154</v>
      </c>
      <c r="Z260" s="43"/>
    </row>
    <row r="261" spans="1:26" ht="13.5" customHeight="1" x14ac:dyDescent="0.2">
      <c r="A261" s="39">
        <v>269</v>
      </c>
      <c r="B261" s="39" t="s">
        <v>283</v>
      </c>
      <c r="C261" s="40">
        <v>3</v>
      </c>
      <c r="D261" s="41">
        <v>0.33679801721878311</v>
      </c>
      <c r="E261" s="41">
        <v>11.842033333796799</v>
      </c>
      <c r="F261" s="41">
        <v>6.7558076137759073</v>
      </c>
      <c r="G261" s="41">
        <v>10.721480779179222</v>
      </c>
      <c r="H261" s="41">
        <v>0.19800260205479192</v>
      </c>
      <c r="I261" s="41">
        <v>5.5042418789876546</v>
      </c>
      <c r="J261" s="41">
        <v>1.2232465708490672</v>
      </c>
      <c r="K261" s="41">
        <v>5.4822864519251073</v>
      </c>
      <c r="L261" s="41">
        <v>1.4194334119121788</v>
      </c>
      <c r="M261" s="41">
        <v>0.5061297020461959</v>
      </c>
      <c r="N261" s="42">
        <v>5.3921939056772464E-2</v>
      </c>
      <c r="O261" s="42" t="s">
        <v>39</v>
      </c>
      <c r="P261" s="42">
        <v>0.1066542204579515</v>
      </c>
      <c r="Z261" s="43"/>
    </row>
    <row r="262" spans="1:26" ht="13.5" customHeight="1" x14ac:dyDescent="0.2">
      <c r="A262" s="39">
        <v>270</v>
      </c>
      <c r="B262" s="39" t="s">
        <v>284</v>
      </c>
      <c r="C262" s="40">
        <v>3</v>
      </c>
      <c r="D262" s="41">
        <v>7.2145402444208511</v>
      </c>
      <c r="E262" s="41">
        <v>35.273092870875459</v>
      </c>
      <c r="F262" s="41">
        <v>5.368618087509974</v>
      </c>
      <c r="G262" s="41">
        <v>8.7117041238486745</v>
      </c>
      <c r="H262" s="41">
        <v>0.81145065736160826</v>
      </c>
      <c r="I262" s="41">
        <v>5.5882952898071352</v>
      </c>
      <c r="J262" s="41">
        <v>1.1630756907995008</v>
      </c>
      <c r="K262" s="41">
        <v>4.0026060909919146</v>
      </c>
      <c r="L262" s="41">
        <v>0.41095443214342481</v>
      </c>
      <c r="M262" s="41">
        <v>0.34121209171702083</v>
      </c>
      <c r="N262" s="42">
        <v>2.2782023897112594E-2</v>
      </c>
      <c r="O262" s="42">
        <v>0.12297384581018403</v>
      </c>
      <c r="P262" s="42">
        <v>8.8086582460351975E-2</v>
      </c>
      <c r="Z262" s="43"/>
    </row>
    <row r="263" spans="1:26" ht="13.5" customHeight="1" x14ac:dyDescent="0.2">
      <c r="A263" s="39">
        <v>271</v>
      </c>
      <c r="B263" s="39" t="s">
        <v>285</v>
      </c>
      <c r="C263" s="40">
        <v>3</v>
      </c>
      <c r="D263" s="41">
        <v>9.4748857362654419</v>
      </c>
      <c r="E263" s="41">
        <v>39.176976327849701</v>
      </c>
      <c r="F263" s="41">
        <v>5.4172807006302541</v>
      </c>
      <c r="G263" s="41">
        <v>8.6083431795972203</v>
      </c>
      <c r="H263" s="41">
        <v>0.85555589024531797</v>
      </c>
      <c r="I263" s="41">
        <v>6.2877461810189432</v>
      </c>
      <c r="J263" s="41">
        <v>1.4548099430935155</v>
      </c>
      <c r="K263" s="41">
        <v>4.5788273945849802</v>
      </c>
      <c r="L263" s="41">
        <v>0.48459560530587575</v>
      </c>
      <c r="M263" s="41">
        <v>0.38633776616020132</v>
      </c>
      <c r="N263" s="42">
        <v>2.117644499268858E-2</v>
      </c>
      <c r="O263" s="42">
        <v>0.12402994350945207</v>
      </c>
      <c r="P263" s="42">
        <v>8.077258240802962E-2</v>
      </c>
      <c r="Z263" s="43"/>
    </row>
    <row r="264" spans="1:26" ht="13.5" customHeight="1" x14ac:dyDescent="0.2">
      <c r="A264" s="39">
        <v>272</v>
      </c>
      <c r="B264" s="39" t="s">
        <v>286</v>
      </c>
      <c r="C264" s="40">
        <v>3</v>
      </c>
      <c r="D264" s="41">
        <v>11.089577393817667</v>
      </c>
      <c r="E264" s="41">
        <v>40.146809736778586</v>
      </c>
      <c r="F264" s="41">
        <v>5.2115446208460527</v>
      </c>
      <c r="G264" s="41">
        <v>7.9972601849984688</v>
      </c>
      <c r="H264" s="41">
        <v>0.94906889761776614</v>
      </c>
      <c r="I264" s="41">
        <v>6.2249321384779934</v>
      </c>
      <c r="J264" s="41">
        <v>1.4839242266791555</v>
      </c>
      <c r="K264" s="41">
        <v>4.4533854987759103</v>
      </c>
      <c r="L264" s="41">
        <v>0.4874403963791325</v>
      </c>
      <c r="M264" s="41">
        <v>0.37037334740180328</v>
      </c>
      <c r="N264" s="42">
        <v>2.3567227423677783E-2</v>
      </c>
      <c r="O264" s="42" t="s">
        <v>39</v>
      </c>
      <c r="P264" s="42">
        <v>8.458554968763024E-2</v>
      </c>
      <c r="Z264" s="43"/>
    </row>
    <row r="265" spans="1:26" ht="13.5" customHeight="1" x14ac:dyDescent="0.2">
      <c r="A265" s="39">
        <v>273</v>
      </c>
      <c r="B265" s="39" t="s">
        <v>287</v>
      </c>
      <c r="C265" s="40">
        <v>3</v>
      </c>
      <c r="D265" s="41" t="s">
        <v>39</v>
      </c>
      <c r="E265" s="41">
        <v>4.5597126240495882</v>
      </c>
      <c r="F265" s="41">
        <v>7.1803429391052251</v>
      </c>
      <c r="G265" s="41">
        <v>11.557191754169484</v>
      </c>
      <c r="H265" s="41">
        <v>0.32128280163660222</v>
      </c>
      <c r="I265" s="41">
        <v>6.2126917510955142</v>
      </c>
      <c r="J265" s="41">
        <v>1.7142115404260132</v>
      </c>
      <c r="K265" s="41">
        <v>5.936922899269911</v>
      </c>
      <c r="L265" s="41">
        <v>1.5136109343798663</v>
      </c>
      <c r="M265" s="41">
        <v>0.77391141599367219</v>
      </c>
      <c r="N265" s="42">
        <v>5.602842046839096E-2</v>
      </c>
      <c r="O265" s="42" t="s">
        <v>39</v>
      </c>
      <c r="P265" s="42">
        <v>9.549070548545513E-2</v>
      </c>
      <c r="Z265" s="43"/>
    </row>
    <row r="266" spans="1:26" ht="13.5" customHeight="1" x14ac:dyDescent="0.2">
      <c r="A266" s="39">
        <v>274</v>
      </c>
      <c r="B266" s="39" t="s">
        <v>288</v>
      </c>
      <c r="C266" s="40">
        <v>3</v>
      </c>
      <c r="D266" s="41">
        <v>5.6909518797489442E-2</v>
      </c>
      <c r="E266" s="41">
        <v>8.1440876329211278</v>
      </c>
      <c r="F266" s="41">
        <v>7.2139934317927725</v>
      </c>
      <c r="G266" s="41">
        <v>11.539333506547525</v>
      </c>
      <c r="H266" s="41">
        <v>0.37140899641238495</v>
      </c>
      <c r="I266" s="41">
        <v>5.4946379439583604</v>
      </c>
      <c r="J266" s="41">
        <v>1.1715942356991409</v>
      </c>
      <c r="K266" s="41">
        <v>4.9373666055883714</v>
      </c>
      <c r="L266" s="41">
        <v>1.3023954446507855</v>
      </c>
      <c r="M266" s="41">
        <v>0.66534791850652653</v>
      </c>
      <c r="N266" s="42">
        <v>2.6264713748628692E-2</v>
      </c>
      <c r="O266" s="42">
        <v>0.11497144363351672</v>
      </c>
      <c r="P266" s="42">
        <v>9.6400662207390492E-2</v>
      </c>
      <c r="Z266" s="43"/>
    </row>
    <row r="267" spans="1:26" ht="13.5" customHeight="1" x14ac:dyDescent="0.2">
      <c r="A267" s="39">
        <v>275</v>
      </c>
      <c r="B267" s="39" t="s">
        <v>289</v>
      </c>
      <c r="C267" s="40">
        <v>3</v>
      </c>
      <c r="D267" s="41">
        <v>9.6421187997804136E-4</v>
      </c>
      <c r="E267" s="41">
        <v>6.2526896725335135</v>
      </c>
      <c r="F267" s="41">
        <v>7.4769792352375273</v>
      </c>
      <c r="G267" s="41">
        <v>11.572235364078827</v>
      </c>
      <c r="H267" s="41">
        <v>0.33240282688186035</v>
      </c>
      <c r="I267" s="41">
        <v>5.4769069081480195</v>
      </c>
      <c r="J267" s="41">
        <v>1.2448715761342588</v>
      </c>
      <c r="K267" s="41">
        <v>4.910608877029679</v>
      </c>
      <c r="L267" s="41" t="s">
        <v>39</v>
      </c>
      <c r="M267" s="41">
        <v>0.66963309937009763</v>
      </c>
      <c r="N267" s="42">
        <v>2.6386288229484571E-2</v>
      </c>
      <c r="O267" s="42">
        <v>0.11058672963204294</v>
      </c>
      <c r="P267" s="42">
        <v>0.11355720146344642</v>
      </c>
      <c r="Z267" s="43"/>
    </row>
    <row r="268" spans="1:26" ht="13.5" customHeight="1" x14ac:dyDescent="0.2">
      <c r="A268" s="39">
        <v>276</v>
      </c>
      <c r="B268" s="39" t="s">
        <v>290</v>
      </c>
      <c r="C268" s="40">
        <v>3</v>
      </c>
      <c r="D268" s="41">
        <v>0.20010992056279128</v>
      </c>
      <c r="E268" s="41">
        <v>5.3146253236389347</v>
      </c>
      <c r="F268" s="41">
        <v>5.1410033516884264</v>
      </c>
      <c r="G268" s="41">
        <v>11.495139529256596</v>
      </c>
      <c r="H268" s="41">
        <v>0.47797096396134542</v>
      </c>
      <c r="I268" s="41">
        <v>5.2473128820507258</v>
      </c>
      <c r="J268" s="41">
        <v>0.87840355976139917</v>
      </c>
      <c r="K268" s="41">
        <v>5.712362201114523</v>
      </c>
      <c r="L268" s="41" t="s">
        <v>39</v>
      </c>
      <c r="M268" s="41">
        <v>0.54696912095284989</v>
      </c>
      <c r="N268" s="42">
        <v>2.6431336292392388E-2</v>
      </c>
      <c r="O268" s="42">
        <v>0.11201448445527937</v>
      </c>
      <c r="P268" s="42">
        <v>4.2658836693543478E-2</v>
      </c>
      <c r="Z268" s="43"/>
    </row>
    <row r="269" spans="1:26" ht="13.5" customHeight="1" x14ac:dyDescent="0.2">
      <c r="A269" s="39">
        <v>277</v>
      </c>
      <c r="B269" s="39" t="s">
        <v>291</v>
      </c>
      <c r="C269" s="40">
        <v>3</v>
      </c>
      <c r="D269" s="41">
        <v>4.1061928043861524</v>
      </c>
      <c r="E269" s="41">
        <v>22.121652342985271</v>
      </c>
      <c r="F269" s="41">
        <v>4.8748268602042391</v>
      </c>
      <c r="G269" s="41">
        <v>10.670705761941326</v>
      </c>
      <c r="H269" s="41">
        <v>0.71889329696407533</v>
      </c>
      <c r="I269" s="41">
        <v>5.3849833285893727</v>
      </c>
      <c r="J269" s="41">
        <v>0.84932898169106974</v>
      </c>
      <c r="K269" s="41">
        <v>5.4737349723371445</v>
      </c>
      <c r="L269" s="41" t="s">
        <v>39</v>
      </c>
      <c r="M269" s="41">
        <v>2.4263740987807525</v>
      </c>
      <c r="N269" s="42">
        <v>2.0314504798665561E-2</v>
      </c>
      <c r="O269" s="42">
        <v>9.5108653802477433E-2</v>
      </c>
      <c r="P269" s="42">
        <v>0.1011996341819445</v>
      </c>
      <c r="Z269" s="43"/>
    </row>
    <row r="270" spans="1:26" ht="13.5" customHeight="1" x14ac:dyDescent="0.2">
      <c r="A270" s="39">
        <v>278</v>
      </c>
      <c r="B270" s="39" t="s">
        <v>292</v>
      </c>
      <c r="C270" s="40">
        <v>3</v>
      </c>
      <c r="D270" s="41">
        <v>5.5226335010140026</v>
      </c>
      <c r="E270" s="41">
        <v>24.854711290583644</v>
      </c>
      <c r="F270" s="41">
        <v>4.7291365838390007</v>
      </c>
      <c r="G270" s="41">
        <v>10.193013686040935</v>
      </c>
      <c r="H270" s="41">
        <v>0.92039398413270224</v>
      </c>
      <c r="I270" s="41">
        <v>5.3225463582696371</v>
      </c>
      <c r="J270" s="41">
        <v>0.78829680094438603</v>
      </c>
      <c r="K270" s="41">
        <v>4.4826978582967625</v>
      </c>
      <c r="L270" s="41" t="s">
        <v>39</v>
      </c>
      <c r="M270" s="41">
        <v>4.4106890315547416</v>
      </c>
      <c r="N270" s="42">
        <v>1.9420296031417712E-2</v>
      </c>
      <c r="O270" s="42">
        <v>9.3127228115198024E-2</v>
      </c>
      <c r="P270" s="42">
        <v>0.11537914946904973</v>
      </c>
      <c r="Z270" s="43"/>
    </row>
    <row r="271" spans="1:26" ht="13.5" customHeight="1" x14ac:dyDescent="0.2">
      <c r="A271" s="39">
        <v>279</v>
      </c>
      <c r="B271" s="39" t="s">
        <v>293</v>
      </c>
      <c r="C271" s="40">
        <v>3</v>
      </c>
      <c r="D271" s="41">
        <v>25.254545227986625</v>
      </c>
      <c r="E271" s="41">
        <v>52.532745777556315</v>
      </c>
      <c r="F271" s="41">
        <v>5.6535523119415219</v>
      </c>
      <c r="G271" s="41">
        <v>7.236766337291904</v>
      </c>
      <c r="H271" s="41">
        <v>1.0814687508012939</v>
      </c>
      <c r="I271" s="41">
        <v>5.470791306813557</v>
      </c>
      <c r="J271" s="41">
        <v>0.86696187338601316</v>
      </c>
      <c r="K271" s="41">
        <v>4.1991336535722557</v>
      </c>
      <c r="L271" s="41" t="s">
        <v>39</v>
      </c>
      <c r="M271" s="41">
        <v>2.4313863924294807</v>
      </c>
      <c r="N271" s="42">
        <v>2.3810724945073695E-2</v>
      </c>
      <c r="O271" s="42">
        <v>0.10713687901531699</v>
      </c>
      <c r="P271" s="42">
        <v>0.17548037378768952</v>
      </c>
      <c r="Z271" s="43"/>
    </row>
    <row r="272" spans="1:26" ht="13.5" customHeight="1" x14ac:dyDescent="0.2">
      <c r="A272" s="39">
        <v>280</v>
      </c>
      <c r="B272" s="39" t="s">
        <v>294</v>
      </c>
      <c r="C272" s="40">
        <v>3</v>
      </c>
      <c r="D272" s="41">
        <v>29.067314379064214</v>
      </c>
      <c r="E272" s="41">
        <v>54.773389214091097</v>
      </c>
      <c r="F272" s="41">
        <v>5.0954995554631717</v>
      </c>
      <c r="G272" s="41">
        <v>6.6259247064380702</v>
      </c>
      <c r="H272" s="41">
        <v>0.87454058440121496</v>
      </c>
      <c r="I272" s="41">
        <v>5.3733073554787518</v>
      </c>
      <c r="J272" s="41">
        <v>0.8118830437628638</v>
      </c>
      <c r="K272" s="41">
        <v>4.1036762643315292</v>
      </c>
      <c r="L272" s="41" t="s">
        <v>39</v>
      </c>
      <c r="M272" s="41">
        <v>1.7456333122897645</v>
      </c>
      <c r="N272" s="42">
        <v>2.2571744095457397E-2</v>
      </c>
      <c r="O272" s="42">
        <v>8.5409069926610404E-2</v>
      </c>
      <c r="P272" s="42" t="s">
        <v>39</v>
      </c>
      <c r="Z272" s="43"/>
    </row>
    <row r="273" spans="1:26" ht="13.5" customHeight="1" x14ac:dyDescent="0.2">
      <c r="A273" s="39">
        <v>281</v>
      </c>
      <c r="B273" s="39" t="s">
        <v>295</v>
      </c>
      <c r="C273" s="40">
        <v>3</v>
      </c>
      <c r="D273" s="41">
        <v>22.528539342818142</v>
      </c>
      <c r="E273" s="41">
        <v>48.603407266577115</v>
      </c>
      <c r="F273" s="41">
        <v>5.448476111804152</v>
      </c>
      <c r="G273" s="41">
        <v>7.2598487064806818</v>
      </c>
      <c r="H273" s="41">
        <v>0.89326959585853738</v>
      </c>
      <c r="I273" s="41">
        <v>5.3456492891757934</v>
      </c>
      <c r="J273" s="41">
        <v>0.84282253492296877</v>
      </c>
      <c r="K273" s="41">
        <v>4.1173004937695614</v>
      </c>
      <c r="L273" s="41" t="s">
        <v>39</v>
      </c>
      <c r="M273" s="41">
        <v>2.7478127421403125</v>
      </c>
      <c r="N273" s="42">
        <v>2.3965045600082835E-2</v>
      </c>
      <c r="O273" s="42">
        <v>7.5838114359664005E-2</v>
      </c>
      <c r="P273" s="42">
        <v>0.14283008742462355</v>
      </c>
      <c r="Z273" s="43"/>
    </row>
    <row r="274" spans="1:26" ht="13.5" customHeight="1" x14ac:dyDescent="0.2">
      <c r="A274" s="39">
        <v>282</v>
      </c>
      <c r="B274" s="39" t="s">
        <v>296</v>
      </c>
      <c r="C274" s="40">
        <v>3</v>
      </c>
      <c r="D274" s="41" t="s">
        <v>39</v>
      </c>
      <c r="E274" s="41" t="s">
        <v>39</v>
      </c>
      <c r="F274" s="41">
        <v>7.1883862252211159</v>
      </c>
      <c r="G274" s="41">
        <v>11.475268066660437</v>
      </c>
      <c r="H274" s="41">
        <v>2.9094194906874997</v>
      </c>
      <c r="I274" s="41">
        <v>5.0130027859387676</v>
      </c>
      <c r="J274" s="41">
        <v>0.8524334597106239</v>
      </c>
      <c r="K274" s="41">
        <v>3.8252311631167011</v>
      </c>
      <c r="L274" s="41" t="s">
        <v>39</v>
      </c>
      <c r="M274" s="41">
        <v>0.45604907054480914</v>
      </c>
      <c r="N274" s="42">
        <v>1.9497618020106078E-2</v>
      </c>
      <c r="O274" s="42">
        <v>1.4856110674471498E-3</v>
      </c>
      <c r="P274" s="42">
        <v>0.10031179625477214</v>
      </c>
      <c r="Z274" s="43"/>
    </row>
    <row r="275" spans="1:26" ht="13.5" customHeight="1" x14ac:dyDescent="0.2">
      <c r="A275" s="39">
        <v>283</v>
      </c>
      <c r="B275" s="39" t="s">
        <v>297</v>
      </c>
      <c r="C275" s="40">
        <v>3</v>
      </c>
      <c r="D275" s="41" t="s">
        <v>39</v>
      </c>
      <c r="E275" s="41">
        <v>1.1072554589061978</v>
      </c>
      <c r="F275" s="41">
        <v>7.4692495470501452</v>
      </c>
      <c r="G275" s="41">
        <v>11.874491331387823</v>
      </c>
      <c r="H275" s="41">
        <v>0.2668318456066695</v>
      </c>
      <c r="I275" s="41">
        <v>5.1596657088677897</v>
      </c>
      <c r="J275" s="41">
        <v>0.92196486227284613</v>
      </c>
      <c r="K275" s="41">
        <v>3.9792011486051067</v>
      </c>
      <c r="L275" s="41" t="s">
        <v>39</v>
      </c>
      <c r="M275" s="41">
        <v>0.61620130996087641</v>
      </c>
      <c r="N275" s="42">
        <v>2.0161739952418323E-2</v>
      </c>
      <c r="O275" s="42">
        <v>1.7141069406105942E-2</v>
      </c>
      <c r="P275" s="42">
        <v>9.1555199589677602E-2</v>
      </c>
      <c r="Z275" s="43"/>
    </row>
    <row r="276" spans="1:26" ht="13.5" customHeight="1" x14ac:dyDescent="0.2">
      <c r="A276" s="39">
        <v>284</v>
      </c>
      <c r="B276" s="39" t="s">
        <v>298</v>
      </c>
      <c r="C276" s="40">
        <v>3</v>
      </c>
      <c r="D276" s="41" t="s">
        <v>39</v>
      </c>
      <c r="E276" s="41" t="s">
        <v>39</v>
      </c>
      <c r="F276" s="41">
        <v>7.5761992200898032</v>
      </c>
      <c r="G276" s="41">
        <v>11.894663962050014</v>
      </c>
      <c r="H276" s="41">
        <v>0.26085993857303813</v>
      </c>
      <c r="I276" s="41">
        <v>5.2112438918489925</v>
      </c>
      <c r="J276" s="41">
        <v>0.89595340992383621</v>
      </c>
      <c r="K276" s="41">
        <v>3.9577814094448711</v>
      </c>
      <c r="L276" s="41" t="s">
        <v>39</v>
      </c>
      <c r="M276" s="41">
        <v>0.73611392009509813</v>
      </c>
      <c r="N276" s="42">
        <v>2.0993567023212794E-2</v>
      </c>
      <c r="O276" s="42" t="s">
        <v>39</v>
      </c>
      <c r="P276" s="42">
        <v>0.10369890584346927</v>
      </c>
      <c r="Z276" s="43"/>
    </row>
    <row r="277" spans="1:26" ht="13.5" customHeight="1" x14ac:dyDescent="0.2">
      <c r="A277" s="39">
        <v>285</v>
      </c>
      <c r="B277" s="39" t="s">
        <v>299</v>
      </c>
      <c r="C277" s="40">
        <v>3</v>
      </c>
      <c r="D277" s="41">
        <v>2.9638824764964018</v>
      </c>
      <c r="E277" s="41">
        <v>26.664284023350795</v>
      </c>
      <c r="F277" s="41">
        <v>5.6935384350769453</v>
      </c>
      <c r="G277" s="41">
        <v>9.9897573941726368</v>
      </c>
      <c r="H277" s="41">
        <v>0.37101076611416584</v>
      </c>
      <c r="I277" s="41">
        <v>5.2591029090910109</v>
      </c>
      <c r="J277" s="41">
        <v>0.69843628241811773</v>
      </c>
      <c r="K277" s="41">
        <v>4.218373430127321</v>
      </c>
      <c r="L277" s="41" t="s">
        <v>39</v>
      </c>
      <c r="M277" s="41">
        <v>0.30541500931514054</v>
      </c>
      <c r="N277" s="42">
        <v>2.0125567648369914E-2</v>
      </c>
      <c r="O277" s="42" t="s">
        <v>39</v>
      </c>
      <c r="P277" s="42">
        <v>0.11149192885671225</v>
      </c>
      <c r="Z277" s="43"/>
    </row>
    <row r="278" spans="1:26" ht="13.5" customHeight="1" x14ac:dyDescent="0.2">
      <c r="A278" s="39">
        <v>286</v>
      </c>
      <c r="B278" s="39" t="s">
        <v>300</v>
      </c>
      <c r="C278" s="40">
        <v>3</v>
      </c>
      <c r="D278" s="41">
        <v>1.7706874765117717</v>
      </c>
      <c r="E278" s="41">
        <v>22.405700870825903</v>
      </c>
      <c r="F278" s="41">
        <v>5.8049481092908071</v>
      </c>
      <c r="G278" s="41">
        <v>9.8379897911466738</v>
      </c>
      <c r="H278" s="41">
        <v>1.2449013858459395</v>
      </c>
      <c r="I278" s="41">
        <v>4.9908204769048652</v>
      </c>
      <c r="J278" s="41">
        <v>0.69539249693292604</v>
      </c>
      <c r="K278" s="41">
        <v>4.0856430437701858</v>
      </c>
      <c r="L278" s="41" t="s">
        <v>39</v>
      </c>
      <c r="M278" s="41">
        <v>7.1105566881115551E-2</v>
      </c>
      <c r="N278" s="42">
        <v>2.1206589859830875E-2</v>
      </c>
      <c r="O278" s="42">
        <v>0.1551378601358066</v>
      </c>
      <c r="P278" s="42">
        <v>0.18567639050899712</v>
      </c>
      <c r="Z278" s="43"/>
    </row>
    <row r="279" spans="1:26" ht="13.5" customHeight="1" x14ac:dyDescent="0.2">
      <c r="A279" s="39">
        <v>287</v>
      </c>
      <c r="B279" s="39" t="s">
        <v>301</v>
      </c>
      <c r="C279" s="40">
        <v>3</v>
      </c>
      <c r="D279" s="41" t="s">
        <v>39</v>
      </c>
      <c r="E279" s="41">
        <v>1.6162338811098031</v>
      </c>
      <c r="F279" s="41">
        <v>7.2567317858346838</v>
      </c>
      <c r="G279" s="41">
        <v>11.228680396437362</v>
      </c>
      <c r="H279" s="41">
        <v>1.0299604631768413</v>
      </c>
      <c r="I279" s="41">
        <v>4.983098130438945</v>
      </c>
      <c r="J279" s="41">
        <v>0.82057361144903251</v>
      </c>
      <c r="K279" s="41">
        <v>4.2503913128665047</v>
      </c>
      <c r="L279" s="41" t="s">
        <v>39</v>
      </c>
      <c r="M279" s="41">
        <v>6.8582214850206054</v>
      </c>
      <c r="N279" s="42">
        <v>2.05684722538628E-2</v>
      </c>
      <c r="O279" s="42">
        <v>0.10346434375146021</v>
      </c>
      <c r="P279" s="42">
        <v>0.16149715571818707</v>
      </c>
      <c r="Z279" s="43"/>
    </row>
    <row r="280" spans="1:26" ht="13.5" customHeight="1" x14ac:dyDescent="0.2">
      <c r="A280" s="39">
        <v>288</v>
      </c>
      <c r="B280" s="39" t="s">
        <v>302</v>
      </c>
      <c r="C280" s="40">
        <v>3</v>
      </c>
      <c r="D280" s="41" t="s">
        <v>39</v>
      </c>
      <c r="E280" s="41">
        <v>1.4120381281537246</v>
      </c>
      <c r="F280" s="41">
        <v>7.610054919782149</v>
      </c>
      <c r="G280" s="41">
        <v>11.345485774156765</v>
      </c>
      <c r="H280" s="41">
        <v>0.27962918142252535</v>
      </c>
      <c r="I280" s="41">
        <v>5.0671008568685902</v>
      </c>
      <c r="J280" s="41">
        <v>0.8868144546111979</v>
      </c>
      <c r="K280" s="41">
        <v>4.2784322809748758</v>
      </c>
      <c r="L280" s="41">
        <v>1.6883446517113314</v>
      </c>
      <c r="M280" s="41">
        <v>0.89404684272111701</v>
      </c>
      <c r="N280" s="42">
        <v>2.605589736920878E-2</v>
      </c>
      <c r="O280" s="42">
        <v>7.2788567251973496E-2</v>
      </c>
      <c r="P280" s="42">
        <v>0.10106236960096848</v>
      </c>
      <c r="Z280" s="43"/>
    </row>
    <row r="281" spans="1:26" ht="13.5" customHeight="1" x14ac:dyDescent="0.2">
      <c r="A281" s="39">
        <v>289</v>
      </c>
      <c r="B281" s="39" t="s">
        <v>303</v>
      </c>
      <c r="C281" s="40">
        <v>3</v>
      </c>
      <c r="D281" s="41" t="s">
        <v>39</v>
      </c>
      <c r="E281" s="41">
        <v>2.9224540078956061</v>
      </c>
      <c r="F281" s="41">
        <v>7.2350598487006392</v>
      </c>
      <c r="G281" s="41">
        <v>11.070645149161951</v>
      </c>
      <c r="H281" s="41">
        <v>0.23132350254930323</v>
      </c>
      <c r="I281" s="41">
        <v>4.9800301050530713</v>
      </c>
      <c r="J281" s="41">
        <v>0.84068519373527506</v>
      </c>
      <c r="K281" s="41">
        <v>4.1618178547536786</v>
      </c>
      <c r="L281" s="41">
        <v>1.4060474247947421</v>
      </c>
      <c r="M281" s="41">
        <v>0.642116388659006</v>
      </c>
      <c r="N281" s="42">
        <v>2.1975570689697813E-2</v>
      </c>
      <c r="O281" s="42">
        <v>8.0608581358234163E-2</v>
      </c>
      <c r="P281" s="42">
        <v>9.2373751500910428E-2</v>
      </c>
      <c r="Z281" s="43"/>
    </row>
    <row r="282" spans="1:26" ht="13.5" customHeight="1" x14ac:dyDescent="0.2">
      <c r="A282" s="39">
        <v>290</v>
      </c>
      <c r="B282" s="39" t="s">
        <v>304</v>
      </c>
      <c r="C282" s="40">
        <v>3</v>
      </c>
      <c r="D282" s="41">
        <v>2.1907482954032069</v>
      </c>
      <c r="E282" s="41">
        <v>24.587504049137237</v>
      </c>
      <c r="F282" s="41">
        <v>5.8331625060945633</v>
      </c>
      <c r="G282" s="41">
        <v>9.9362264414130941</v>
      </c>
      <c r="H282" s="41">
        <v>0.39025824021727706</v>
      </c>
      <c r="I282" s="41">
        <v>5.1602448996936632</v>
      </c>
      <c r="J282" s="41">
        <v>0.70126132230191485</v>
      </c>
      <c r="K282" s="41">
        <v>4.1205409353761091</v>
      </c>
      <c r="L282" s="41">
        <v>0.95192771155503753</v>
      </c>
      <c r="M282" s="41">
        <v>0.31532663432359215</v>
      </c>
      <c r="N282" s="42">
        <v>2.218416086434865E-2</v>
      </c>
      <c r="O282" s="42">
        <v>0.1005190465562901</v>
      </c>
      <c r="P282" s="42">
        <v>0.11837976100569268</v>
      </c>
      <c r="Z282" s="43"/>
    </row>
    <row r="283" spans="1:26" ht="13.5" customHeight="1" x14ac:dyDescent="0.2">
      <c r="A283" s="39">
        <v>291</v>
      </c>
      <c r="B283" s="39" t="s">
        <v>305</v>
      </c>
      <c r="C283" s="40">
        <v>3</v>
      </c>
      <c r="D283" s="41">
        <v>4.8438359103085762E-2</v>
      </c>
      <c r="E283" s="41">
        <v>9.3482423299943953</v>
      </c>
      <c r="F283" s="41">
        <v>5.6303386784903395</v>
      </c>
      <c r="G283" s="41">
        <v>10.853915758409839</v>
      </c>
      <c r="H283" s="41">
        <v>0.42546413031029895</v>
      </c>
      <c r="I283" s="41">
        <v>5.0770245898654061</v>
      </c>
      <c r="J283" s="41">
        <v>0.7157269031360326</v>
      </c>
      <c r="K283" s="41">
        <v>4.573260337640825</v>
      </c>
      <c r="L283" s="41">
        <v>2.0505239156274988</v>
      </c>
      <c r="M283" s="41">
        <v>0.38777872202075392</v>
      </c>
      <c r="N283" s="42">
        <v>3.0429312733829039E-2</v>
      </c>
      <c r="O283" s="42">
        <v>9.3529516512061234E-2</v>
      </c>
      <c r="P283" s="42">
        <v>9.5017707773084992E-2</v>
      </c>
      <c r="Z283" s="43"/>
    </row>
    <row r="284" spans="1:26" ht="13.5" customHeight="1" x14ac:dyDescent="0.2">
      <c r="A284" s="39">
        <v>292</v>
      </c>
      <c r="B284" s="39" t="s">
        <v>306</v>
      </c>
      <c r="C284" s="40">
        <v>3</v>
      </c>
      <c r="D284" s="41" t="s">
        <v>39</v>
      </c>
      <c r="E284" s="41">
        <v>6.231380448262736</v>
      </c>
      <c r="F284" s="41">
        <v>5.6569518715384639</v>
      </c>
      <c r="G284" s="41">
        <v>11.292813107619775</v>
      </c>
      <c r="H284" s="41">
        <v>0.41722291188848382</v>
      </c>
      <c r="I284" s="41">
        <v>7.3928096698801884</v>
      </c>
      <c r="J284" s="41">
        <v>1.5097327342469078</v>
      </c>
      <c r="K284" s="41">
        <v>4.9546410167216033</v>
      </c>
      <c r="L284" s="41">
        <v>2.0500074674854463</v>
      </c>
      <c r="M284" s="41">
        <v>0.10194194338665197</v>
      </c>
      <c r="N284" s="42">
        <v>2.6451087429919622E-2</v>
      </c>
      <c r="O284" s="42">
        <v>7.5268548888236878E-2</v>
      </c>
      <c r="P284" s="42">
        <v>8.6895714320464376E-2</v>
      </c>
      <c r="Z284" s="43"/>
    </row>
    <row r="285" spans="1:26" ht="13.5" customHeight="1" x14ac:dyDescent="0.2">
      <c r="A285" s="39">
        <v>293</v>
      </c>
      <c r="B285" s="39" t="s">
        <v>307</v>
      </c>
      <c r="C285" s="40">
        <v>3</v>
      </c>
      <c r="D285" s="41" t="s">
        <v>39</v>
      </c>
      <c r="E285" s="41">
        <v>6.5892695541926631</v>
      </c>
      <c r="F285" s="41">
        <v>5.5519424956315051</v>
      </c>
      <c r="G285" s="41">
        <v>10.903380922506757</v>
      </c>
      <c r="H285" s="41">
        <v>0.39915028741193048</v>
      </c>
      <c r="I285" s="41">
        <v>6.9415595374803534</v>
      </c>
      <c r="J285" s="41">
        <v>1.3711906154750557</v>
      </c>
      <c r="K285" s="41">
        <v>4.6933800543471609</v>
      </c>
      <c r="L285" s="41">
        <v>2.2068099253817453</v>
      </c>
      <c r="M285" s="41">
        <v>0.12626305056049439</v>
      </c>
      <c r="N285" s="42">
        <v>2.8070679939257968E-2</v>
      </c>
      <c r="O285" s="42">
        <v>6.6053574183689359E-2</v>
      </c>
      <c r="P285" s="42">
        <v>7.9047887027976577E-2</v>
      </c>
      <c r="Z285" s="43"/>
    </row>
    <row r="286" spans="1:26" ht="13.5" customHeight="1" x14ac:dyDescent="0.2">
      <c r="A286" s="39">
        <v>294</v>
      </c>
      <c r="B286" s="39" t="s">
        <v>308</v>
      </c>
      <c r="C286" s="40">
        <v>3</v>
      </c>
      <c r="D286" s="41" t="s">
        <v>39</v>
      </c>
      <c r="E286" s="41" t="s">
        <v>39</v>
      </c>
      <c r="F286" s="41">
        <v>6.9566062695629673</v>
      </c>
      <c r="G286" s="41">
        <v>11.484021166701371</v>
      </c>
      <c r="H286" s="41">
        <v>0.20373856510692029</v>
      </c>
      <c r="I286" s="41">
        <v>5.6013639538550635</v>
      </c>
      <c r="J286" s="41">
        <v>1.1163771029415761</v>
      </c>
      <c r="K286" s="41">
        <v>4.0379124413844094</v>
      </c>
      <c r="L286" s="41">
        <v>1.4341287159830882</v>
      </c>
      <c r="M286" s="41">
        <v>0.44742386005516288</v>
      </c>
      <c r="N286" s="42">
        <v>7.4139432906276823E-2</v>
      </c>
      <c r="O286" s="42">
        <v>7.3839619515934596E-2</v>
      </c>
      <c r="P286" s="42">
        <v>8.5795309367787426E-2</v>
      </c>
      <c r="Z286" s="43"/>
    </row>
    <row r="287" spans="1:26" ht="13.5" customHeight="1" x14ac:dyDescent="0.2">
      <c r="A287" s="39">
        <v>295</v>
      </c>
      <c r="B287" s="39" t="s">
        <v>309</v>
      </c>
      <c r="C287" s="40">
        <v>3</v>
      </c>
      <c r="D287" s="41" t="s">
        <v>39</v>
      </c>
      <c r="E287" s="41">
        <v>2.2981438544872392</v>
      </c>
      <c r="F287" s="41">
        <v>6.6889520838401406</v>
      </c>
      <c r="G287" s="41">
        <v>11.294572140949075</v>
      </c>
      <c r="H287" s="41">
        <v>0.3052167550875573</v>
      </c>
      <c r="I287" s="41">
        <v>5.3026451609034684</v>
      </c>
      <c r="J287" s="41">
        <v>0.87617753422898492</v>
      </c>
      <c r="K287" s="41">
        <v>3.9518387534185502</v>
      </c>
      <c r="L287" s="41">
        <v>1.2522687145958911</v>
      </c>
      <c r="M287" s="41">
        <v>0.42167142188112433</v>
      </c>
      <c r="N287" s="42">
        <v>4.8753908292964374E-2</v>
      </c>
      <c r="O287" s="42">
        <v>7.0824468086652437E-2</v>
      </c>
      <c r="P287" s="42">
        <v>8.3236932141768083E-2</v>
      </c>
      <c r="Z287" s="43"/>
    </row>
    <row r="288" spans="1:26" ht="13.5" customHeight="1" x14ac:dyDescent="0.2">
      <c r="A288" s="39">
        <v>296</v>
      </c>
      <c r="B288" s="39" t="s">
        <v>310</v>
      </c>
      <c r="C288" s="40">
        <v>3</v>
      </c>
      <c r="D288" s="41" t="s">
        <v>39</v>
      </c>
      <c r="E288" s="41" t="s">
        <v>39</v>
      </c>
      <c r="F288" s="41">
        <v>6.6217769320905671</v>
      </c>
      <c r="G288" s="41">
        <v>11.462366659986127</v>
      </c>
      <c r="H288" s="41">
        <v>0.36163502147802662</v>
      </c>
      <c r="I288" s="41">
        <v>5.1820946337757787</v>
      </c>
      <c r="J288" s="41">
        <v>0.81088776969223575</v>
      </c>
      <c r="K288" s="41">
        <v>3.9078022707282685</v>
      </c>
      <c r="L288" s="41">
        <v>1.2930954218160564</v>
      </c>
      <c r="M288" s="41">
        <v>0.40855451535909271</v>
      </c>
      <c r="N288" s="42">
        <v>3.6887725496566173E-2</v>
      </c>
      <c r="O288" s="42">
        <v>7.7590373285200576E-2</v>
      </c>
      <c r="P288" s="42">
        <v>8.1515157430725349E-2</v>
      </c>
      <c r="Z288" s="43"/>
    </row>
    <row r="289" spans="1:26" ht="13.5" customHeight="1" x14ac:dyDescent="0.2">
      <c r="A289" s="39">
        <v>297</v>
      </c>
      <c r="B289" s="39" t="s">
        <v>311</v>
      </c>
      <c r="C289" s="40">
        <v>3</v>
      </c>
      <c r="D289" s="41">
        <v>4.2218847565275999</v>
      </c>
      <c r="E289" s="41">
        <v>32.512656532364517</v>
      </c>
      <c r="F289" s="41">
        <v>5.6355209405793607</v>
      </c>
      <c r="G289" s="41">
        <v>8.656591247466956</v>
      </c>
      <c r="H289" s="41">
        <v>0.75534533126124015</v>
      </c>
      <c r="I289" s="41">
        <v>4.9739746690023026</v>
      </c>
      <c r="J289" s="41">
        <v>0.60927808455426047</v>
      </c>
      <c r="K289" s="41">
        <v>3.3741331237714505</v>
      </c>
      <c r="L289" s="41">
        <v>0.42600496814284849</v>
      </c>
      <c r="M289" s="41">
        <v>0.19364956846104051</v>
      </c>
      <c r="N289" s="42">
        <v>1.889062957366159E-2</v>
      </c>
      <c r="O289" s="42">
        <v>7.5295496086814712E-2</v>
      </c>
      <c r="P289" s="42">
        <v>0.10005954342995627</v>
      </c>
      <c r="Z289" s="43"/>
    </row>
    <row r="290" spans="1:26" ht="13.5" customHeight="1" x14ac:dyDescent="0.2">
      <c r="A290" s="39">
        <v>298</v>
      </c>
      <c r="B290" s="39" t="s">
        <v>312</v>
      </c>
      <c r="C290" s="40">
        <v>3</v>
      </c>
      <c r="D290" s="41">
        <v>2.1049980521272991</v>
      </c>
      <c r="E290" s="41">
        <v>27.112312149134397</v>
      </c>
      <c r="F290" s="41">
        <v>6.1046754513482817</v>
      </c>
      <c r="G290" s="41">
        <v>9.7087044300580256</v>
      </c>
      <c r="H290" s="41">
        <v>0.65373679827607178</v>
      </c>
      <c r="I290" s="41">
        <v>5.3451842165901322</v>
      </c>
      <c r="J290" s="41">
        <v>0.63614884913495251</v>
      </c>
      <c r="K290" s="41">
        <v>3.5006785569897927</v>
      </c>
      <c r="L290" s="41">
        <v>0.45581722040417122</v>
      </c>
      <c r="M290" s="41">
        <v>0.22546089223533924</v>
      </c>
      <c r="N290" s="42">
        <v>3.6359348241708084E-2</v>
      </c>
      <c r="O290" s="42" t="s">
        <v>39</v>
      </c>
      <c r="P290" s="42">
        <v>0.11018150411324967</v>
      </c>
      <c r="Z290" s="43"/>
    </row>
    <row r="291" spans="1:26" ht="13.5" customHeight="1" x14ac:dyDescent="0.2">
      <c r="A291" s="39">
        <v>299</v>
      </c>
      <c r="B291" s="39" t="s">
        <v>313</v>
      </c>
      <c r="C291" s="40">
        <v>3</v>
      </c>
      <c r="D291" s="41">
        <v>1.7231155753981278</v>
      </c>
      <c r="E291" s="41">
        <v>23.624018996564555</v>
      </c>
      <c r="F291" s="41">
        <v>6.199192934215537</v>
      </c>
      <c r="G291" s="41">
        <v>9.7630206755372715</v>
      </c>
      <c r="H291" s="41">
        <v>0.64120965758147963</v>
      </c>
      <c r="I291" s="41">
        <v>5.340587391503469</v>
      </c>
      <c r="J291" s="41">
        <v>0.68372729498442331</v>
      </c>
      <c r="K291" s="41">
        <v>3.4153556361437669</v>
      </c>
      <c r="L291" s="41">
        <v>0.46171165064925324</v>
      </c>
      <c r="M291" s="41">
        <v>0.22383955974826211</v>
      </c>
      <c r="N291" s="42">
        <v>4.2535534422475964E-2</v>
      </c>
      <c r="O291" s="42" t="s">
        <v>39</v>
      </c>
      <c r="P291" s="42">
        <v>0.11300943159894733</v>
      </c>
      <c r="Z291" s="43"/>
    </row>
    <row r="292" spans="1:26" ht="13.5" customHeight="1" x14ac:dyDescent="0.2">
      <c r="A292" s="39">
        <v>300</v>
      </c>
      <c r="B292" s="39" t="s">
        <v>314</v>
      </c>
      <c r="C292" s="40">
        <v>3</v>
      </c>
      <c r="D292" s="41" t="s">
        <v>39</v>
      </c>
      <c r="E292" s="41" t="s">
        <v>39</v>
      </c>
      <c r="F292" s="41">
        <v>7.1798109600314088</v>
      </c>
      <c r="G292" s="41">
        <v>11.30763594698707</v>
      </c>
      <c r="H292" s="41">
        <v>0.16113172934155634</v>
      </c>
      <c r="I292" s="41">
        <v>5.4949875829168668</v>
      </c>
      <c r="J292" s="41">
        <v>0.99105514470106659</v>
      </c>
      <c r="K292" s="41">
        <v>3.7542493058591759</v>
      </c>
      <c r="L292" s="41">
        <v>1.361600546371561</v>
      </c>
      <c r="M292" s="41">
        <v>0.4363240682603815</v>
      </c>
      <c r="N292" s="42">
        <v>6.9984842510546791E-2</v>
      </c>
      <c r="O292" s="42">
        <v>1.3977314622043699E-2</v>
      </c>
      <c r="P292" s="42">
        <v>8.8417749125004455E-2</v>
      </c>
      <c r="Z292" s="43"/>
    </row>
    <row r="293" spans="1:26" ht="13.5" customHeight="1" x14ac:dyDescent="0.2">
      <c r="A293" s="39">
        <v>301</v>
      </c>
      <c r="B293" s="39" t="s">
        <v>315</v>
      </c>
      <c r="C293" s="40">
        <v>3</v>
      </c>
      <c r="D293" s="41" t="s">
        <v>39</v>
      </c>
      <c r="E293" s="41" t="s">
        <v>39</v>
      </c>
      <c r="F293" s="41">
        <v>7.1962526602649834</v>
      </c>
      <c r="G293" s="41">
        <v>11.511366713455576</v>
      </c>
      <c r="H293" s="41">
        <v>0.10713118293592128</v>
      </c>
      <c r="I293" s="41">
        <v>5.396625037615248</v>
      </c>
      <c r="J293" s="41">
        <v>0.97209345843644634</v>
      </c>
      <c r="K293" s="41">
        <v>3.8510625720150329</v>
      </c>
      <c r="L293" s="41">
        <v>1.19164168639854</v>
      </c>
      <c r="M293" s="41">
        <v>0.50754513766183385</v>
      </c>
      <c r="N293" s="42">
        <v>4.852757055191198E-2</v>
      </c>
      <c r="O293" s="42" t="s">
        <v>39</v>
      </c>
      <c r="P293" s="42">
        <v>9.265119918635055E-2</v>
      </c>
      <c r="Z293" s="43"/>
    </row>
    <row r="294" spans="1:26" ht="13.5" customHeight="1" x14ac:dyDescent="0.2">
      <c r="A294" s="39">
        <v>302</v>
      </c>
      <c r="B294" s="39" t="s">
        <v>316</v>
      </c>
      <c r="C294" s="40">
        <v>3</v>
      </c>
      <c r="D294" s="41" t="s">
        <v>39</v>
      </c>
      <c r="E294" s="41" t="s">
        <v>39</v>
      </c>
      <c r="F294" s="41">
        <v>7.1292025729635107</v>
      </c>
      <c r="G294" s="41">
        <v>11.483465890761583</v>
      </c>
      <c r="H294" s="41">
        <v>0.2100391999513605</v>
      </c>
      <c r="I294" s="41">
        <v>5.407422818063381</v>
      </c>
      <c r="J294" s="41">
        <v>0.93960987995052847</v>
      </c>
      <c r="K294" s="41">
        <v>3.8024854551762983</v>
      </c>
      <c r="L294" s="41">
        <v>1.3075474062725925</v>
      </c>
      <c r="M294" s="41">
        <v>0.43714757156761197</v>
      </c>
      <c r="N294" s="42">
        <v>4.9593016702334153E-2</v>
      </c>
      <c r="O294" s="42" t="s">
        <v>39</v>
      </c>
      <c r="P294" s="42">
        <v>9.0275553465516745E-2</v>
      </c>
      <c r="Z294" s="43"/>
    </row>
    <row r="295" spans="1:26" ht="13.5" customHeight="1" x14ac:dyDescent="0.2">
      <c r="A295" s="39">
        <v>303</v>
      </c>
      <c r="B295" s="39" t="s">
        <v>317</v>
      </c>
      <c r="C295" s="40">
        <v>3</v>
      </c>
      <c r="D295" s="41" t="s">
        <v>39</v>
      </c>
      <c r="E295" s="41">
        <v>5.2929888697048648</v>
      </c>
      <c r="F295" s="41">
        <v>5.2420943142056471</v>
      </c>
      <c r="G295" s="41">
        <v>10.99127380923114</v>
      </c>
      <c r="H295" s="41">
        <v>0.34034764173278653</v>
      </c>
      <c r="I295" s="41">
        <v>5.2820461273569546</v>
      </c>
      <c r="J295" s="41">
        <v>0.88097477516265099</v>
      </c>
      <c r="K295" s="41">
        <v>4.32182097703053</v>
      </c>
      <c r="L295" s="41">
        <v>0.62318072279983627</v>
      </c>
      <c r="M295" s="41">
        <v>0.19070045965453719</v>
      </c>
      <c r="N295" s="42">
        <v>4.9697721605163045E-2</v>
      </c>
      <c r="O295" s="42">
        <v>6.9386935641429642E-2</v>
      </c>
      <c r="P295" s="42">
        <v>6.7156439521151828E-2</v>
      </c>
      <c r="Z295" s="43"/>
    </row>
    <row r="296" spans="1:26" ht="13.5" customHeight="1" x14ac:dyDescent="0.2">
      <c r="A296" s="39">
        <v>304</v>
      </c>
      <c r="B296" s="39" t="s">
        <v>318</v>
      </c>
      <c r="C296" s="40">
        <v>3</v>
      </c>
      <c r="D296" s="41" t="s">
        <v>39</v>
      </c>
      <c r="E296" s="41">
        <v>4.6222349139033163</v>
      </c>
      <c r="F296" s="41">
        <v>5.5689385976682289</v>
      </c>
      <c r="G296" s="41">
        <v>11.366010762748351</v>
      </c>
      <c r="H296" s="41">
        <v>0.25558549942265962</v>
      </c>
      <c r="I296" s="41">
        <v>5.4987521045377434</v>
      </c>
      <c r="J296" s="41">
        <v>0.80328097856227521</v>
      </c>
      <c r="K296" s="41">
        <v>4.2587880780280898</v>
      </c>
      <c r="L296" s="41">
        <v>0.81004838373128052</v>
      </c>
      <c r="M296" s="41">
        <v>0.15157133795554517</v>
      </c>
      <c r="N296" s="42">
        <v>6.9800862166394209E-2</v>
      </c>
      <c r="O296" s="42">
        <v>6.8594287553675179E-2</v>
      </c>
      <c r="P296" s="42">
        <v>5.8704628744930001E-2</v>
      </c>
      <c r="Z296" s="43"/>
    </row>
    <row r="297" spans="1:26" ht="13.5" customHeight="1" x14ac:dyDescent="0.2">
      <c r="A297" s="39">
        <v>305</v>
      </c>
      <c r="B297" s="39" t="s">
        <v>319</v>
      </c>
      <c r="C297" s="40">
        <v>3</v>
      </c>
      <c r="D297" s="41" t="s">
        <v>39</v>
      </c>
      <c r="E297" s="41">
        <v>4.7276236180488374</v>
      </c>
      <c r="F297" s="41">
        <v>5.518835090019973</v>
      </c>
      <c r="G297" s="41">
        <v>11.205747489023468</v>
      </c>
      <c r="H297" s="41">
        <v>0.31282157606772254</v>
      </c>
      <c r="I297" s="41">
        <v>5.556208934281015</v>
      </c>
      <c r="J297" s="41">
        <v>0.9857009658688296</v>
      </c>
      <c r="K297" s="41">
        <v>4.401606056544483</v>
      </c>
      <c r="L297" s="41">
        <v>0.70376416226095295</v>
      </c>
      <c r="M297" s="41">
        <v>0.16872307030116213</v>
      </c>
      <c r="N297" s="42">
        <v>8.202275284149263E-2</v>
      </c>
      <c r="O297" s="42">
        <v>7.4508446723660859E-2</v>
      </c>
      <c r="P297" s="42">
        <v>4.9564567269252069E-2</v>
      </c>
      <c r="Z297" s="43"/>
    </row>
    <row r="298" spans="1:26" ht="13.5" customHeight="1" x14ac:dyDescent="0.2">
      <c r="A298" s="39">
        <v>306</v>
      </c>
      <c r="B298" s="39" t="s">
        <v>320</v>
      </c>
      <c r="C298" s="40">
        <v>3</v>
      </c>
      <c r="D298" s="41">
        <v>0.63572011003079765</v>
      </c>
      <c r="E298" s="41">
        <v>14.244301951080278</v>
      </c>
      <c r="F298" s="41">
        <v>5.6306449580740789</v>
      </c>
      <c r="G298" s="41">
        <v>10.576210995667939</v>
      </c>
      <c r="H298" s="41">
        <v>0.2640657376216976</v>
      </c>
      <c r="I298" s="41">
        <v>5.6634172446618614</v>
      </c>
      <c r="J298" s="41">
        <v>1.0406874615713377</v>
      </c>
      <c r="K298" s="41">
        <v>4.7585565481909562</v>
      </c>
      <c r="L298" s="41">
        <v>0.75634850102805551</v>
      </c>
      <c r="M298" s="41">
        <v>0.16885893764538396</v>
      </c>
      <c r="N298" s="42">
        <v>9.1301906252808152E-2</v>
      </c>
      <c r="O298" s="42">
        <v>8.6472114676695744E-2</v>
      </c>
      <c r="P298" s="42">
        <v>6.3023226883473116E-2</v>
      </c>
      <c r="Z298" s="43"/>
    </row>
    <row r="299" spans="1:26" ht="13.5" customHeight="1" x14ac:dyDescent="0.2">
      <c r="A299" s="39">
        <v>307</v>
      </c>
      <c r="B299" s="39" t="s">
        <v>321</v>
      </c>
      <c r="C299" s="40">
        <v>3</v>
      </c>
      <c r="D299" s="41">
        <v>1.2805742589334161</v>
      </c>
      <c r="E299" s="41">
        <v>17.68632075421791</v>
      </c>
      <c r="F299" s="41">
        <v>5.6204023470618196</v>
      </c>
      <c r="G299" s="41">
        <v>10.236089591402209</v>
      </c>
      <c r="H299" s="41">
        <v>0.26385613859384605</v>
      </c>
      <c r="I299" s="41">
        <v>5.3274107070258072</v>
      </c>
      <c r="J299" s="41">
        <v>0.86269658516093806</v>
      </c>
      <c r="K299" s="41">
        <v>4.8828622325163176</v>
      </c>
      <c r="L299" s="41">
        <v>0.77803198458308664</v>
      </c>
      <c r="M299" s="41">
        <v>0.19157706775843328</v>
      </c>
      <c r="N299" s="42">
        <v>4.4958924443488077E-2</v>
      </c>
      <c r="O299" s="42">
        <v>7.6760252177011407E-2</v>
      </c>
      <c r="P299" s="42">
        <v>7.3397824480752744E-2</v>
      </c>
      <c r="Z299" s="43"/>
    </row>
    <row r="300" spans="1:26" ht="13.5" customHeight="1" x14ac:dyDescent="0.2">
      <c r="A300" s="39">
        <v>308</v>
      </c>
      <c r="B300" s="39" t="s">
        <v>322</v>
      </c>
      <c r="C300" s="40">
        <v>3</v>
      </c>
      <c r="D300" s="41">
        <v>0.7381682599297873</v>
      </c>
      <c r="E300" s="41">
        <v>14.976749829702001</v>
      </c>
      <c r="F300" s="41">
        <v>5.5678929825602816</v>
      </c>
      <c r="G300" s="41">
        <v>10.535315085452215</v>
      </c>
      <c r="H300" s="41">
        <v>0.29304459781029629</v>
      </c>
      <c r="I300" s="41">
        <v>5.4268242245623393</v>
      </c>
      <c r="J300" s="41">
        <v>0.9245317947699413</v>
      </c>
      <c r="K300" s="41">
        <v>4.9192080597294261</v>
      </c>
      <c r="L300" s="41">
        <v>0.73353590055772333</v>
      </c>
      <c r="M300" s="41">
        <v>0.19804447810310694</v>
      </c>
      <c r="N300" s="42">
        <v>4.4202433263604089E-2</v>
      </c>
      <c r="O300" s="42">
        <v>7.1021801921847316E-2</v>
      </c>
      <c r="P300" s="42">
        <v>7.0838397434454817E-2</v>
      </c>
      <c r="Z300" s="43"/>
    </row>
    <row r="301" spans="1:26" ht="13.5" customHeight="1" x14ac:dyDescent="0.2">
      <c r="A301" s="39">
        <v>309</v>
      </c>
      <c r="B301" s="39" t="s">
        <v>323</v>
      </c>
      <c r="C301" s="40">
        <v>3</v>
      </c>
      <c r="D301" s="41" t="s">
        <v>39</v>
      </c>
      <c r="E301" s="41" t="s">
        <v>39</v>
      </c>
      <c r="F301" s="41">
        <v>4.7905613403634213</v>
      </c>
      <c r="G301" s="41">
        <v>11.282867682238255</v>
      </c>
      <c r="H301" s="41">
        <v>0.16546246862133471</v>
      </c>
      <c r="I301" s="41">
        <v>5.7733854798596544</v>
      </c>
      <c r="J301" s="41">
        <v>1.0402843566525011</v>
      </c>
      <c r="K301" s="41">
        <v>4.6350987749218504</v>
      </c>
      <c r="L301" s="41">
        <v>0.57654011447702991</v>
      </c>
      <c r="M301" s="41">
        <v>0.3166175123821664</v>
      </c>
      <c r="N301" s="42">
        <v>2.6811921130823091E-2</v>
      </c>
      <c r="O301" s="42">
        <v>8.1799469097643102E-2</v>
      </c>
      <c r="P301" s="42">
        <v>3.7162391214389745E-2</v>
      </c>
      <c r="Z301" s="43"/>
    </row>
    <row r="302" spans="1:26" ht="13.5" customHeight="1" x14ac:dyDescent="0.2">
      <c r="A302" s="39">
        <v>310</v>
      </c>
      <c r="B302" s="39" t="s">
        <v>324</v>
      </c>
      <c r="C302" s="40">
        <v>3</v>
      </c>
      <c r="D302" s="41" t="s">
        <v>39</v>
      </c>
      <c r="E302" s="41" t="s">
        <v>39</v>
      </c>
      <c r="F302" s="41">
        <v>5.0261899114853001</v>
      </c>
      <c r="G302" s="41">
        <v>11.531004206275634</v>
      </c>
      <c r="H302" s="41">
        <v>0.18108434785209856</v>
      </c>
      <c r="I302" s="41">
        <v>5.4356927219573521</v>
      </c>
      <c r="J302" s="41">
        <v>1.0434181316552236</v>
      </c>
      <c r="K302" s="41">
        <v>4.7742699547551606</v>
      </c>
      <c r="L302" s="41">
        <v>0.59522339858105666</v>
      </c>
      <c r="M302" s="41">
        <v>0.30108825484549417</v>
      </c>
      <c r="N302" s="42">
        <v>6.5361482822242314E-2</v>
      </c>
      <c r="O302" s="42">
        <v>7.4510030733601046E-2</v>
      </c>
      <c r="P302" s="42">
        <v>3.967858895597557E-2</v>
      </c>
      <c r="Z302" s="43"/>
    </row>
    <row r="303" spans="1:26" ht="13.5" customHeight="1" x14ac:dyDescent="0.2">
      <c r="A303" s="39">
        <v>311</v>
      </c>
      <c r="B303" s="39" t="s">
        <v>325</v>
      </c>
      <c r="C303" s="40">
        <v>3</v>
      </c>
      <c r="D303" s="41" t="s">
        <v>39</v>
      </c>
      <c r="E303" s="41" t="s">
        <v>39</v>
      </c>
      <c r="F303" s="41">
        <v>5.1685566315714491</v>
      </c>
      <c r="G303" s="41">
        <v>11.670030064869724</v>
      </c>
      <c r="H303" s="41">
        <v>0.19549329210936142</v>
      </c>
      <c r="I303" s="41">
        <v>5.4585873591179581</v>
      </c>
      <c r="J303" s="41">
        <v>0.99960183134811864</v>
      </c>
      <c r="K303" s="41">
        <v>4.7818803005329507</v>
      </c>
      <c r="L303" s="41">
        <v>0.62948849571205734</v>
      </c>
      <c r="M303" s="41">
        <v>0.35085968481365176</v>
      </c>
      <c r="N303" s="42">
        <v>6.3787620343443555E-2</v>
      </c>
      <c r="O303" s="42">
        <v>7.9588522030425143E-2</v>
      </c>
      <c r="P303" s="42">
        <v>3.9164477044768463E-2</v>
      </c>
      <c r="Z303" s="43"/>
    </row>
    <row r="304" spans="1:26" ht="13.5" customHeight="1" x14ac:dyDescent="0.2">
      <c r="A304" s="39">
        <v>312</v>
      </c>
      <c r="B304" s="39" t="s">
        <v>326</v>
      </c>
      <c r="C304" s="40">
        <v>3</v>
      </c>
      <c r="D304" s="41">
        <v>14.310400118313254</v>
      </c>
      <c r="E304" s="41">
        <v>39.024836626654299</v>
      </c>
      <c r="F304" s="41">
        <v>5.496374831669991</v>
      </c>
      <c r="G304" s="41">
        <v>8.1948181411187431</v>
      </c>
      <c r="H304" s="41">
        <v>0.20084697889948677</v>
      </c>
      <c r="I304" s="41">
        <v>5.4228944901569047</v>
      </c>
      <c r="J304" s="41">
        <v>1.0212163480602658</v>
      </c>
      <c r="K304" s="41">
        <v>4.0356484816618767</v>
      </c>
      <c r="L304" s="41">
        <v>0.83714611092689206</v>
      </c>
      <c r="M304" s="41">
        <v>0.20535113443714992</v>
      </c>
      <c r="N304" s="42">
        <v>6.2004128535424675E-2</v>
      </c>
      <c r="O304" s="42" t="s">
        <v>39</v>
      </c>
      <c r="P304" s="42">
        <v>8.3973136878615434E-2</v>
      </c>
      <c r="Z304" s="43"/>
    </row>
    <row r="305" spans="1:26" ht="13.5" customHeight="1" x14ac:dyDescent="0.2">
      <c r="A305" s="39">
        <v>313</v>
      </c>
      <c r="B305" s="39" t="s">
        <v>327</v>
      </c>
      <c r="C305" s="40">
        <v>3</v>
      </c>
      <c r="D305" s="41">
        <v>13.74466284717171</v>
      </c>
      <c r="E305" s="41">
        <v>38.293506004750114</v>
      </c>
      <c r="F305" s="41">
        <v>5.4928916381085982</v>
      </c>
      <c r="G305" s="41">
        <v>8.3447448506172037</v>
      </c>
      <c r="H305" s="41">
        <v>0.18465804925422752</v>
      </c>
      <c r="I305" s="41">
        <v>5.4766355101220823</v>
      </c>
      <c r="J305" s="41">
        <v>0.99329985953291156</v>
      </c>
      <c r="K305" s="41">
        <v>4.0421191546381126</v>
      </c>
      <c r="L305" s="41">
        <v>0.80039544514777727</v>
      </c>
      <c r="M305" s="41">
        <v>0.19628475023474753</v>
      </c>
      <c r="N305" s="42">
        <v>6.5227382419444396E-2</v>
      </c>
      <c r="O305" s="42" t="s">
        <v>39</v>
      </c>
      <c r="P305" s="42">
        <v>6.7009479603888519E-2</v>
      </c>
      <c r="Z305" s="43"/>
    </row>
    <row r="306" spans="1:26" ht="13.5" customHeight="1" x14ac:dyDescent="0.2">
      <c r="A306" s="39">
        <v>314</v>
      </c>
      <c r="B306" s="39" t="s">
        <v>328</v>
      </c>
      <c r="C306" s="40">
        <v>3</v>
      </c>
      <c r="D306" s="41">
        <v>14.474058561412649</v>
      </c>
      <c r="E306" s="41">
        <v>39.46392457289744</v>
      </c>
      <c r="F306" s="41">
        <v>5.5900488347442847</v>
      </c>
      <c r="G306" s="41">
        <v>8.3349988280428455</v>
      </c>
      <c r="H306" s="41">
        <v>0.2061042402714609</v>
      </c>
      <c r="I306" s="41">
        <v>5.6639619486587653</v>
      </c>
      <c r="J306" s="41">
        <v>1.1452973752462419</v>
      </c>
      <c r="K306" s="41">
        <v>4.1579158847004063</v>
      </c>
      <c r="L306" s="41">
        <v>0.84053577977537275</v>
      </c>
      <c r="M306" s="41">
        <v>0.21643094203746263</v>
      </c>
      <c r="N306" s="42">
        <v>8.0070368439563985E-2</v>
      </c>
      <c r="O306" s="42">
        <v>0.10658467278683265</v>
      </c>
      <c r="P306" s="42">
        <v>7.5748690368818178E-2</v>
      </c>
      <c r="Z306" s="43"/>
    </row>
    <row r="307" spans="1:26" ht="13.5" customHeight="1" x14ac:dyDescent="0.2">
      <c r="A307" s="39">
        <v>315</v>
      </c>
      <c r="B307" s="39" t="s">
        <v>329</v>
      </c>
      <c r="C307" s="40">
        <v>3</v>
      </c>
      <c r="D307" s="41">
        <v>0.23617392733259715</v>
      </c>
      <c r="E307" s="41">
        <v>10.920626829450612</v>
      </c>
      <c r="F307" s="41">
        <v>5.3521339807630035</v>
      </c>
      <c r="G307" s="41">
        <v>10.584004338369349</v>
      </c>
      <c r="H307" s="41">
        <v>0.21871587230132339</v>
      </c>
      <c r="I307" s="41">
        <v>6.2140183797101356</v>
      </c>
      <c r="J307" s="41">
        <v>1.0813796541731275</v>
      </c>
      <c r="K307" s="41">
        <v>5.1720538577150528</v>
      </c>
      <c r="L307" s="41">
        <v>0.91839346343440753</v>
      </c>
      <c r="M307" s="41">
        <v>0.16858516390587169</v>
      </c>
      <c r="N307" s="42">
        <v>4.7003557297470515E-2</v>
      </c>
      <c r="O307" s="42">
        <v>7.8091608175569246E-2</v>
      </c>
      <c r="P307" s="42">
        <v>9.0002117245627511E-2</v>
      </c>
      <c r="Z307" s="43"/>
    </row>
    <row r="308" spans="1:26" ht="13.5" customHeight="1" x14ac:dyDescent="0.2">
      <c r="A308" s="39">
        <v>316</v>
      </c>
      <c r="B308" s="39" t="s">
        <v>330</v>
      </c>
      <c r="C308" s="40">
        <v>3</v>
      </c>
      <c r="D308" s="41">
        <v>0.7868330264255865</v>
      </c>
      <c r="E308" s="41">
        <v>16.186863089074492</v>
      </c>
      <c r="F308" s="41">
        <v>5.4167664030720593</v>
      </c>
      <c r="G308" s="41">
        <v>10.601747723452005</v>
      </c>
      <c r="H308" s="41">
        <v>0.25815906616231282</v>
      </c>
      <c r="I308" s="41">
        <v>6.0223607095127782</v>
      </c>
      <c r="J308" s="41">
        <v>0.95821495260060141</v>
      </c>
      <c r="K308" s="41">
        <v>4.3845380664566598</v>
      </c>
      <c r="L308" s="41">
        <v>0.83112224400162737</v>
      </c>
      <c r="M308" s="41">
        <v>0.16284631735171548</v>
      </c>
      <c r="N308" s="42">
        <v>4.5680009400191332E-2</v>
      </c>
      <c r="O308" s="42">
        <v>0.11433738514016648</v>
      </c>
      <c r="P308" s="42">
        <v>9.8003614000064534E-2</v>
      </c>
      <c r="Z308" s="43"/>
    </row>
    <row r="309" spans="1:26" ht="13.5" customHeight="1" x14ac:dyDescent="0.2">
      <c r="A309" s="39">
        <v>317</v>
      </c>
      <c r="B309" s="39" t="s">
        <v>331</v>
      </c>
      <c r="C309" s="40">
        <v>3</v>
      </c>
      <c r="D309" s="41">
        <v>0.1312875557510419</v>
      </c>
      <c r="E309" s="41">
        <v>9.7603292022984025</v>
      </c>
      <c r="F309" s="41">
        <v>5.5227382220045689</v>
      </c>
      <c r="G309" s="41">
        <v>10.855401104517556</v>
      </c>
      <c r="H309" s="41">
        <v>0.25259329966318123</v>
      </c>
      <c r="I309" s="41">
        <v>5.9072381597539891</v>
      </c>
      <c r="J309" s="41">
        <v>0.97950295302096912</v>
      </c>
      <c r="K309" s="41">
        <v>5.3031498925788476</v>
      </c>
      <c r="L309" s="41">
        <v>0.90262725275207789</v>
      </c>
      <c r="M309" s="41">
        <v>0.161479657331837</v>
      </c>
      <c r="N309" s="42">
        <v>4.5574432714155441E-2</v>
      </c>
      <c r="O309" s="42">
        <v>6.5298081434333966E-2</v>
      </c>
      <c r="P309" s="42">
        <v>8.6177635016259066E-2</v>
      </c>
      <c r="Z309" s="43"/>
    </row>
    <row r="310" spans="1:26" ht="13.5" customHeight="1" x14ac:dyDescent="0.2">
      <c r="A310" s="39">
        <v>318</v>
      </c>
      <c r="B310" s="39" t="s">
        <v>332</v>
      </c>
      <c r="C310" s="40">
        <v>3</v>
      </c>
      <c r="D310" s="41" t="s">
        <v>39</v>
      </c>
      <c r="E310" s="41">
        <v>1.1817028351579395</v>
      </c>
      <c r="F310" s="41">
        <v>6.8774810894587457</v>
      </c>
      <c r="G310" s="41">
        <v>11.345704804920182</v>
      </c>
      <c r="H310" s="41">
        <v>6.5032686595048683E-2</v>
      </c>
      <c r="I310" s="41">
        <v>5.9383421486267585</v>
      </c>
      <c r="J310" s="41">
        <v>1.0561842552592891</v>
      </c>
      <c r="K310" s="41">
        <v>4.4006384459659422</v>
      </c>
      <c r="L310" s="41">
        <v>1.3029756277381437</v>
      </c>
      <c r="M310" s="41">
        <v>0.42085102872974289</v>
      </c>
      <c r="N310" s="42">
        <v>2.4662740360790705E-2</v>
      </c>
      <c r="O310" s="42" t="s">
        <v>39</v>
      </c>
      <c r="P310" s="42">
        <v>8.3473958790333674E-2</v>
      </c>
      <c r="Z310" s="43"/>
    </row>
    <row r="311" spans="1:26" ht="13.5" customHeight="1" x14ac:dyDescent="0.2">
      <c r="A311" s="39">
        <v>319</v>
      </c>
      <c r="B311" s="39" t="s">
        <v>333</v>
      </c>
      <c r="C311" s="40">
        <v>3</v>
      </c>
      <c r="D311" s="41" t="s">
        <v>39</v>
      </c>
      <c r="E311" s="41" t="s">
        <v>39</v>
      </c>
      <c r="F311" s="41">
        <v>7.080055499905388</v>
      </c>
      <c r="G311" s="41">
        <v>11.595262140015087</v>
      </c>
      <c r="H311" s="41">
        <v>7.3576454675890537E-2</v>
      </c>
      <c r="I311" s="41">
        <v>5.395878859969355</v>
      </c>
      <c r="J311" s="41">
        <v>0.95705956444601537</v>
      </c>
      <c r="K311" s="41">
        <v>4.3264964071444139</v>
      </c>
      <c r="L311" s="41">
        <v>1.3852274996403249</v>
      </c>
      <c r="M311" s="41">
        <v>0.46478327031711963</v>
      </c>
      <c r="N311" s="42">
        <v>6.2156270923614261E-2</v>
      </c>
      <c r="O311" s="42" t="s">
        <v>39</v>
      </c>
      <c r="P311" s="42">
        <v>9.5028713378623161E-2</v>
      </c>
      <c r="Z311" s="43"/>
    </row>
    <row r="312" spans="1:26" ht="13.5" customHeight="1" x14ac:dyDescent="0.2">
      <c r="A312" s="39">
        <v>320</v>
      </c>
      <c r="B312" s="39" t="s">
        <v>334</v>
      </c>
      <c r="C312" s="40">
        <v>3</v>
      </c>
      <c r="D312" s="41" t="s">
        <v>39</v>
      </c>
      <c r="E312" s="41">
        <v>1.527226916120584</v>
      </c>
      <c r="F312" s="41">
        <v>6.8068696836720797</v>
      </c>
      <c r="G312" s="41">
        <v>11.305636230037903</v>
      </c>
      <c r="H312" s="41">
        <v>8.4608558637501594E-2</v>
      </c>
      <c r="I312" s="41">
        <v>5.3157778704629752</v>
      </c>
      <c r="J312" s="41">
        <v>0.94645442400790303</v>
      </c>
      <c r="K312" s="41">
        <v>4.2959648263885839</v>
      </c>
      <c r="L312" s="41">
        <v>1.268947532716016</v>
      </c>
      <c r="M312" s="41">
        <v>0.38281679733367024</v>
      </c>
      <c r="N312" s="42">
        <v>6.4650616313487938E-2</v>
      </c>
      <c r="O312" s="42" t="s">
        <v>39</v>
      </c>
      <c r="P312" s="42">
        <v>8.6176205421857083E-2</v>
      </c>
      <c r="Z312" s="43"/>
    </row>
    <row r="313" spans="1:26" ht="13.5" customHeight="1" x14ac:dyDescent="0.2">
      <c r="A313" s="39">
        <v>321</v>
      </c>
      <c r="B313" s="39" t="s">
        <v>335</v>
      </c>
      <c r="C313" s="40">
        <v>3</v>
      </c>
      <c r="D313" s="41">
        <v>1.8910734595616792</v>
      </c>
      <c r="E313" s="41">
        <v>25.657221429554717</v>
      </c>
      <c r="F313" s="41">
        <v>5.9826906184870445</v>
      </c>
      <c r="G313" s="41">
        <v>10.26675332113312</v>
      </c>
      <c r="H313" s="41">
        <v>0.88729559516224132</v>
      </c>
      <c r="I313" s="41">
        <v>5.6625007880171401</v>
      </c>
      <c r="J313" s="41">
        <v>0.74688452548408046</v>
      </c>
      <c r="K313" s="41">
        <v>3.7658725937851312</v>
      </c>
      <c r="L313" s="41">
        <v>0.3280910220652965</v>
      </c>
      <c r="M313" s="41">
        <v>0.27700156473476056</v>
      </c>
      <c r="N313" s="42">
        <v>3.2965580595521835E-2</v>
      </c>
      <c r="O313" s="42" t="s">
        <v>39</v>
      </c>
      <c r="P313" s="42">
        <v>7.315566971607694E-2</v>
      </c>
      <c r="Z313" s="43"/>
    </row>
    <row r="314" spans="1:26" ht="13.5" customHeight="1" x14ac:dyDescent="0.2">
      <c r="A314" s="39">
        <v>322</v>
      </c>
      <c r="B314" s="39" t="s">
        <v>336</v>
      </c>
      <c r="C314" s="40">
        <v>3</v>
      </c>
      <c r="D314" s="41">
        <v>3.0111851383445085</v>
      </c>
      <c r="E314" s="41">
        <v>29.937764315155484</v>
      </c>
      <c r="F314" s="41">
        <v>6.1259337802239653</v>
      </c>
      <c r="G314" s="41">
        <v>10.154627998827038</v>
      </c>
      <c r="H314" s="41">
        <v>0.94031309224026338</v>
      </c>
      <c r="I314" s="41">
        <v>6.0497912512221212</v>
      </c>
      <c r="J314" s="41">
        <v>0.91859813723080019</v>
      </c>
      <c r="K314" s="41">
        <v>3.8644105586331357</v>
      </c>
      <c r="L314" s="41">
        <v>0.31919423211024678</v>
      </c>
      <c r="M314" s="41">
        <v>0.27223527759510147</v>
      </c>
      <c r="N314" s="42">
        <v>6.3750960237257209E-2</v>
      </c>
      <c r="O314" s="42">
        <v>7.7435833078274438E-2</v>
      </c>
      <c r="P314" s="42">
        <v>8.7381950655400137E-2</v>
      </c>
      <c r="Z314" s="43"/>
    </row>
    <row r="315" spans="1:26" ht="13.5" customHeight="1" x14ac:dyDescent="0.2">
      <c r="A315" s="39">
        <v>323</v>
      </c>
      <c r="B315" s="39" t="s">
        <v>337</v>
      </c>
      <c r="C315" s="40">
        <v>3</v>
      </c>
      <c r="D315" s="41">
        <v>3.6512505112087768</v>
      </c>
      <c r="E315" s="41">
        <v>30.190624715576277</v>
      </c>
      <c r="F315" s="41">
        <v>5.7361713982502689</v>
      </c>
      <c r="G315" s="41">
        <v>9.2917056895177641</v>
      </c>
      <c r="H315" s="41">
        <v>0.8768483410533785</v>
      </c>
      <c r="I315" s="41">
        <v>5.8988286868301758</v>
      </c>
      <c r="J315" s="41">
        <v>1.0602788146593474</v>
      </c>
      <c r="K315" s="41">
        <v>3.67288848994112</v>
      </c>
      <c r="L315" s="41">
        <v>0.28838412637367428</v>
      </c>
      <c r="M315" s="41">
        <v>0.21337015035358053</v>
      </c>
      <c r="N315" s="42">
        <v>7.9666338372155157E-2</v>
      </c>
      <c r="O315" s="42">
        <v>8.9638936615357989E-2</v>
      </c>
      <c r="P315" s="42">
        <v>8.6794934936881632E-2</v>
      </c>
      <c r="Z315" s="43"/>
    </row>
    <row r="316" spans="1:26" ht="13.5" customHeight="1" x14ac:dyDescent="0.2">
      <c r="A316" s="39">
        <v>324</v>
      </c>
      <c r="B316" s="39" t="s">
        <v>338</v>
      </c>
      <c r="C316" s="40">
        <v>3</v>
      </c>
      <c r="D316" s="41" t="s">
        <v>39</v>
      </c>
      <c r="E316" s="41" t="s">
        <v>39</v>
      </c>
      <c r="F316" s="41">
        <v>6.9200760915682693</v>
      </c>
      <c r="G316" s="41">
        <v>11.404531362191822</v>
      </c>
      <c r="H316" s="41">
        <v>0.25996911911162934</v>
      </c>
      <c r="I316" s="41">
        <v>5.8944863131273797</v>
      </c>
      <c r="J316" s="41">
        <v>1.3851916542019795</v>
      </c>
      <c r="K316" s="41">
        <v>4.1759141574655683</v>
      </c>
      <c r="L316" s="41">
        <v>1.1301938101794491</v>
      </c>
      <c r="M316" s="41">
        <v>0.4563552598318964</v>
      </c>
      <c r="N316" s="42">
        <v>9.2388634618494947E-2</v>
      </c>
      <c r="O316" s="42" t="s">
        <v>39</v>
      </c>
      <c r="P316" s="42">
        <v>6.0861509595753302E-2</v>
      </c>
      <c r="Z316" s="43"/>
    </row>
    <row r="317" spans="1:26" ht="13.5" customHeight="1" x14ac:dyDescent="0.2">
      <c r="A317" s="39">
        <v>325</v>
      </c>
      <c r="B317" s="39" t="s">
        <v>339</v>
      </c>
      <c r="C317" s="40">
        <v>3</v>
      </c>
      <c r="D317" s="41" t="s">
        <v>39</v>
      </c>
      <c r="E317" s="41" t="s">
        <v>39</v>
      </c>
      <c r="F317" s="41">
        <v>6.8337306590303637</v>
      </c>
      <c r="G317" s="41">
        <v>11.138662636798626</v>
      </c>
      <c r="H317" s="41">
        <v>0.23952021056382938</v>
      </c>
      <c r="I317" s="41">
        <v>5.1758910232071882</v>
      </c>
      <c r="J317" s="41">
        <v>0.93219103557448768</v>
      </c>
      <c r="K317" s="41">
        <v>3.8755377092053855</v>
      </c>
      <c r="L317" s="41">
        <v>1.1223436368048176</v>
      </c>
      <c r="M317" s="41">
        <v>0.47763729288827672</v>
      </c>
      <c r="N317" s="42">
        <v>3.6088443379469232E-2</v>
      </c>
      <c r="O317" s="42" t="s">
        <v>39</v>
      </c>
      <c r="P317" s="42">
        <v>8.8289787654805996E-2</v>
      </c>
      <c r="Z317" s="43"/>
    </row>
    <row r="318" spans="1:26" ht="13.5" customHeight="1" x14ac:dyDescent="0.2">
      <c r="A318" s="39">
        <v>326</v>
      </c>
      <c r="B318" s="39" t="s">
        <v>340</v>
      </c>
      <c r="C318" s="40">
        <v>3</v>
      </c>
      <c r="D318" s="41" t="s">
        <v>39</v>
      </c>
      <c r="E318" s="41" t="s">
        <v>39</v>
      </c>
      <c r="F318" s="41">
        <v>7.2511199704041154</v>
      </c>
      <c r="G318" s="41">
        <v>11.570708014438619</v>
      </c>
      <c r="H318" s="41">
        <v>0.163830135050619</v>
      </c>
      <c r="I318" s="41">
        <v>5.382577656241196</v>
      </c>
      <c r="J318" s="41">
        <v>0.98523079140566661</v>
      </c>
      <c r="K318" s="41">
        <v>4.0017935366847581</v>
      </c>
      <c r="L318" s="41">
        <v>1.2770462308336801</v>
      </c>
      <c r="M318" s="41">
        <v>0.543005654001812</v>
      </c>
      <c r="N318" s="42">
        <v>3.7127782013737051E-2</v>
      </c>
      <c r="O318" s="42" t="s">
        <v>39</v>
      </c>
      <c r="P318" s="42">
        <v>8.9983072787471863E-2</v>
      </c>
      <c r="Z318" s="43"/>
    </row>
    <row r="319" spans="1:26" ht="13.5" customHeight="1" x14ac:dyDescent="0.2">
      <c r="A319" s="39">
        <v>327</v>
      </c>
      <c r="B319" s="39" t="s">
        <v>341</v>
      </c>
      <c r="C319" s="40">
        <v>3</v>
      </c>
      <c r="D319" s="41" t="s">
        <v>39</v>
      </c>
      <c r="E319" s="41" t="s">
        <v>39</v>
      </c>
      <c r="F319" s="41">
        <v>4.9628003192657859</v>
      </c>
      <c r="G319" s="41">
        <v>11.235879285164724</v>
      </c>
      <c r="H319" s="41">
        <v>0.24893332533570606</v>
      </c>
      <c r="I319" s="41">
        <v>5.1539537145230065</v>
      </c>
      <c r="J319" s="41">
        <v>0.84378298328367229</v>
      </c>
      <c r="K319" s="41">
        <v>4.5104720672785543</v>
      </c>
      <c r="L319" s="41">
        <v>0.57879603362211807</v>
      </c>
      <c r="M319" s="41">
        <v>0.27872074309078115</v>
      </c>
      <c r="N319" s="42">
        <v>4.6317560325206696E-2</v>
      </c>
      <c r="O319" s="42">
        <v>7.3291884938031598E-2</v>
      </c>
      <c r="P319" s="42">
        <v>3.4837647517816511E-2</v>
      </c>
      <c r="Z319" s="43"/>
    </row>
    <row r="320" spans="1:26" ht="13.5" customHeight="1" x14ac:dyDescent="0.2">
      <c r="A320" s="39">
        <v>328</v>
      </c>
      <c r="B320" s="39" t="s">
        <v>342</v>
      </c>
      <c r="C320" s="40">
        <v>3</v>
      </c>
      <c r="D320" s="41" t="s">
        <v>39</v>
      </c>
      <c r="E320" s="41">
        <v>0.94333541956291567</v>
      </c>
      <c r="F320" s="41">
        <v>4.7602354580386717</v>
      </c>
      <c r="G320" s="41">
        <v>11.241786348254829</v>
      </c>
      <c r="H320" s="41">
        <v>0.24529244308218523</v>
      </c>
      <c r="I320" s="41">
        <v>5.6798949052870968</v>
      </c>
      <c r="J320" s="41">
        <v>1.184222761929169</v>
      </c>
      <c r="K320" s="41">
        <v>4.5842611188748492</v>
      </c>
      <c r="L320" s="41">
        <v>0.46945433667222103</v>
      </c>
      <c r="M320" s="41">
        <v>0.27213835394354458</v>
      </c>
      <c r="N320" s="42">
        <v>0.10770237635834286</v>
      </c>
      <c r="O320" s="42">
        <v>7.1384629856947823E-2</v>
      </c>
      <c r="P320" s="42">
        <v>2.2435003273792969E-2</v>
      </c>
      <c r="Z320" s="43"/>
    </row>
    <row r="321" spans="1:26" ht="13.5" customHeight="1" x14ac:dyDescent="0.2">
      <c r="A321" s="39">
        <v>329</v>
      </c>
      <c r="B321" s="39" t="s">
        <v>343</v>
      </c>
      <c r="C321" s="40">
        <v>3</v>
      </c>
      <c r="D321" s="41" t="s">
        <v>39</v>
      </c>
      <c r="E321" s="41">
        <v>1.5902085595539126</v>
      </c>
      <c r="F321" s="41">
        <v>4.7313937474210963</v>
      </c>
      <c r="G321" s="41">
        <v>11.273069885524052</v>
      </c>
      <c r="H321" s="41">
        <v>0.24001823686944057</v>
      </c>
      <c r="I321" s="41">
        <v>6.8640986139326818</v>
      </c>
      <c r="J321" s="41">
        <v>1.3792846899425193</v>
      </c>
      <c r="K321" s="41">
        <v>4.8435135574550543</v>
      </c>
      <c r="L321" s="41">
        <v>0.458247148166948</v>
      </c>
      <c r="M321" s="41">
        <v>0.24958092002838342</v>
      </c>
      <c r="N321" s="42">
        <v>2.1046543327972799E-2</v>
      </c>
      <c r="O321" s="42">
        <v>7.4138422223936837E-2</v>
      </c>
      <c r="P321" s="42">
        <v>2.3923900613356093E-2</v>
      </c>
      <c r="Z321" s="43"/>
    </row>
    <row r="322" spans="1:26" ht="13.5" customHeight="1" x14ac:dyDescent="0.2">
      <c r="A322" s="39">
        <v>330</v>
      </c>
      <c r="B322" s="39" t="s">
        <v>344</v>
      </c>
      <c r="C322" s="40">
        <v>3</v>
      </c>
      <c r="D322" s="41">
        <v>15.46013566320908</v>
      </c>
      <c r="E322" s="41">
        <v>41.118262274261433</v>
      </c>
      <c r="F322" s="41">
        <v>5.7505257860632488</v>
      </c>
      <c r="G322" s="41">
        <v>7.8115944995213678</v>
      </c>
      <c r="H322" s="41">
        <v>0.23643406550214413</v>
      </c>
      <c r="I322" s="41">
        <v>7.3681210129346315</v>
      </c>
      <c r="J322" s="41">
        <v>1.5823325164363817</v>
      </c>
      <c r="K322" s="41">
        <v>4.0951066043907254</v>
      </c>
      <c r="L322" s="41">
        <v>0.90275595617943816</v>
      </c>
      <c r="M322" s="41">
        <v>0.22228144425525453</v>
      </c>
      <c r="N322" s="42">
        <v>2.0918084824003907E-2</v>
      </c>
      <c r="O322" s="42" t="s">
        <v>39</v>
      </c>
      <c r="P322" s="42">
        <v>0.10537447211636494</v>
      </c>
      <c r="Z322" s="43"/>
    </row>
    <row r="323" spans="1:26" ht="13.5" customHeight="1" x14ac:dyDescent="0.2">
      <c r="A323" s="39">
        <v>331</v>
      </c>
      <c r="B323" s="39" t="s">
        <v>345</v>
      </c>
      <c r="C323" s="40">
        <v>3</v>
      </c>
      <c r="D323" s="41">
        <v>18.717855861550404</v>
      </c>
      <c r="E323" s="41">
        <v>44.284247550006683</v>
      </c>
      <c r="F323" s="41">
        <v>5.4190535728613867</v>
      </c>
      <c r="G323" s="41">
        <v>7.65591900289823</v>
      </c>
      <c r="H323" s="41">
        <v>0.28576500640704189</v>
      </c>
      <c r="I323" s="41">
        <v>6.8082919192220377</v>
      </c>
      <c r="J323" s="41">
        <v>1.3230221818637395</v>
      </c>
      <c r="K323" s="41">
        <v>4.2112261801632913</v>
      </c>
      <c r="L323" s="41">
        <v>0.83371960010140822</v>
      </c>
      <c r="M323" s="41">
        <v>0.20950067831376185</v>
      </c>
      <c r="N323" s="42">
        <v>1.9022265727153341E-2</v>
      </c>
      <c r="O323" s="42" t="s">
        <v>39</v>
      </c>
      <c r="P323" s="42">
        <v>8.9550219927140295E-2</v>
      </c>
      <c r="Z323" s="43"/>
    </row>
    <row r="324" spans="1:26" ht="13.5" customHeight="1" x14ac:dyDescent="0.2">
      <c r="A324" s="39">
        <v>332</v>
      </c>
      <c r="B324" s="39" t="s">
        <v>346</v>
      </c>
      <c r="C324" s="40">
        <v>3</v>
      </c>
      <c r="D324" s="41">
        <v>14.155741584199248</v>
      </c>
      <c r="E324" s="41">
        <v>39.061728711853625</v>
      </c>
      <c r="F324" s="41">
        <v>5.6578348816712136</v>
      </c>
      <c r="G324" s="41">
        <v>7.9751973393189601</v>
      </c>
      <c r="H324" s="41">
        <v>0.27014272477626289</v>
      </c>
      <c r="I324" s="41">
        <v>5.8140164475755736</v>
      </c>
      <c r="J324" s="41">
        <v>1.3792173618311701</v>
      </c>
      <c r="K324" s="41">
        <v>4.1880045654624967</v>
      </c>
      <c r="L324" s="41">
        <v>0.9321700919507474</v>
      </c>
      <c r="M324" s="41">
        <v>0.26133521105861063</v>
      </c>
      <c r="N324" s="42">
        <v>7.3377339376994644E-2</v>
      </c>
      <c r="O324" s="42" t="s">
        <v>39</v>
      </c>
      <c r="P324" s="42">
        <v>9.6021282986791717E-2</v>
      </c>
      <c r="Z324" s="43"/>
    </row>
    <row r="325" spans="1:26" ht="13.5" customHeight="1" x14ac:dyDescent="0.2">
      <c r="A325" s="39">
        <v>333</v>
      </c>
      <c r="B325" s="39" t="s">
        <v>347</v>
      </c>
      <c r="C325" s="40">
        <v>3</v>
      </c>
      <c r="D325" s="41" t="s">
        <v>39</v>
      </c>
      <c r="E325" s="41" t="s">
        <v>39</v>
      </c>
      <c r="F325" s="41">
        <v>7.1512232711995791</v>
      </c>
      <c r="G325" s="41">
        <v>11.337218496024818</v>
      </c>
      <c r="H325" s="41">
        <v>0.1731705403903096</v>
      </c>
      <c r="I325" s="41">
        <v>5.6195614397703419</v>
      </c>
      <c r="J325" s="41">
        <v>1.2651561402309226</v>
      </c>
      <c r="K325" s="41">
        <v>4.2011124759182348</v>
      </c>
      <c r="L325" s="41">
        <v>1.3801849403034852</v>
      </c>
      <c r="M325" s="41">
        <v>0.40471779927005824</v>
      </c>
      <c r="N325" s="42">
        <v>6.2045103154910478E-2</v>
      </c>
      <c r="O325" s="42">
        <v>2.9318974304003056E-2</v>
      </c>
      <c r="P325" s="42">
        <v>9.4257003321280564E-2</v>
      </c>
      <c r="Z325" s="43"/>
    </row>
    <row r="326" spans="1:26" ht="13.5" customHeight="1" x14ac:dyDescent="0.2">
      <c r="A326" s="39">
        <v>334</v>
      </c>
      <c r="B326" s="39" t="s">
        <v>348</v>
      </c>
      <c r="C326" s="40">
        <v>3</v>
      </c>
      <c r="D326" s="41" t="s">
        <v>39</v>
      </c>
      <c r="E326" s="41" t="s">
        <v>39</v>
      </c>
      <c r="F326" s="41">
        <v>7.1621313322507589</v>
      </c>
      <c r="G326" s="41">
        <v>11.456611764710765</v>
      </c>
      <c r="H326" s="41">
        <v>0.1777396661535906</v>
      </c>
      <c r="I326" s="41">
        <v>5.6031000457265874</v>
      </c>
      <c r="J326" s="41">
        <v>1.2050113680278842</v>
      </c>
      <c r="K326" s="41">
        <v>4.2121222410984043</v>
      </c>
      <c r="L326" s="41">
        <v>1.4259216923406992</v>
      </c>
      <c r="M326" s="41">
        <v>0.44136448414256119</v>
      </c>
      <c r="N326" s="42">
        <v>5.3332437811503756E-2</v>
      </c>
      <c r="O326" s="42">
        <v>6.4741669843599026E-3</v>
      </c>
      <c r="P326" s="42">
        <v>8.3896224692897037E-2</v>
      </c>
      <c r="Z326" s="43"/>
    </row>
    <row r="327" spans="1:26" ht="13.5" customHeight="1" x14ac:dyDescent="0.2">
      <c r="A327" s="39">
        <v>335</v>
      </c>
      <c r="B327" s="39" t="s">
        <v>349</v>
      </c>
      <c r="C327" s="40">
        <v>3</v>
      </c>
      <c r="D327" s="41" t="s">
        <v>39</v>
      </c>
      <c r="E327" s="41" t="s">
        <v>39</v>
      </c>
      <c r="F327" s="41">
        <v>7.5497107159102343</v>
      </c>
      <c r="G327" s="41">
        <v>11.848165940994374</v>
      </c>
      <c r="H327" s="41">
        <v>0.12861955646321246</v>
      </c>
      <c r="I327" s="41">
        <v>5.6251017030441854</v>
      </c>
      <c r="J327" s="41">
        <v>1.1277978755765603</v>
      </c>
      <c r="K327" s="41">
        <v>4.1619146684300059</v>
      </c>
      <c r="L327" s="41">
        <v>1.5233751286824</v>
      </c>
      <c r="M327" s="41">
        <v>0.46487728157970154</v>
      </c>
      <c r="N327" s="42">
        <v>4.8205064970693066E-2</v>
      </c>
      <c r="O327" s="42">
        <v>7.8267192751501388E-2</v>
      </c>
      <c r="P327" s="42">
        <v>8.6994449639454963E-2</v>
      </c>
      <c r="Z327" s="43"/>
    </row>
    <row r="328" spans="1:26" ht="13.5" customHeight="1" x14ac:dyDescent="0.2">
      <c r="A328" s="39">
        <v>336</v>
      </c>
      <c r="B328" s="39" t="s">
        <v>350</v>
      </c>
      <c r="C328" s="40">
        <v>3</v>
      </c>
      <c r="D328" s="41">
        <v>0.83784994156396764</v>
      </c>
      <c r="E328" s="41">
        <v>16.313413230484798</v>
      </c>
      <c r="F328" s="41">
        <v>5.8257981807493486</v>
      </c>
      <c r="G328" s="41">
        <v>10.495913534726837</v>
      </c>
      <c r="H328" s="41">
        <v>0.41222951656362172</v>
      </c>
      <c r="I328" s="41">
        <v>5.6573700225473393</v>
      </c>
      <c r="J328" s="41">
        <v>1.0411355552595392</v>
      </c>
      <c r="K328" s="41">
        <v>4.2272110822926017</v>
      </c>
      <c r="L328" s="41">
        <v>0.84884071438668407</v>
      </c>
      <c r="M328" s="41">
        <v>0.22205633913019687</v>
      </c>
      <c r="N328" s="42">
        <v>5.9939997608534155E-2</v>
      </c>
      <c r="O328" s="42">
        <v>5.9284101856295082E-2</v>
      </c>
      <c r="P328" s="42">
        <v>0.10075099192547055</v>
      </c>
      <c r="Z328" s="43"/>
    </row>
    <row r="329" spans="1:26" ht="13.5" customHeight="1" x14ac:dyDescent="0.2">
      <c r="A329" s="39">
        <v>337</v>
      </c>
      <c r="B329" s="39" t="s">
        <v>351</v>
      </c>
      <c r="C329" s="40">
        <v>3</v>
      </c>
      <c r="D329" s="41">
        <v>0.58345196587306791</v>
      </c>
      <c r="E329" s="41">
        <v>15.365350524839355</v>
      </c>
      <c r="F329" s="41">
        <v>6.2055609358061217</v>
      </c>
      <c r="G329" s="41">
        <v>11.110135842538403</v>
      </c>
      <c r="H329" s="41">
        <v>0.45943003213051259</v>
      </c>
      <c r="I329" s="41">
        <v>7.7198218142149599</v>
      </c>
      <c r="J329" s="41">
        <v>1.5992094132362542</v>
      </c>
      <c r="K329" s="41">
        <v>5.9014120853574923</v>
      </c>
      <c r="L329" s="41">
        <v>0.94648516025009577</v>
      </c>
      <c r="M329" s="41">
        <v>0.22743887560787174</v>
      </c>
      <c r="N329" s="42">
        <v>1.9874594851732375E-2</v>
      </c>
      <c r="O329" s="42">
        <v>0.10810987465262503</v>
      </c>
      <c r="P329" s="42">
        <v>9.3761066494546019E-2</v>
      </c>
      <c r="Z329" s="43"/>
    </row>
    <row r="330" spans="1:26" ht="13.5" customHeight="1" x14ac:dyDescent="0.2">
      <c r="A330" s="39">
        <v>338</v>
      </c>
      <c r="B330" s="39" t="s">
        <v>352</v>
      </c>
      <c r="C330" s="40">
        <v>3</v>
      </c>
      <c r="D330" s="41" t="s">
        <v>39</v>
      </c>
      <c r="E330" s="41" t="s">
        <v>39</v>
      </c>
      <c r="F330" s="41">
        <v>7.6550881481203072</v>
      </c>
      <c r="G330" s="41">
        <v>12.098275651932589</v>
      </c>
      <c r="H330" s="41">
        <v>0.18388845222975728</v>
      </c>
      <c r="I330" s="41">
        <v>7.4780274663009845</v>
      </c>
      <c r="J330" s="41">
        <v>1.5449211223628541</v>
      </c>
      <c r="K330" s="41">
        <v>4.600210804834667</v>
      </c>
      <c r="L330" s="41">
        <v>1.3756197065236953</v>
      </c>
      <c r="M330" s="41">
        <v>0.43943385160008552</v>
      </c>
      <c r="N330" s="42">
        <v>1.6255388623493856E-2</v>
      </c>
      <c r="O330" s="42">
        <v>8.874118378136861E-2</v>
      </c>
      <c r="P330" s="42">
        <v>9.0103123440963162E-2</v>
      </c>
      <c r="Z330" s="43"/>
    </row>
    <row r="331" spans="1:26" ht="13.5" customHeight="1" x14ac:dyDescent="0.2">
      <c r="A331" s="39">
        <v>339</v>
      </c>
      <c r="B331" s="39" t="s">
        <v>353</v>
      </c>
      <c r="C331" s="40">
        <v>3</v>
      </c>
      <c r="D331" s="41" t="s">
        <v>39</v>
      </c>
      <c r="E331" s="41" t="s">
        <v>39</v>
      </c>
      <c r="F331" s="41">
        <v>7.9690881510248559</v>
      </c>
      <c r="G331" s="41">
        <v>12.014153537506516</v>
      </c>
      <c r="H331" s="41">
        <v>8.7770917684286381E-2</v>
      </c>
      <c r="I331" s="41">
        <v>6.4020988965907506</v>
      </c>
      <c r="J331" s="41">
        <v>1.5931502961981119</v>
      </c>
      <c r="K331" s="41">
        <v>4.5972656433020722</v>
      </c>
      <c r="L331" s="41">
        <v>1.5012760091074155</v>
      </c>
      <c r="M331" s="41">
        <v>0.43505696827661788</v>
      </c>
      <c r="N331" s="42">
        <v>0.1340867217354712</v>
      </c>
      <c r="O331" s="42">
        <v>4.7059896306425486E-2</v>
      </c>
      <c r="P331" s="42">
        <v>8.6053361816200519E-2</v>
      </c>
      <c r="Z331" s="43"/>
    </row>
    <row r="332" spans="1:26" ht="13.5" customHeight="1" x14ac:dyDescent="0.2">
      <c r="A332" s="39">
        <v>340</v>
      </c>
      <c r="B332" s="39" t="s">
        <v>354</v>
      </c>
      <c r="C332" s="40">
        <v>3</v>
      </c>
      <c r="D332" s="41" t="s">
        <v>39</v>
      </c>
      <c r="E332" s="41" t="s">
        <v>39</v>
      </c>
      <c r="F332" s="41">
        <v>7.8178281774827543</v>
      </c>
      <c r="G332" s="41">
        <v>12.137911759741385</v>
      </c>
      <c r="H332" s="41">
        <v>0.15802834977212513</v>
      </c>
      <c r="I332" s="41">
        <v>6.0294053576469828</v>
      </c>
      <c r="J332" s="41">
        <v>1.3466710769615773</v>
      </c>
      <c r="K332" s="41">
        <v>4.8022755825342145</v>
      </c>
      <c r="L332" s="41">
        <v>1.5378173333751799</v>
      </c>
      <c r="M332" s="41">
        <v>0.53604401819707004</v>
      </c>
      <c r="N332" s="42">
        <v>6.7486244432266418E-2</v>
      </c>
      <c r="O332" s="42">
        <v>0.12259428798478414</v>
      </c>
      <c r="P332" s="42">
        <v>0.1103240280039719</v>
      </c>
      <c r="Z332" s="43"/>
    </row>
    <row r="333" spans="1:26" ht="13.5" customHeight="1" x14ac:dyDescent="0.2">
      <c r="A333" s="39">
        <v>341</v>
      </c>
      <c r="B333" s="39" t="s">
        <v>355</v>
      </c>
      <c r="C333" s="40">
        <v>3</v>
      </c>
      <c r="D333" s="41">
        <v>0.56501065854739196</v>
      </c>
      <c r="E333" s="41">
        <v>15.156830417688436</v>
      </c>
      <c r="F333" s="41">
        <v>5.9968670423154258</v>
      </c>
      <c r="G333" s="41">
        <v>10.681825194199938</v>
      </c>
      <c r="H333" s="41">
        <v>0.47714782718841758</v>
      </c>
      <c r="I333" s="41">
        <v>5.9779497837551752</v>
      </c>
      <c r="J333" s="41">
        <v>1.3198477780034508</v>
      </c>
      <c r="K333" s="41">
        <v>5.7635241277754838</v>
      </c>
      <c r="L333" s="41">
        <v>1.0384536041656918</v>
      </c>
      <c r="M333" s="41">
        <v>0.29199828478968598</v>
      </c>
      <c r="N333" s="42">
        <v>8.0297781330926438E-2</v>
      </c>
      <c r="O333" s="42">
        <v>8.8006965581173019E-2</v>
      </c>
      <c r="P333" s="42">
        <v>0.11255847660533008</v>
      </c>
      <c r="Z333" s="43"/>
    </row>
    <row r="334" spans="1:26" ht="13.5" customHeight="1" x14ac:dyDescent="0.2">
      <c r="A334" s="39">
        <v>342</v>
      </c>
      <c r="B334" s="39" t="s">
        <v>356</v>
      </c>
      <c r="C334" s="40">
        <v>3</v>
      </c>
      <c r="D334" s="41" t="s">
        <v>39</v>
      </c>
      <c r="E334" s="41">
        <v>1.0956474630711601</v>
      </c>
      <c r="F334" s="41">
        <v>5.9040241025465026</v>
      </c>
      <c r="G334" s="41">
        <v>11.980254494754709</v>
      </c>
      <c r="H334" s="41">
        <v>0.46344855694691767</v>
      </c>
      <c r="I334" s="41">
        <v>7.8559611122857227</v>
      </c>
      <c r="J334" s="41">
        <v>1.7498671648578323</v>
      </c>
      <c r="K334" s="41">
        <v>5.3109772176742949</v>
      </c>
      <c r="L334" s="41">
        <v>2.2504774863625254</v>
      </c>
      <c r="M334" s="41">
        <v>0.34566717695348381</v>
      </c>
      <c r="N334" s="42">
        <v>2.8772272482914869E-2</v>
      </c>
      <c r="O334" s="42">
        <v>7.6576494169871751E-2</v>
      </c>
      <c r="P334" s="42">
        <v>7.7180852248437723E-2</v>
      </c>
      <c r="Z334" s="43"/>
    </row>
    <row r="335" spans="1:26" ht="13.5" customHeight="1" x14ac:dyDescent="0.2">
      <c r="A335" s="39">
        <v>343</v>
      </c>
      <c r="B335" s="39" t="s">
        <v>357</v>
      </c>
      <c r="C335" s="40">
        <v>3</v>
      </c>
      <c r="D335" s="41" t="s">
        <v>39</v>
      </c>
      <c r="E335" s="41" t="s">
        <v>39</v>
      </c>
      <c r="F335" s="41">
        <v>5.8177162470590744</v>
      </c>
      <c r="G335" s="41">
        <v>11.919162492030631</v>
      </c>
      <c r="H335" s="41">
        <v>0.44052904657145431</v>
      </c>
      <c r="I335" s="41">
        <v>7.9649538084620204</v>
      </c>
      <c r="J335" s="41">
        <v>1.8299487791501039</v>
      </c>
      <c r="K335" s="41">
        <v>5.4296496921080681</v>
      </c>
      <c r="L335" s="41">
        <v>2.179087493327363</v>
      </c>
      <c r="M335" s="41">
        <v>0.12472284188320037</v>
      </c>
      <c r="N335" s="42">
        <v>2.676570434494354E-2</v>
      </c>
      <c r="O335" s="42">
        <v>7.9841787397799624E-2</v>
      </c>
      <c r="P335" s="42">
        <v>0.11630804286724476</v>
      </c>
      <c r="Z335" s="43"/>
    </row>
    <row r="336" spans="1:26" ht="13.5" customHeight="1" x14ac:dyDescent="0.2">
      <c r="A336" s="39">
        <v>344</v>
      </c>
      <c r="B336" s="39" t="s">
        <v>358</v>
      </c>
      <c r="C336" s="40">
        <v>3</v>
      </c>
      <c r="D336" s="41" t="s">
        <v>39</v>
      </c>
      <c r="E336" s="41">
        <v>0.86458265993397521</v>
      </c>
      <c r="F336" s="41">
        <v>5.8654686798301228</v>
      </c>
      <c r="G336" s="41">
        <v>11.897503177429293</v>
      </c>
      <c r="H336" s="41">
        <v>0.41822292022567581</v>
      </c>
      <c r="I336" s="41">
        <v>7.6037726256149352</v>
      </c>
      <c r="J336" s="41">
        <v>1.6037880896758914</v>
      </c>
      <c r="K336" s="41">
        <v>4.9993473801753208</v>
      </c>
      <c r="L336" s="41">
        <v>2.2820015700691734</v>
      </c>
      <c r="M336" s="41">
        <v>0.33032616700783779</v>
      </c>
      <c r="N336" s="42">
        <v>2.9761438418995086E-2</v>
      </c>
      <c r="O336" s="42">
        <v>6.2317265541426359E-2</v>
      </c>
      <c r="P336" s="42">
        <v>9.1698244010353661E-2</v>
      </c>
      <c r="Z336" s="43"/>
    </row>
    <row r="337" spans="1:26" ht="13.5" customHeight="1" x14ac:dyDescent="0.2">
      <c r="A337" s="39">
        <v>345</v>
      </c>
      <c r="B337" s="39" t="s">
        <v>359</v>
      </c>
      <c r="C337" s="40">
        <v>3</v>
      </c>
      <c r="D337" s="41" t="s">
        <v>39</v>
      </c>
      <c r="E337" s="41" t="s">
        <v>39</v>
      </c>
      <c r="F337" s="41">
        <v>7.2657512488312639</v>
      </c>
      <c r="G337" s="41">
        <v>12.051913428601699</v>
      </c>
      <c r="H337" s="41">
        <v>0.19955818474137066</v>
      </c>
      <c r="I337" s="41">
        <v>5.9681693626088714</v>
      </c>
      <c r="J337" s="41">
        <v>1.26850254184661</v>
      </c>
      <c r="K337" s="41">
        <v>4.3908258288026847</v>
      </c>
      <c r="L337" s="41">
        <v>1.5770937694273286</v>
      </c>
      <c r="M337" s="41">
        <v>0.39101102547379585</v>
      </c>
      <c r="N337" s="42">
        <v>8.0328034433954656E-2</v>
      </c>
      <c r="O337" s="42" t="s">
        <v>39</v>
      </c>
      <c r="P337" s="42">
        <v>9.3543629588287242E-2</v>
      </c>
      <c r="Z337" s="43"/>
    </row>
    <row r="338" spans="1:26" ht="13.5" customHeight="1" x14ac:dyDescent="0.2">
      <c r="A338" s="39">
        <v>346</v>
      </c>
      <c r="B338" s="39" t="s">
        <v>360</v>
      </c>
      <c r="C338" s="40">
        <v>3</v>
      </c>
      <c r="D338" s="41" t="s">
        <v>39</v>
      </c>
      <c r="E338" s="41" t="s">
        <v>39</v>
      </c>
      <c r="F338" s="41">
        <v>7.0047320068224508</v>
      </c>
      <c r="G338" s="41">
        <v>11.966541537589841</v>
      </c>
      <c r="H338" s="41">
        <v>0.18849360686664768</v>
      </c>
      <c r="I338" s="41">
        <v>5.7085285994138122</v>
      </c>
      <c r="J338" s="41">
        <v>1.092440008827815</v>
      </c>
      <c r="K338" s="41">
        <v>4.2537798579403798</v>
      </c>
      <c r="L338" s="41">
        <v>1.3959699774255685</v>
      </c>
      <c r="M338" s="41">
        <v>0.36312772831013718</v>
      </c>
      <c r="N338" s="42">
        <v>6.091800078806453E-2</v>
      </c>
      <c r="O338" s="42" t="s">
        <v>39</v>
      </c>
      <c r="P338" s="42">
        <v>9.3515571286181043E-2</v>
      </c>
      <c r="Z338" s="43"/>
    </row>
    <row r="339" spans="1:26" ht="13.5" customHeight="1" x14ac:dyDescent="0.2">
      <c r="A339" s="39">
        <v>347</v>
      </c>
      <c r="B339" s="39" t="s">
        <v>361</v>
      </c>
      <c r="C339" s="40">
        <v>3</v>
      </c>
      <c r="D339" s="41" t="s">
        <v>39</v>
      </c>
      <c r="E339" s="41" t="s">
        <v>39</v>
      </c>
      <c r="F339" s="41">
        <v>6.9154661957246075</v>
      </c>
      <c r="G339" s="41">
        <v>12.01961734096529</v>
      </c>
      <c r="H339" s="41">
        <v>0.24432894592242194</v>
      </c>
      <c r="I339" s="41">
        <v>5.7134348558457679</v>
      </c>
      <c r="J339" s="41">
        <v>1.0514733592255232</v>
      </c>
      <c r="K339" s="41">
        <v>4.2617954543411072</v>
      </c>
      <c r="L339" s="41">
        <v>1.397426128347885</v>
      </c>
      <c r="M339" s="41">
        <v>0.32148919673683107</v>
      </c>
      <c r="N339" s="42">
        <v>5.5534604731313858E-2</v>
      </c>
      <c r="O339" s="42" t="s">
        <v>39</v>
      </c>
      <c r="P339" s="42">
        <v>9.4163826214450325E-2</v>
      </c>
      <c r="Z339" s="43"/>
    </row>
    <row r="340" spans="1:26" ht="13.5" customHeight="1" x14ac:dyDescent="0.2">
      <c r="A340" s="39">
        <v>348</v>
      </c>
      <c r="B340" s="39" t="s">
        <v>362</v>
      </c>
      <c r="C340" s="40">
        <v>3</v>
      </c>
      <c r="D340" s="41">
        <v>1.8080274220648773</v>
      </c>
      <c r="E340" s="41">
        <v>23.243533533998054</v>
      </c>
      <c r="F340" s="41">
        <v>5.8995429917470403</v>
      </c>
      <c r="G340" s="41">
        <v>9.6001520741303512</v>
      </c>
      <c r="H340" s="41">
        <v>0.60092724704624967</v>
      </c>
      <c r="I340" s="41">
        <v>5.3977541810197422</v>
      </c>
      <c r="J340" s="41">
        <v>0.81184177942060798</v>
      </c>
      <c r="K340" s="41">
        <v>3.4593607340918724</v>
      </c>
      <c r="L340" s="41">
        <v>0.47196456555345778</v>
      </c>
      <c r="M340" s="41">
        <v>0.18073463702597922</v>
      </c>
      <c r="N340" s="42">
        <v>4.3309556136097542E-2</v>
      </c>
      <c r="O340" s="42" t="s">
        <v>39</v>
      </c>
      <c r="P340" s="42">
        <v>0.11430906362293727</v>
      </c>
      <c r="Z340" s="43"/>
    </row>
    <row r="341" spans="1:26" ht="13.5" customHeight="1" x14ac:dyDescent="0.2">
      <c r="A341" s="39">
        <v>349</v>
      </c>
      <c r="B341" s="39" t="s">
        <v>363</v>
      </c>
      <c r="C341" s="40">
        <v>3</v>
      </c>
      <c r="D341" s="41">
        <v>0.20245717405087163</v>
      </c>
      <c r="E341" s="41">
        <v>13.018541950135148</v>
      </c>
      <c r="F341" s="41">
        <v>6.6402193153842468</v>
      </c>
      <c r="G341" s="41">
        <v>11.260676729210402</v>
      </c>
      <c r="H341" s="41">
        <v>0.78359558178792388</v>
      </c>
      <c r="I341" s="41">
        <v>5.980864702810182</v>
      </c>
      <c r="J341" s="41">
        <v>0.89389010818247905</v>
      </c>
      <c r="K341" s="41">
        <v>4.5772313716761914</v>
      </c>
      <c r="L341" s="41">
        <v>0.51939564032315721</v>
      </c>
      <c r="M341" s="41">
        <v>0.21502472604879258</v>
      </c>
      <c r="N341" s="42">
        <v>7.2600054317936022E-2</v>
      </c>
      <c r="O341" s="42" t="s">
        <v>39</v>
      </c>
      <c r="P341" s="42">
        <v>0.12678669766072803</v>
      </c>
      <c r="Z341" s="43"/>
    </row>
    <row r="342" spans="1:26" ht="13.5" customHeight="1" x14ac:dyDescent="0.2">
      <c r="A342" s="39">
        <v>350</v>
      </c>
      <c r="B342" s="39" t="s">
        <v>364</v>
      </c>
      <c r="C342" s="40">
        <v>3</v>
      </c>
      <c r="D342" s="41" t="s">
        <v>39</v>
      </c>
      <c r="E342" s="41">
        <v>8.0834218685021337</v>
      </c>
      <c r="F342" s="41">
        <v>6.7956788213934418</v>
      </c>
      <c r="G342" s="41">
        <v>11.433358034775637</v>
      </c>
      <c r="H342" s="41">
        <v>0.77029819797783672</v>
      </c>
      <c r="I342" s="41">
        <v>5.6658192518157744</v>
      </c>
      <c r="J342" s="41">
        <v>0.71290953711511795</v>
      </c>
      <c r="K342" s="41">
        <v>3.6638059087173422</v>
      </c>
      <c r="L342" s="41">
        <v>0.53486513149075687</v>
      </c>
      <c r="M342" s="41">
        <v>0.20838879086225892</v>
      </c>
      <c r="N342" s="42">
        <v>4.9796704186438751E-2</v>
      </c>
      <c r="O342" s="42" t="s">
        <v>39</v>
      </c>
      <c r="P342" s="42">
        <v>0.13965789751211427</v>
      </c>
      <c r="Z342" s="43"/>
    </row>
    <row r="343" spans="1:26" ht="13.5" customHeight="1" x14ac:dyDescent="0.2">
      <c r="A343" s="39">
        <v>351</v>
      </c>
      <c r="B343" s="39" t="s">
        <v>365</v>
      </c>
      <c r="C343" s="40">
        <v>3</v>
      </c>
      <c r="D343" s="41" t="s">
        <v>39</v>
      </c>
      <c r="E343" s="41" t="s">
        <v>39</v>
      </c>
      <c r="F343" s="41">
        <v>7.452260235394025</v>
      </c>
      <c r="G343" s="41">
        <v>11.874208106526716</v>
      </c>
      <c r="H343" s="41">
        <v>0.22470957538784897</v>
      </c>
      <c r="I343" s="41">
        <v>5.4615895850661405</v>
      </c>
      <c r="J343" s="41">
        <v>0.81753010033583007</v>
      </c>
      <c r="K343" s="41">
        <v>3.8743842030010627</v>
      </c>
      <c r="L343" s="41">
        <v>1.4858882187808558</v>
      </c>
      <c r="M343" s="41">
        <v>0.38857675930065894</v>
      </c>
      <c r="N343" s="42">
        <v>4.8037948316461812E-2</v>
      </c>
      <c r="O343" s="42">
        <v>3.8670675901674813E-2</v>
      </c>
      <c r="P343" s="42">
        <v>9.3252045012108264E-2</v>
      </c>
      <c r="Z343" s="43"/>
    </row>
    <row r="344" spans="1:26" ht="13.5" customHeight="1" x14ac:dyDescent="0.2">
      <c r="A344" s="39">
        <v>352</v>
      </c>
      <c r="B344" s="39" t="s">
        <v>366</v>
      </c>
      <c r="C344" s="40">
        <v>3</v>
      </c>
      <c r="D344" s="41" t="s">
        <v>39</v>
      </c>
      <c r="E344" s="41" t="s">
        <v>39</v>
      </c>
      <c r="F344" s="41">
        <v>6.7830288492607931</v>
      </c>
      <c r="G344" s="41">
        <v>10.886367729725748</v>
      </c>
      <c r="H344" s="41">
        <v>0.13576047362189769</v>
      </c>
      <c r="I344" s="41">
        <v>4.990764975455912</v>
      </c>
      <c r="J344" s="41">
        <v>0.78053746138779345</v>
      </c>
      <c r="K344" s="41">
        <v>3.5634749204709624</v>
      </c>
      <c r="L344" s="41">
        <v>1.1760415181392072</v>
      </c>
      <c r="M344" s="41">
        <v>0.36927500693802173</v>
      </c>
      <c r="N344" s="42">
        <v>3.965363090266022E-2</v>
      </c>
      <c r="O344" s="42" t="s">
        <v>39</v>
      </c>
      <c r="P344" s="42">
        <v>8.7514546672950971E-2</v>
      </c>
      <c r="Z344" s="43"/>
    </row>
    <row r="345" spans="1:26" ht="13.5" customHeight="1" x14ac:dyDescent="0.2">
      <c r="A345" s="39">
        <v>353</v>
      </c>
      <c r="B345" s="39" t="s">
        <v>367</v>
      </c>
      <c r="C345" s="40">
        <v>3</v>
      </c>
      <c r="D345" s="41" t="s">
        <v>39</v>
      </c>
      <c r="E345" s="41" t="s">
        <v>39</v>
      </c>
      <c r="F345" s="41">
        <v>7.7827565398796512</v>
      </c>
      <c r="G345" s="41">
        <v>12.489998009443408</v>
      </c>
      <c r="H345" s="41">
        <v>0.24981068066123951</v>
      </c>
      <c r="I345" s="41">
        <v>5.6399163610600338</v>
      </c>
      <c r="J345" s="41">
        <v>0.8509463551308647</v>
      </c>
      <c r="K345" s="41">
        <v>4.0852869573783934</v>
      </c>
      <c r="L345" s="41">
        <v>1.5147923628837101</v>
      </c>
      <c r="M345" s="41">
        <v>0.39907113740859934</v>
      </c>
      <c r="N345" s="42">
        <v>3.7668121926629994E-2</v>
      </c>
      <c r="O345" s="42">
        <v>4.031286487615901E-2</v>
      </c>
      <c r="P345" s="42">
        <v>0.10239555604976928</v>
      </c>
      <c r="Z345" s="43"/>
    </row>
    <row r="346" spans="1:26" ht="13.5" customHeight="1" x14ac:dyDescent="0.2">
      <c r="A346" s="39">
        <v>354</v>
      </c>
      <c r="B346" s="39" t="s">
        <v>368</v>
      </c>
      <c r="C346" s="40">
        <v>3</v>
      </c>
      <c r="D346" s="41" t="s">
        <v>39</v>
      </c>
      <c r="E346" s="41" t="s">
        <v>39</v>
      </c>
      <c r="F346" s="41">
        <v>5.3738121968739279</v>
      </c>
      <c r="G346" s="41">
        <v>11.608277109936902</v>
      </c>
      <c r="H346" s="41">
        <v>0.3659633272889059</v>
      </c>
      <c r="I346" s="41">
        <v>5.3820979226981667</v>
      </c>
      <c r="J346" s="41">
        <v>0.83475093411621737</v>
      </c>
      <c r="K346" s="41">
        <v>4.22236687717667</v>
      </c>
      <c r="L346" s="41">
        <v>0.66194864168240763</v>
      </c>
      <c r="M346" s="41">
        <v>0.15658312844152134</v>
      </c>
      <c r="N346" s="42">
        <v>4.9436366502184179E-2</v>
      </c>
      <c r="O346" s="42">
        <v>7.8483048438645564E-2</v>
      </c>
      <c r="P346" s="42">
        <v>6.9896362966298961E-2</v>
      </c>
      <c r="Z346" s="43"/>
    </row>
    <row r="347" spans="1:26" ht="13.5" customHeight="1" x14ac:dyDescent="0.2">
      <c r="A347" s="39">
        <v>355</v>
      </c>
      <c r="B347" s="39" t="s">
        <v>369</v>
      </c>
      <c r="C347" s="40">
        <v>3</v>
      </c>
      <c r="D347" s="41" t="s">
        <v>39</v>
      </c>
      <c r="E347" s="41" t="s">
        <v>39</v>
      </c>
      <c r="F347" s="41">
        <v>5.7969925249772167</v>
      </c>
      <c r="G347" s="41">
        <v>12.02835140144547</v>
      </c>
      <c r="H347" s="41">
        <v>0.2571399184450438</v>
      </c>
      <c r="I347" s="41">
        <v>5.6972899199362619</v>
      </c>
      <c r="J347" s="41">
        <v>0.86459404839275666</v>
      </c>
      <c r="K347" s="41">
        <v>4.2400610001284278</v>
      </c>
      <c r="L347" s="41">
        <v>0.94516125991942068</v>
      </c>
      <c r="M347" s="41">
        <v>5.6399273309057155E-2</v>
      </c>
      <c r="N347" s="42">
        <v>7.7721692734834869E-2</v>
      </c>
      <c r="O347" s="42" t="s">
        <v>39</v>
      </c>
      <c r="P347" s="42">
        <v>7.6561290564794993E-2</v>
      </c>
      <c r="Z347" s="43"/>
    </row>
    <row r="348" spans="1:26" ht="13.5" customHeight="1" x14ac:dyDescent="0.2">
      <c r="A348" s="39">
        <v>356</v>
      </c>
      <c r="B348" s="39" t="s">
        <v>370</v>
      </c>
      <c r="C348" s="40">
        <v>3</v>
      </c>
      <c r="D348" s="41" t="s">
        <v>39</v>
      </c>
      <c r="E348" s="41">
        <v>1.3368539570282967</v>
      </c>
      <c r="F348" s="41">
        <v>5.8357293830985997</v>
      </c>
      <c r="G348" s="41">
        <v>12.099848407331006</v>
      </c>
      <c r="H348" s="41">
        <v>0.36253264544994429</v>
      </c>
      <c r="I348" s="41">
        <v>5.7889893782187984</v>
      </c>
      <c r="J348" s="41">
        <v>0.93856205050875641</v>
      </c>
      <c r="K348" s="41">
        <v>4.476024659731995</v>
      </c>
      <c r="L348" s="41">
        <v>0.78106081563286989</v>
      </c>
      <c r="M348" s="41">
        <v>0.1711208872127801</v>
      </c>
      <c r="N348" s="42">
        <v>7.4963648265841787E-2</v>
      </c>
      <c r="O348" s="42" t="s">
        <v>39</v>
      </c>
      <c r="P348" s="42">
        <v>6.07452013350432E-2</v>
      </c>
      <c r="Z348" s="43"/>
    </row>
    <row r="349" spans="1:26" ht="13.5" customHeight="1" x14ac:dyDescent="0.2">
      <c r="A349" s="39">
        <v>357</v>
      </c>
      <c r="B349" s="39" t="s">
        <v>371</v>
      </c>
      <c r="C349" s="40">
        <v>3</v>
      </c>
      <c r="D349" s="41" t="s">
        <v>39</v>
      </c>
      <c r="E349" s="41">
        <v>3.0810109054103831</v>
      </c>
      <c r="F349" s="41">
        <v>5.7009023319270913</v>
      </c>
      <c r="G349" s="41">
        <v>11.391830483057472</v>
      </c>
      <c r="H349" s="41">
        <v>0.27059715205573498</v>
      </c>
      <c r="I349" s="41">
        <v>5.8797784311508181</v>
      </c>
      <c r="J349" s="41">
        <v>1.1782593958355934</v>
      </c>
      <c r="K349" s="41">
        <v>4.4289980214463132</v>
      </c>
      <c r="L349" s="41">
        <v>0.87404506637918111</v>
      </c>
      <c r="M349" s="41">
        <v>5.5287862800366377E-2</v>
      </c>
      <c r="N349" s="42">
        <v>0.11069716235262086</v>
      </c>
      <c r="O349" s="42">
        <v>7.463967384753456E-2</v>
      </c>
      <c r="P349" s="42">
        <v>6.1418046556699142E-2</v>
      </c>
      <c r="Z349" s="43"/>
    </row>
    <row r="350" spans="1:26" ht="13.5" customHeight="1" x14ac:dyDescent="0.2">
      <c r="A350" s="39">
        <v>358</v>
      </c>
      <c r="B350" s="39" t="s">
        <v>372</v>
      </c>
      <c r="C350" s="40">
        <v>3</v>
      </c>
      <c r="D350" s="41" t="s">
        <v>39</v>
      </c>
      <c r="E350" s="41">
        <v>5.8910810915582283</v>
      </c>
      <c r="F350" s="41">
        <v>5.8496576042506243</v>
      </c>
      <c r="G350" s="41">
        <v>11.343788422706922</v>
      </c>
      <c r="H350" s="41">
        <v>0.29844137708421858</v>
      </c>
      <c r="I350" s="41">
        <v>5.3443838438802391</v>
      </c>
      <c r="J350" s="41">
        <v>0.79663608403754183</v>
      </c>
      <c r="K350" s="41">
        <v>4.4573333174989065</v>
      </c>
      <c r="L350" s="41">
        <v>0.85234738688987854</v>
      </c>
      <c r="M350" s="41">
        <v>0.17047193986226541</v>
      </c>
      <c r="N350" s="42">
        <v>4.3636781393065274E-2</v>
      </c>
      <c r="O350" s="42">
        <v>6.8637370159688973E-2</v>
      </c>
      <c r="P350" s="42">
        <v>6.6207036796633173E-2</v>
      </c>
      <c r="Z350" s="43"/>
    </row>
    <row r="351" spans="1:26" ht="13.5" customHeight="1" x14ac:dyDescent="0.2">
      <c r="A351" s="39">
        <v>359</v>
      </c>
      <c r="B351" s="39" t="s">
        <v>373</v>
      </c>
      <c r="C351" s="40">
        <v>3</v>
      </c>
      <c r="D351" s="41">
        <v>5.4177003959358372E-2</v>
      </c>
      <c r="E351" s="41">
        <v>8.2170309890794062</v>
      </c>
      <c r="F351" s="41">
        <v>5.7743486971742435</v>
      </c>
      <c r="G351" s="41">
        <v>11.435968267803993</v>
      </c>
      <c r="H351" s="41">
        <v>0.3458956205846756</v>
      </c>
      <c r="I351" s="41">
        <v>5.5133848472161651</v>
      </c>
      <c r="J351" s="41">
        <v>0.87386685484507731</v>
      </c>
      <c r="K351" s="41">
        <v>4.7046245145340873</v>
      </c>
      <c r="L351" s="41">
        <v>0.78564381191867683</v>
      </c>
      <c r="M351" s="41">
        <v>0.18489916948944929</v>
      </c>
      <c r="N351" s="42">
        <v>4.4827195079900489E-2</v>
      </c>
      <c r="O351" s="42">
        <v>7.7745430403052013E-2</v>
      </c>
      <c r="P351" s="42">
        <v>6.8542639985054249E-2</v>
      </c>
      <c r="Z351" s="43"/>
    </row>
    <row r="352" spans="1:26" ht="13.5" customHeight="1" x14ac:dyDescent="0.2">
      <c r="A352" s="39">
        <v>360</v>
      </c>
      <c r="B352" s="39" t="s">
        <v>374</v>
      </c>
      <c r="C352" s="40">
        <v>3</v>
      </c>
      <c r="D352" s="41" t="s">
        <v>39</v>
      </c>
      <c r="E352" s="41" t="s">
        <v>39</v>
      </c>
      <c r="F352" s="41">
        <v>5.1820716153348707</v>
      </c>
      <c r="G352" s="41">
        <v>12.232084639213298</v>
      </c>
      <c r="H352" s="41">
        <v>0.28829410985158943</v>
      </c>
      <c r="I352" s="41">
        <v>5.6322776782713433</v>
      </c>
      <c r="J352" s="41">
        <v>0.92899572628304761</v>
      </c>
      <c r="K352" s="41">
        <v>4.8387208207981836</v>
      </c>
      <c r="L352" s="41">
        <v>0.64900337791136642</v>
      </c>
      <c r="M352" s="41">
        <v>0.2624531348163362</v>
      </c>
      <c r="N352" s="42">
        <v>6.7341837218829845E-2</v>
      </c>
      <c r="O352" s="42" t="s">
        <v>39</v>
      </c>
      <c r="P352" s="42">
        <v>4.5419635290187013E-2</v>
      </c>
      <c r="Z352" s="43"/>
    </row>
    <row r="353" spans="1:26" ht="13.5" customHeight="1" x14ac:dyDescent="0.2">
      <c r="A353" s="39">
        <v>361</v>
      </c>
      <c r="B353" s="39" t="s">
        <v>375</v>
      </c>
      <c r="C353" s="40">
        <v>3</v>
      </c>
      <c r="D353" s="41" t="s">
        <v>39</v>
      </c>
      <c r="E353" s="41" t="s">
        <v>39</v>
      </c>
      <c r="F353" s="41">
        <v>5.6069324772837827</v>
      </c>
      <c r="G353" s="41">
        <v>12.527656816899938</v>
      </c>
      <c r="H353" s="41">
        <v>0.38260766516127698</v>
      </c>
      <c r="I353" s="41">
        <v>5.6644990189450786</v>
      </c>
      <c r="J353" s="41">
        <v>0.8286296575582992</v>
      </c>
      <c r="K353" s="41">
        <v>4.9012127019584391</v>
      </c>
      <c r="L353" s="41">
        <v>0.67006362959657173</v>
      </c>
      <c r="M353" s="41">
        <v>0.23947577114737684</v>
      </c>
      <c r="N353" s="42">
        <v>5.8068575306449391E-2</v>
      </c>
      <c r="O353" s="42">
        <v>8.0659537746757937E-2</v>
      </c>
      <c r="P353" s="42">
        <v>0.10795746457575431</v>
      </c>
      <c r="Z353" s="43"/>
    </row>
    <row r="354" spans="1:26" ht="13.5" customHeight="1" x14ac:dyDescent="0.2">
      <c r="A354" s="39">
        <v>362</v>
      </c>
      <c r="B354" s="39" t="s">
        <v>376</v>
      </c>
      <c r="C354" s="40">
        <v>3</v>
      </c>
      <c r="D354" s="41" t="s">
        <v>39</v>
      </c>
      <c r="E354" s="41" t="s">
        <v>39</v>
      </c>
      <c r="F354" s="41">
        <v>5.2994639359207376</v>
      </c>
      <c r="G354" s="41">
        <v>12.048703353866031</v>
      </c>
      <c r="H354" s="41">
        <v>0.28446594380814139</v>
      </c>
      <c r="I354" s="41">
        <v>5.4753024882844352</v>
      </c>
      <c r="J354" s="41">
        <v>0.84205878241696053</v>
      </c>
      <c r="K354" s="41">
        <v>4.7620076411982417</v>
      </c>
      <c r="L354" s="41">
        <v>0.6733672652573307</v>
      </c>
      <c r="M354" s="41">
        <v>0.28823628144027297</v>
      </c>
      <c r="N354" s="42">
        <v>5.8647138270125757E-2</v>
      </c>
      <c r="O354" s="42">
        <v>0.10646728460710625</v>
      </c>
      <c r="P354" s="42">
        <v>4.7100439145992504E-2</v>
      </c>
      <c r="Z354" s="43"/>
    </row>
    <row r="355" spans="1:26" ht="13.5" customHeight="1" x14ac:dyDescent="0.2">
      <c r="A355" s="39">
        <v>363</v>
      </c>
      <c r="B355" s="39" t="s">
        <v>377</v>
      </c>
      <c r="C355" s="40">
        <v>3</v>
      </c>
      <c r="D355" s="41">
        <v>4.3472058527438815</v>
      </c>
      <c r="E355" s="41">
        <v>20.902420051389491</v>
      </c>
      <c r="F355" s="41">
        <v>6.3178669213213219</v>
      </c>
      <c r="G355" s="41">
        <v>10.438154439615481</v>
      </c>
      <c r="H355" s="41">
        <v>0.20283689469622712</v>
      </c>
      <c r="I355" s="41">
        <v>5.5149497221278887</v>
      </c>
      <c r="J355" s="41">
        <v>0.97526315741574676</v>
      </c>
      <c r="K355" s="41">
        <v>4.2194611876316728</v>
      </c>
      <c r="L355" s="41">
        <v>1.0392834619955422</v>
      </c>
      <c r="M355" s="41">
        <v>0.25683648408611942</v>
      </c>
      <c r="N355" s="42">
        <v>6.7829459176637352E-2</v>
      </c>
      <c r="O355" s="42" t="s">
        <v>39</v>
      </c>
      <c r="P355" s="42">
        <v>7.2245595297531467E-2</v>
      </c>
      <c r="Z355" s="43"/>
    </row>
    <row r="356" spans="1:26" ht="13.5" customHeight="1" x14ac:dyDescent="0.2">
      <c r="A356" s="39">
        <v>364</v>
      </c>
      <c r="B356" s="39" t="s">
        <v>378</v>
      </c>
      <c r="C356" s="40">
        <v>3</v>
      </c>
      <c r="D356" s="41">
        <v>2.0998121777656733</v>
      </c>
      <c r="E356" s="41">
        <v>16.263793092023278</v>
      </c>
      <c r="F356" s="41">
        <v>6.3710001093497883</v>
      </c>
      <c r="G356" s="41">
        <v>10.865691587828884</v>
      </c>
      <c r="H356" s="41">
        <v>0.2171262920632262</v>
      </c>
      <c r="I356" s="41">
        <v>5.6157953263816056</v>
      </c>
      <c r="J356" s="41">
        <v>1.0261089854517014</v>
      </c>
      <c r="K356" s="41">
        <v>4.2352728309467986</v>
      </c>
      <c r="L356" s="41">
        <v>1.0119317396650218</v>
      </c>
      <c r="M356" s="41">
        <v>0.25169628583110704</v>
      </c>
      <c r="N356" s="42">
        <v>7.9736241741774086E-2</v>
      </c>
      <c r="O356" s="42" t="s">
        <v>39</v>
      </c>
      <c r="P356" s="42">
        <v>6.6347896577231849E-2</v>
      </c>
      <c r="Z356" s="43"/>
    </row>
    <row r="357" spans="1:26" ht="13.5" customHeight="1" x14ac:dyDescent="0.2">
      <c r="A357" s="39">
        <v>365</v>
      </c>
      <c r="B357" s="39" t="s">
        <v>379</v>
      </c>
      <c r="C357" s="40">
        <v>3</v>
      </c>
      <c r="D357" s="41">
        <v>3.0961666201964788</v>
      </c>
      <c r="E357" s="41">
        <v>19.392877605791135</v>
      </c>
      <c r="F357" s="41">
        <v>6.2832243395027785</v>
      </c>
      <c r="G357" s="41">
        <v>10.443698310704224</v>
      </c>
      <c r="H357" s="41">
        <v>0.19692774433674198</v>
      </c>
      <c r="I357" s="41">
        <v>5.5793484770327435</v>
      </c>
      <c r="J357" s="41">
        <v>1.0821709619805921</v>
      </c>
      <c r="K357" s="41">
        <v>4.1624031199719749</v>
      </c>
      <c r="L357" s="41">
        <v>1.0229874124225369</v>
      </c>
      <c r="M357" s="41">
        <v>0.25566699920444358</v>
      </c>
      <c r="N357" s="42">
        <v>8.8745085939363158E-2</v>
      </c>
      <c r="O357" s="42" t="s">
        <v>39</v>
      </c>
      <c r="P357" s="42">
        <v>5.9967933278329909E-2</v>
      </c>
      <c r="Z357" s="43"/>
    </row>
    <row r="358" spans="1:26" ht="13.5" customHeight="1" x14ac:dyDescent="0.2">
      <c r="A358" s="39">
        <v>366</v>
      </c>
      <c r="B358" s="39" t="s">
        <v>380</v>
      </c>
      <c r="C358" s="40">
        <v>3</v>
      </c>
      <c r="D358" s="41" t="s">
        <v>39</v>
      </c>
      <c r="E358" s="41" t="s">
        <v>39</v>
      </c>
      <c r="F358" s="41">
        <v>5.4991539054029221</v>
      </c>
      <c r="G358" s="41">
        <v>11.319121213014757</v>
      </c>
      <c r="H358" s="41">
        <v>0.18346950255979627</v>
      </c>
      <c r="I358" s="41">
        <v>5.9057602992967686</v>
      </c>
      <c r="J358" s="41">
        <v>0.78643647424204599</v>
      </c>
      <c r="K358" s="41">
        <v>4.5617169836682132</v>
      </c>
      <c r="L358" s="41">
        <v>1.1364795473223377</v>
      </c>
      <c r="M358" s="41">
        <v>2.8909058019450318E-2</v>
      </c>
      <c r="N358" s="42">
        <v>5.0270831553505993E-2</v>
      </c>
      <c r="O358" s="42">
        <v>7.0695282530316844E-2</v>
      </c>
      <c r="P358" s="42">
        <v>7.8628458208083035E-2</v>
      </c>
      <c r="Z358" s="43"/>
    </row>
    <row r="359" spans="1:26" ht="13.5" customHeight="1" x14ac:dyDescent="0.2">
      <c r="A359" s="39">
        <v>367</v>
      </c>
      <c r="B359" s="39" t="s">
        <v>381</v>
      </c>
      <c r="C359" s="40">
        <v>3</v>
      </c>
      <c r="D359" s="41" t="s">
        <v>39</v>
      </c>
      <c r="E359" s="41">
        <v>1.9756654488373111</v>
      </c>
      <c r="F359" s="41">
        <v>5.800579027548995</v>
      </c>
      <c r="G359" s="41">
        <v>11.894708560472699</v>
      </c>
      <c r="H359" s="41">
        <v>0.25541390214479293</v>
      </c>
      <c r="I359" s="41">
        <v>6.1275872191329679</v>
      </c>
      <c r="J359" s="41">
        <v>0.88256432605679425</v>
      </c>
      <c r="K359" s="41">
        <v>4.9998282873430719</v>
      </c>
      <c r="L359" s="41">
        <v>1.074215444196994</v>
      </c>
      <c r="M359" s="41">
        <v>3.4704352433645939E-2</v>
      </c>
      <c r="N359" s="42">
        <v>5.1569582729491158E-2</v>
      </c>
      <c r="O359" s="42">
        <v>7.4014909145221325E-2</v>
      </c>
      <c r="P359" s="42">
        <v>8.7861717320890348E-2</v>
      </c>
      <c r="Z359" s="43"/>
    </row>
    <row r="360" spans="1:26" ht="13.5" customHeight="1" x14ac:dyDescent="0.2">
      <c r="A360" s="39">
        <v>368</v>
      </c>
      <c r="B360" s="39" t="s">
        <v>382</v>
      </c>
      <c r="C360" s="40">
        <v>3</v>
      </c>
      <c r="D360" s="41" t="s">
        <v>39</v>
      </c>
      <c r="E360" s="41">
        <v>0.94443164369321275</v>
      </c>
      <c r="F360" s="41">
        <v>6.0655187132719641</v>
      </c>
      <c r="G360" s="41">
        <v>12.275116139312043</v>
      </c>
      <c r="H360" s="41">
        <v>0.27600342823649615</v>
      </c>
      <c r="I360" s="41">
        <v>6.2235119229319356</v>
      </c>
      <c r="J360" s="41">
        <v>0.88140846206093548</v>
      </c>
      <c r="K360" s="41">
        <v>5.1173682812550325</v>
      </c>
      <c r="L360" s="41">
        <v>1.1027162336754908</v>
      </c>
      <c r="M360" s="41">
        <v>2.4670960047085171E-2</v>
      </c>
      <c r="N360" s="42">
        <v>5.2314204074405402E-2</v>
      </c>
      <c r="O360" s="42">
        <v>6.6312367472406347E-2</v>
      </c>
      <c r="P360" s="42">
        <v>9.7119702711064168E-2</v>
      </c>
      <c r="Z360" s="43"/>
    </row>
    <row r="361" spans="1:26" ht="13.5" customHeight="1" x14ac:dyDescent="0.2">
      <c r="A361" s="39">
        <v>369</v>
      </c>
      <c r="B361" s="39" t="s">
        <v>383</v>
      </c>
      <c r="C361" s="40">
        <v>3</v>
      </c>
      <c r="D361" s="41" t="s">
        <v>39</v>
      </c>
      <c r="E361" s="41" t="s">
        <v>39</v>
      </c>
      <c r="F361" s="41">
        <v>7.4011005225892692</v>
      </c>
      <c r="G361" s="41">
        <v>12.344306817378447</v>
      </c>
      <c r="H361" s="41">
        <v>9.3986664341735346E-2</v>
      </c>
      <c r="I361" s="41">
        <v>5.8220847825178872</v>
      </c>
      <c r="J361" s="41">
        <v>1.0213241976659559</v>
      </c>
      <c r="K361" s="41">
        <v>4.5837451637883042</v>
      </c>
      <c r="L361" s="41">
        <v>1.4079468170658462</v>
      </c>
      <c r="M361" s="41">
        <v>0.34195308192418838</v>
      </c>
      <c r="N361" s="42">
        <v>7.3254374367506925E-2</v>
      </c>
      <c r="O361" s="42">
        <v>0.19605512772442371</v>
      </c>
      <c r="P361" s="42">
        <v>9.3383872169205712E-2</v>
      </c>
      <c r="Z361" s="43"/>
    </row>
    <row r="362" spans="1:26" ht="13.5" customHeight="1" x14ac:dyDescent="0.2">
      <c r="A362" s="39">
        <v>370</v>
      </c>
      <c r="B362" s="39" t="s">
        <v>384</v>
      </c>
      <c r="C362" s="40">
        <v>3</v>
      </c>
      <c r="D362" s="41" t="s">
        <v>39</v>
      </c>
      <c r="E362" s="41" t="s">
        <v>39</v>
      </c>
      <c r="F362" s="41">
        <v>7.452885451126102</v>
      </c>
      <c r="G362" s="41">
        <v>12.259789571604227</v>
      </c>
      <c r="H362" s="41">
        <v>0.1486637156077783</v>
      </c>
      <c r="I362" s="41">
        <v>5.7687710919581523</v>
      </c>
      <c r="J362" s="41">
        <v>0.98865142016285334</v>
      </c>
      <c r="K362" s="41">
        <v>4.6472462356038964</v>
      </c>
      <c r="L362" s="41">
        <v>1.5190325633199917</v>
      </c>
      <c r="M362" s="41">
        <v>0.41004882802722309</v>
      </c>
      <c r="N362" s="42">
        <v>6.2923501396814741E-2</v>
      </c>
      <c r="O362" s="42" t="s">
        <v>39</v>
      </c>
      <c r="P362" s="42">
        <v>0.10550495538640289</v>
      </c>
      <c r="Z362" s="43"/>
    </row>
    <row r="363" spans="1:26" ht="13.5" customHeight="1" x14ac:dyDescent="0.2">
      <c r="A363" s="39">
        <v>371</v>
      </c>
      <c r="B363" s="39" t="s">
        <v>385</v>
      </c>
      <c r="C363" s="40">
        <v>3</v>
      </c>
      <c r="D363" s="41" t="s">
        <v>39</v>
      </c>
      <c r="E363" s="41" t="s">
        <v>39</v>
      </c>
      <c r="F363" s="41">
        <v>7.1471523105147794</v>
      </c>
      <c r="G363" s="41">
        <v>11.970458176036203</v>
      </c>
      <c r="H363" s="41">
        <v>0.15332431552605585</v>
      </c>
      <c r="I363" s="41">
        <v>5.6714675392289529</v>
      </c>
      <c r="J363" s="41">
        <v>1.0361787629528498</v>
      </c>
      <c r="K363" s="41">
        <v>4.640928283716236</v>
      </c>
      <c r="L363" s="41">
        <v>1.4235601166785943</v>
      </c>
      <c r="M363" s="41">
        <v>0.33688009715836237</v>
      </c>
      <c r="N363" s="42">
        <v>6.7905069742531216E-2</v>
      </c>
      <c r="O363" s="42" t="s">
        <v>39</v>
      </c>
      <c r="P363" s="42">
        <v>0.10640280988635682</v>
      </c>
      <c r="Z363" s="43"/>
    </row>
    <row r="364" spans="1:26" ht="13.5" customHeight="1" x14ac:dyDescent="0.2">
      <c r="A364" s="39">
        <v>372</v>
      </c>
      <c r="B364" s="39" t="s">
        <v>386</v>
      </c>
      <c r="C364" s="40">
        <v>3</v>
      </c>
      <c r="D364" s="41" t="s">
        <v>39</v>
      </c>
      <c r="E364" s="41">
        <v>4.8395592294951095</v>
      </c>
      <c r="F364" s="41">
        <v>6.2054958875933162</v>
      </c>
      <c r="G364" s="41">
        <v>11.541026582983644</v>
      </c>
      <c r="H364" s="41">
        <v>0.89170303560390496</v>
      </c>
      <c r="I364" s="41">
        <v>5.7915400084860886</v>
      </c>
      <c r="J364" s="41">
        <v>0.87764400607541559</v>
      </c>
      <c r="K364" s="41">
        <v>4.50972447757679</v>
      </c>
      <c r="L364" s="41">
        <v>0.37960835053840569</v>
      </c>
      <c r="M364" s="41">
        <v>0.2725461010279403</v>
      </c>
      <c r="N364" s="42">
        <v>3.9371382177378178E-2</v>
      </c>
      <c r="O364" s="42">
        <v>8.2840103984463037E-2</v>
      </c>
      <c r="P364" s="42">
        <v>6.8544924207506963E-2</v>
      </c>
      <c r="Z364" s="43"/>
    </row>
    <row r="365" spans="1:26" ht="13.5" customHeight="1" x14ac:dyDescent="0.2">
      <c r="A365" s="39">
        <v>373</v>
      </c>
      <c r="B365" s="39" t="s">
        <v>387</v>
      </c>
      <c r="C365" s="40">
        <v>3</v>
      </c>
      <c r="D365" s="41">
        <v>0.21156395797081201</v>
      </c>
      <c r="E365" s="41">
        <v>10.674729235983319</v>
      </c>
      <c r="F365" s="41">
        <v>6.1736414141546572</v>
      </c>
      <c r="G365" s="41">
        <v>11.15435619346983</v>
      </c>
      <c r="H365" s="41">
        <v>0.99364811114904406</v>
      </c>
      <c r="I365" s="41">
        <v>6.1668539249757011</v>
      </c>
      <c r="J365" s="41">
        <v>1.0868149891047589</v>
      </c>
      <c r="K365" s="41">
        <v>4.779771115215655</v>
      </c>
      <c r="L365" s="41">
        <v>0.35268147618350648</v>
      </c>
      <c r="M365" s="41">
        <v>0.25704781534641108</v>
      </c>
      <c r="N365" s="42">
        <v>8.1979154586949821E-2</v>
      </c>
      <c r="O365" s="42" t="s">
        <v>39</v>
      </c>
      <c r="P365" s="42">
        <v>5.961268601244802E-2</v>
      </c>
      <c r="Z365" s="43"/>
    </row>
    <row r="366" spans="1:26" ht="13.5" customHeight="1" x14ac:dyDescent="0.2">
      <c r="A366" s="39">
        <v>374</v>
      </c>
      <c r="B366" s="39" t="s">
        <v>388</v>
      </c>
      <c r="C366" s="40">
        <v>3</v>
      </c>
      <c r="D366" s="41">
        <v>0.37549658567499455</v>
      </c>
      <c r="E366" s="41">
        <v>12.493656815688631</v>
      </c>
      <c r="F366" s="41">
        <v>6.3093025191194716</v>
      </c>
      <c r="G366" s="41">
        <v>11.180914790280594</v>
      </c>
      <c r="H366" s="41">
        <v>0.98429021021492602</v>
      </c>
      <c r="I366" s="41">
        <v>6.1509143025655959</v>
      </c>
      <c r="J366" s="41">
        <v>1.0039229217506085</v>
      </c>
      <c r="K366" s="41">
        <v>4.7338601564494853</v>
      </c>
      <c r="L366" s="41">
        <v>0.35599153001438094</v>
      </c>
      <c r="M366" s="41">
        <v>0.22430458520372937</v>
      </c>
      <c r="N366" s="42">
        <v>8.056344362442161E-2</v>
      </c>
      <c r="O366" s="42">
        <v>8.7021388713290015E-2</v>
      </c>
      <c r="P366" s="42">
        <v>6.7403538220886933E-2</v>
      </c>
      <c r="Z366" s="43"/>
    </row>
    <row r="367" spans="1:26" ht="13.5" customHeight="1" x14ac:dyDescent="0.2">
      <c r="A367" s="39">
        <v>375</v>
      </c>
      <c r="B367" s="39" t="s">
        <v>389</v>
      </c>
      <c r="C367" s="40">
        <v>3</v>
      </c>
      <c r="D367" s="41" t="s">
        <v>39</v>
      </c>
      <c r="E367" s="41" t="s">
        <v>39</v>
      </c>
      <c r="F367" s="41">
        <v>7.4894566148431334</v>
      </c>
      <c r="G367" s="41">
        <v>12.283905525970074</v>
      </c>
      <c r="H367" s="41">
        <v>0.30791249429768175</v>
      </c>
      <c r="I367" s="41">
        <v>5.92988030666407</v>
      </c>
      <c r="J367" s="41">
        <v>1.0154525440302562</v>
      </c>
      <c r="K367" s="41">
        <v>4.1245606379331976</v>
      </c>
      <c r="L367" s="41">
        <v>1.2783297745088085</v>
      </c>
      <c r="M367" s="41">
        <v>0.40807327846446706</v>
      </c>
      <c r="N367" s="42">
        <v>7.260481446969938E-2</v>
      </c>
      <c r="O367" s="42" t="s">
        <v>39</v>
      </c>
      <c r="P367" s="42">
        <v>9.6155511594958581E-2</v>
      </c>
      <c r="Z367" s="43"/>
    </row>
    <row r="368" spans="1:26" ht="13.5" customHeight="1" x14ac:dyDescent="0.2">
      <c r="A368" s="39">
        <v>376</v>
      </c>
      <c r="B368" s="39" t="s">
        <v>390</v>
      </c>
      <c r="C368" s="40">
        <v>3</v>
      </c>
      <c r="D368" s="41" t="s">
        <v>39</v>
      </c>
      <c r="E368" s="41" t="s">
        <v>39</v>
      </c>
      <c r="F368" s="41">
        <v>7.2931359930583533</v>
      </c>
      <c r="G368" s="41">
        <v>11.999623234266858</v>
      </c>
      <c r="H368" s="41">
        <v>0.2951914265317479</v>
      </c>
      <c r="I368" s="41">
        <v>5.4703854427409162</v>
      </c>
      <c r="J368" s="41">
        <v>0.80685255877509754</v>
      </c>
      <c r="K368" s="41">
        <v>4.0263584647649315</v>
      </c>
      <c r="L368" s="41">
        <v>1.2497910435896145</v>
      </c>
      <c r="M368" s="41">
        <v>0.39917036415266016</v>
      </c>
      <c r="N368" s="42">
        <v>3.2071413713664239E-2</v>
      </c>
      <c r="O368" s="42" t="s">
        <v>39</v>
      </c>
      <c r="P368" s="42">
        <v>8.8741208898205665E-2</v>
      </c>
      <c r="Z368" s="43"/>
    </row>
    <row r="369" spans="1:26" ht="13.5" customHeight="1" x14ac:dyDescent="0.2">
      <c r="A369" s="39">
        <v>377</v>
      </c>
      <c r="B369" s="39" t="s">
        <v>391</v>
      </c>
      <c r="C369" s="40">
        <v>3</v>
      </c>
      <c r="D369" s="41" t="s">
        <v>39</v>
      </c>
      <c r="E369" s="41" t="s">
        <v>39</v>
      </c>
      <c r="F369" s="41">
        <v>7.5243512659219149</v>
      </c>
      <c r="G369" s="41">
        <v>11.983172253477582</v>
      </c>
      <c r="H369" s="41">
        <v>0.21514774790403601</v>
      </c>
      <c r="I369" s="41">
        <v>5.5639519996643729</v>
      </c>
      <c r="J369" s="41">
        <v>0.89115568633953834</v>
      </c>
      <c r="K369" s="41">
        <v>4.0993430754730449</v>
      </c>
      <c r="L369" s="41">
        <v>1.4132840489047436</v>
      </c>
      <c r="M369" s="41">
        <v>0.42655346750762685</v>
      </c>
      <c r="N369" s="42">
        <v>3.3859787266196532E-2</v>
      </c>
      <c r="O369" s="42">
        <v>1.9356875294393318E-2</v>
      </c>
      <c r="P369" s="42">
        <v>9.4451855968563384E-2</v>
      </c>
      <c r="Z369" s="43"/>
    </row>
    <row r="370" spans="1:26" ht="13.5" customHeight="1" x14ac:dyDescent="0.2">
      <c r="A370" s="39">
        <v>378</v>
      </c>
      <c r="B370" s="39" t="s">
        <v>392</v>
      </c>
      <c r="C370" s="40">
        <v>3</v>
      </c>
      <c r="D370" s="41" t="s">
        <v>39</v>
      </c>
      <c r="E370" s="41" t="s">
        <v>39</v>
      </c>
      <c r="F370" s="41">
        <v>5.118702396126535</v>
      </c>
      <c r="G370" s="41">
        <v>11.694415988474709</v>
      </c>
      <c r="H370" s="41">
        <v>0.30217385659076118</v>
      </c>
      <c r="I370" s="41">
        <v>5.344586443758482</v>
      </c>
      <c r="J370" s="41">
        <v>0.77874023646082535</v>
      </c>
      <c r="K370" s="41">
        <v>4.5879110518371302</v>
      </c>
      <c r="L370" s="41">
        <v>0.59957095249423953</v>
      </c>
      <c r="M370" s="41">
        <v>0.2020348204290171</v>
      </c>
      <c r="N370" s="42">
        <v>4.7971392297921564E-2</v>
      </c>
      <c r="O370" s="42" t="s">
        <v>39</v>
      </c>
      <c r="P370" s="42">
        <v>3.2612400037233931E-2</v>
      </c>
      <c r="Z370" s="43"/>
    </row>
    <row r="371" spans="1:26" ht="13.5" customHeight="1" x14ac:dyDescent="0.2">
      <c r="A371" s="39">
        <v>379</v>
      </c>
      <c r="B371" s="39" t="s">
        <v>393</v>
      </c>
      <c r="C371" s="40">
        <v>3</v>
      </c>
      <c r="D371" s="41" t="s">
        <v>39</v>
      </c>
      <c r="E371" s="41" t="s">
        <v>39</v>
      </c>
      <c r="F371" s="41">
        <v>5.155676349509319</v>
      </c>
      <c r="G371" s="41">
        <v>12.291730558316416</v>
      </c>
      <c r="H371" s="41">
        <v>0.31170674566237072</v>
      </c>
      <c r="I371" s="41">
        <v>7.2385548996428124</v>
      </c>
      <c r="J371" s="41">
        <v>1.3040786789655923</v>
      </c>
      <c r="K371" s="41">
        <v>4.9422197056700723</v>
      </c>
      <c r="L371" s="41">
        <v>0.52590416499047155</v>
      </c>
      <c r="M371" s="41">
        <v>0.22027639271041022</v>
      </c>
      <c r="N371" s="42">
        <v>2.2940230023359709E-2</v>
      </c>
      <c r="O371" s="42">
        <v>9.4580053633888411E-2</v>
      </c>
      <c r="P371" s="42">
        <v>3.080422172278955E-2</v>
      </c>
      <c r="Z371" s="43"/>
    </row>
    <row r="372" spans="1:26" ht="13.5" customHeight="1" x14ac:dyDescent="0.2">
      <c r="A372" s="39">
        <v>380</v>
      </c>
      <c r="B372" s="39" t="s">
        <v>394</v>
      </c>
      <c r="C372" s="40">
        <v>3</v>
      </c>
      <c r="D372" s="41" t="s">
        <v>39</v>
      </c>
      <c r="E372" s="41" t="s">
        <v>39</v>
      </c>
      <c r="F372" s="41">
        <v>5.1401906690171844</v>
      </c>
      <c r="G372" s="41">
        <v>12.325889742805824</v>
      </c>
      <c r="H372" s="41">
        <v>0.2960462972391229</v>
      </c>
      <c r="I372" s="41">
        <v>7.5100573963794677</v>
      </c>
      <c r="J372" s="41">
        <v>1.4487019500483098</v>
      </c>
      <c r="K372" s="41">
        <v>5.1953269081623032</v>
      </c>
      <c r="L372" s="41">
        <v>0.51770257904688022</v>
      </c>
      <c r="M372" s="41">
        <v>0.18930776409999497</v>
      </c>
      <c r="N372" s="42">
        <v>2.3781311254998605E-2</v>
      </c>
      <c r="O372" s="42" t="s">
        <v>39</v>
      </c>
      <c r="P372" s="42">
        <v>3.9975620433976553E-2</v>
      </c>
      <c r="Z372" s="43"/>
    </row>
    <row r="373" spans="1:26" ht="13.5" customHeight="1" x14ac:dyDescent="0.2">
      <c r="A373" s="39">
        <v>381</v>
      </c>
      <c r="B373" s="39" t="s">
        <v>395</v>
      </c>
      <c r="C373" s="40">
        <v>3</v>
      </c>
      <c r="D373" s="41">
        <v>7.1676117277182687</v>
      </c>
      <c r="E373" s="41">
        <v>29.241296247883106</v>
      </c>
      <c r="F373" s="41">
        <v>6.2856862550473318</v>
      </c>
      <c r="G373" s="41">
        <v>9.4431099230875706</v>
      </c>
      <c r="H373" s="41">
        <v>0.20078146349158471</v>
      </c>
      <c r="I373" s="41">
        <v>6.0170784509854887</v>
      </c>
      <c r="J373" s="41">
        <v>1.3249295700410015</v>
      </c>
      <c r="K373" s="41">
        <v>4.0208442523443306</v>
      </c>
      <c r="L373" s="41">
        <v>1.0739380003981875</v>
      </c>
      <c r="M373" s="41">
        <v>0.25302245129717388</v>
      </c>
      <c r="N373" s="42">
        <v>0.12507310877039121</v>
      </c>
      <c r="O373" s="42" t="s">
        <v>39</v>
      </c>
      <c r="P373" s="42">
        <v>7.8546014480445403E-2</v>
      </c>
      <c r="Z373" s="43"/>
    </row>
    <row r="374" spans="1:26" ht="13.5" customHeight="1" x14ac:dyDescent="0.2">
      <c r="A374" s="39">
        <v>382</v>
      </c>
      <c r="B374" s="39" t="s">
        <v>396</v>
      </c>
      <c r="C374" s="40">
        <v>3</v>
      </c>
      <c r="D374" s="41">
        <v>6.7260777349271006</v>
      </c>
      <c r="E374" s="41">
        <v>27.739670670331705</v>
      </c>
      <c r="F374" s="41">
        <v>6.1528850207496255</v>
      </c>
      <c r="G374" s="41">
        <v>9.8368690760930981</v>
      </c>
      <c r="H374" s="41">
        <v>0.24971244124436012</v>
      </c>
      <c r="I374" s="41">
        <v>6.7130484199675635</v>
      </c>
      <c r="J374" s="41">
        <v>1.2797068629413721</v>
      </c>
      <c r="K374" s="41">
        <v>4.1768976392527835</v>
      </c>
      <c r="L374" s="41">
        <v>0.98263283985734007</v>
      </c>
      <c r="M374" s="41">
        <v>0.23707482584508649</v>
      </c>
      <c r="N374" s="42">
        <v>2.633611233002621E-2</v>
      </c>
      <c r="O374" s="42" t="s">
        <v>39</v>
      </c>
      <c r="P374" s="42">
        <v>7.1469622593752724E-2</v>
      </c>
      <c r="Z374" s="43"/>
    </row>
    <row r="375" spans="1:26" ht="13.5" customHeight="1" x14ac:dyDescent="0.2">
      <c r="A375" s="39">
        <v>383</v>
      </c>
      <c r="B375" s="39" t="s">
        <v>397</v>
      </c>
      <c r="C375" s="40">
        <v>3</v>
      </c>
      <c r="D375" s="41">
        <v>6.821811717361645</v>
      </c>
      <c r="E375" s="41">
        <v>28.439512647242172</v>
      </c>
      <c r="F375" s="41">
        <v>6.2177670652485801</v>
      </c>
      <c r="G375" s="41">
        <v>9.5934065097102366</v>
      </c>
      <c r="H375" s="41">
        <v>0.2349621975318899</v>
      </c>
      <c r="I375" s="41">
        <v>6.4476119912891976</v>
      </c>
      <c r="J375" s="41">
        <v>1.2026777091827734</v>
      </c>
      <c r="K375" s="41">
        <v>4.0944443165039628</v>
      </c>
      <c r="L375" s="41">
        <v>1.003690398123571</v>
      </c>
      <c r="M375" s="41">
        <v>0.24298505046404639</v>
      </c>
      <c r="N375" s="42">
        <v>2.3149949121483743E-2</v>
      </c>
      <c r="O375" s="42" t="s">
        <v>39</v>
      </c>
      <c r="P375" s="42">
        <v>7.7619219269221426E-2</v>
      </c>
      <c r="Z375" s="43"/>
    </row>
    <row r="376" spans="1:26" ht="13.5" customHeight="1" x14ac:dyDescent="0.2">
      <c r="A376" s="39">
        <v>384</v>
      </c>
      <c r="B376" s="39" t="s">
        <v>398</v>
      </c>
      <c r="C376" s="40">
        <v>3</v>
      </c>
      <c r="D376" s="41">
        <v>0.32751700118396299</v>
      </c>
      <c r="E376" s="41">
        <v>12.344743282900081</v>
      </c>
      <c r="F376" s="41">
        <v>5.9227276815289258</v>
      </c>
      <c r="G376" s="41">
        <v>10.851332386356212</v>
      </c>
      <c r="H376" s="41">
        <v>0.49319921595460536</v>
      </c>
      <c r="I376" s="41">
        <v>5.1576135636178435</v>
      </c>
      <c r="J376" s="41">
        <v>0.6229107930713782</v>
      </c>
      <c r="K376" s="41">
        <v>5.0057402223716352</v>
      </c>
      <c r="L376" s="41">
        <v>0.89075961065226594</v>
      </c>
      <c r="M376" s="41">
        <v>0.24703646382416947</v>
      </c>
      <c r="N376" s="42">
        <v>1.995297468236118E-2</v>
      </c>
      <c r="O376" s="42">
        <v>7.9588523135138173E-2</v>
      </c>
      <c r="P376" s="42">
        <v>0.10218423123653363</v>
      </c>
      <c r="Z376" s="43"/>
    </row>
    <row r="377" spans="1:26" ht="13.5" customHeight="1" x14ac:dyDescent="0.2">
      <c r="A377" s="39">
        <v>385</v>
      </c>
      <c r="B377" s="39" t="s">
        <v>399</v>
      </c>
      <c r="C377" s="40">
        <v>3</v>
      </c>
      <c r="D377" s="41">
        <v>0.19017965524803049</v>
      </c>
      <c r="E377" s="41">
        <v>11.169370675044078</v>
      </c>
      <c r="F377" s="41">
        <v>6.1036753179232868</v>
      </c>
      <c r="G377" s="41">
        <v>11.002902900701468</v>
      </c>
      <c r="H377" s="41">
        <v>0.479555898392171</v>
      </c>
      <c r="I377" s="41">
        <v>5.1876703224681258</v>
      </c>
      <c r="J377" s="41">
        <v>0.66376787448665797</v>
      </c>
      <c r="K377" s="41">
        <v>5.0557561317302708</v>
      </c>
      <c r="L377" s="41">
        <v>1.0576561505191522</v>
      </c>
      <c r="M377" s="41">
        <v>0.29185052574064402</v>
      </c>
      <c r="N377" s="42">
        <v>2.2470003346135876E-2</v>
      </c>
      <c r="O377" s="42">
        <v>8.6508118817542251E-2</v>
      </c>
      <c r="P377" s="42">
        <v>0.11992724380420169</v>
      </c>
      <c r="Z377" s="43"/>
    </row>
    <row r="378" spans="1:26" ht="13.5" customHeight="1" x14ac:dyDescent="0.2">
      <c r="A378" s="39">
        <v>386</v>
      </c>
      <c r="B378" s="39" t="s">
        <v>400</v>
      </c>
      <c r="C378" s="40">
        <v>3</v>
      </c>
      <c r="D378" s="41" t="s">
        <v>39</v>
      </c>
      <c r="E378" s="41" t="s">
        <v>39</v>
      </c>
      <c r="F378" s="41">
        <v>7.4851913683045819</v>
      </c>
      <c r="G378" s="41">
        <v>11.805110980731719</v>
      </c>
      <c r="H378" s="41">
        <v>0.24302119178656828</v>
      </c>
      <c r="I378" s="41">
        <v>5.2131414086833336</v>
      </c>
      <c r="J378" s="41">
        <v>0.77088952207027017</v>
      </c>
      <c r="K378" s="41">
        <v>4.2205892173347355</v>
      </c>
      <c r="L378" s="41">
        <v>1.5293668905292432</v>
      </c>
      <c r="M378" s="41">
        <v>0.52529745712558018</v>
      </c>
      <c r="N378" s="42">
        <v>2.0270581977626236E-2</v>
      </c>
      <c r="O378" s="42" t="s">
        <v>39</v>
      </c>
      <c r="P378" s="42">
        <v>9.5946929757921878E-2</v>
      </c>
      <c r="Z378" s="43"/>
    </row>
    <row r="379" spans="1:26" ht="13.5" customHeight="1" x14ac:dyDescent="0.2">
      <c r="A379" s="39">
        <v>387</v>
      </c>
      <c r="B379" s="39" t="s">
        <v>401</v>
      </c>
      <c r="C379" s="40">
        <v>3</v>
      </c>
      <c r="D379" s="41" t="s">
        <v>39</v>
      </c>
      <c r="E379" s="41" t="s">
        <v>39</v>
      </c>
      <c r="F379" s="41">
        <v>8.0586605862039598</v>
      </c>
      <c r="G379" s="41">
        <v>12.081956847756844</v>
      </c>
      <c r="H379" s="41">
        <v>0.13284832967978061</v>
      </c>
      <c r="I379" s="41">
        <v>5.3974434774879931</v>
      </c>
      <c r="J379" s="41">
        <v>0.77310701749783661</v>
      </c>
      <c r="K379" s="41">
        <v>4.2960928929774251</v>
      </c>
      <c r="L379" s="41">
        <v>1.6898709871604747</v>
      </c>
      <c r="M379" s="41">
        <v>0.51067698440685139</v>
      </c>
      <c r="N379" s="42">
        <v>2.4489668931583324E-2</v>
      </c>
      <c r="O379" s="42">
        <v>0.12023034632334292</v>
      </c>
      <c r="P379" s="42">
        <v>0.10299700116509736</v>
      </c>
      <c r="Z379" s="43"/>
    </row>
    <row r="380" spans="1:26" ht="13.5" customHeight="1" x14ac:dyDescent="0.2">
      <c r="A380" s="39">
        <v>388</v>
      </c>
      <c r="B380" s="39" t="s">
        <v>402</v>
      </c>
      <c r="C380" s="40">
        <v>3</v>
      </c>
      <c r="D380" s="41" t="s">
        <v>39</v>
      </c>
      <c r="E380" s="41" t="s">
        <v>39</v>
      </c>
      <c r="F380" s="41">
        <v>7.5734894491266855</v>
      </c>
      <c r="G380" s="41">
        <v>11.721572915068755</v>
      </c>
      <c r="H380" s="41">
        <v>0.15838522118772014</v>
      </c>
      <c r="I380" s="41">
        <v>5.8568448651023957</v>
      </c>
      <c r="J380" s="41">
        <v>1.3254726828515513</v>
      </c>
      <c r="K380" s="41">
        <v>4.7155740794922165</v>
      </c>
      <c r="L380" s="41">
        <v>1.5252525294543509</v>
      </c>
      <c r="M380" s="41">
        <v>0.50015536276052819</v>
      </c>
      <c r="N380" s="42">
        <v>6.644131521748417E-2</v>
      </c>
      <c r="O380" s="42">
        <v>8.934021706484449E-2</v>
      </c>
      <c r="P380" s="42">
        <v>9.8785577164567526E-2</v>
      </c>
      <c r="Z380" s="43"/>
    </row>
    <row r="381" spans="1:26" ht="13.5" customHeight="1" x14ac:dyDescent="0.2">
      <c r="A381" s="39">
        <v>389</v>
      </c>
      <c r="B381" s="39" t="s">
        <v>403</v>
      </c>
      <c r="C381" s="40">
        <v>3</v>
      </c>
      <c r="D381" s="41">
        <v>0.22689807633667394</v>
      </c>
      <c r="E381" s="41">
        <v>14.265088466152942</v>
      </c>
      <c r="F381" s="41">
        <v>5.9205884461584279</v>
      </c>
      <c r="G381" s="41" t="s">
        <v>39</v>
      </c>
      <c r="H381" s="41">
        <v>0.4481657052226764</v>
      </c>
      <c r="I381" s="41">
        <v>8.3476375693656379</v>
      </c>
      <c r="J381" s="41" t="s">
        <v>39</v>
      </c>
      <c r="K381" s="41">
        <v>5.7522463483262163</v>
      </c>
      <c r="L381" s="41">
        <v>1.1135224472622409</v>
      </c>
      <c r="M381" s="41">
        <v>0.31176197009575068</v>
      </c>
      <c r="N381" s="42">
        <v>9.8909777260588777E-2</v>
      </c>
      <c r="O381" s="42" t="s">
        <v>39</v>
      </c>
      <c r="P381" s="42">
        <v>0.10281901366307514</v>
      </c>
      <c r="Z381" s="43"/>
    </row>
    <row r="382" spans="1:26" ht="13.5" customHeight="1" x14ac:dyDescent="0.2">
      <c r="A382" s="39">
        <v>390</v>
      </c>
      <c r="B382" s="39" t="s">
        <v>403</v>
      </c>
      <c r="C382" s="40">
        <v>3</v>
      </c>
      <c r="D382" s="41" t="s">
        <v>39</v>
      </c>
      <c r="E382" s="41" t="s">
        <v>39</v>
      </c>
      <c r="F382" s="41" t="s">
        <v>39</v>
      </c>
      <c r="G382" s="41" t="s">
        <v>39</v>
      </c>
      <c r="H382" s="41" t="s">
        <v>39</v>
      </c>
      <c r="I382" s="41" t="s">
        <v>39</v>
      </c>
      <c r="J382" s="41" t="s">
        <v>39</v>
      </c>
      <c r="K382" s="41" t="s">
        <v>39</v>
      </c>
      <c r="L382" s="41" t="s">
        <v>39</v>
      </c>
      <c r="M382" s="41" t="s">
        <v>39</v>
      </c>
      <c r="N382" s="42" t="s">
        <v>39</v>
      </c>
      <c r="O382" s="42" t="s">
        <v>39</v>
      </c>
      <c r="P382" s="42" t="s">
        <v>39</v>
      </c>
      <c r="Z382" s="43"/>
    </row>
    <row r="383" spans="1:26" ht="13.5" customHeight="1" x14ac:dyDescent="0.2">
      <c r="A383" s="39">
        <v>391</v>
      </c>
      <c r="B383" s="39" t="s">
        <v>403</v>
      </c>
      <c r="C383" s="40">
        <v>3</v>
      </c>
      <c r="D383" s="41">
        <v>0.21392304554868108</v>
      </c>
      <c r="E383" s="41">
        <v>11.709769195243759</v>
      </c>
      <c r="F383" s="41">
        <v>5.9442288380568522</v>
      </c>
      <c r="G383" s="41">
        <v>10.803843842029208</v>
      </c>
      <c r="H383" s="41">
        <v>0.57047465661497665</v>
      </c>
      <c r="I383" s="41">
        <v>5.1434063186097507</v>
      </c>
      <c r="J383" s="41">
        <v>0.64263687724800134</v>
      </c>
      <c r="K383" s="41">
        <v>5.0540634170528529</v>
      </c>
      <c r="L383" s="41">
        <v>1.022747485593233</v>
      </c>
      <c r="M383" s="41">
        <v>0.30189357313412046</v>
      </c>
      <c r="N383" s="42">
        <v>2.2407610212370983E-2</v>
      </c>
      <c r="O383" s="42">
        <v>8.2633980114849598E-2</v>
      </c>
      <c r="P383" s="42">
        <v>0.10554730103408122</v>
      </c>
      <c r="Z383" s="43"/>
    </row>
    <row r="384" spans="1:26" ht="13.5" customHeight="1" x14ac:dyDescent="0.2">
      <c r="A384" s="39">
        <v>392</v>
      </c>
      <c r="B384" s="39" t="s">
        <v>404</v>
      </c>
      <c r="C384" s="40">
        <v>3</v>
      </c>
      <c r="D384" s="41" t="s">
        <v>39</v>
      </c>
      <c r="E384" s="41" t="s">
        <v>39</v>
      </c>
      <c r="F384" s="41">
        <v>5.6984368934089513</v>
      </c>
      <c r="G384" s="41">
        <v>11.50202561620593</v>
      </c>
      <c r="H384" s="41">
        <v>0.60558535300696159</v>
      </c>
      <c r="I384" s="41">
        <v>5.0775410346222563</v>
      </c>
      <c r="J384" s="41">
        <v>0.67215542583736732</v>
      </c>
      <c r="K384" s="41">
        <v>4.2438043149660629</v>
      </c>
      <c r="L384" s="41">
        <v>2.1770123454764989</v>
      </c>
      <c r="M384" s="41">
        <v>0.38256646520274584</v>
      </c>
      <c r="N384" s="42">
        <v>3.0786523691827654E-2</v>
      </c>
      <c r="O384" s="42">
        <v>6.9792428672580398E-2</v>
      </c>
      <c r="P384" s="42">
        <v>9.6789550517799555E-2</v>
      </c>
      <c r="Z384" s="43"/>
    </row>
    <row r="385" spans="1:26" ht="13.5" customHeight="1" x14ac:dyDescent="0.2">
      <c r="A385" s="39">
        <v>393</v>
      </c>
      <c r="B385" s="39" t="s">
        <v>405</v>
      </c>
      <c r="C385" s="40">
        <v>3</v>
      </c>
      <c r="D385" s="41" t="s">
        <v>39</v>
      </c>
      <c r="E385" s="41" t="s">
        <v>39</v>
      </c>
      <c r="F385" s="41">
        <v>5.7604043017550941</v>
      </c>
      <c r="G385" s="41">
        <v>11.879147181694393</v>
      </c>
      <c r="H385" s="41">
        <v>0.44731831060064897</v>
      </c>
      <c r="I385" s="41">
        <v>5.2481757794124615</v>
      </c>
      <c r="J385" s="41">
        <v>0.65150206061807825</v>
      </c>
      <c r="K385" s="41">
        <v>4.3529939983160917</v>
      </c>
      <c r="L385" s="41">
        <v>2.1304205476408651</v>
      </c>
      <c r="M385" s="41">
        <v>0.33360189457925882</v>
      </c>
      <c r="N385" s="42">
        <v>2.9139763676537686E-2</v>
      </c>
      <c r="O385" s="42">
        <v>8.9087126175335901E-2</v>
      </c>
      <c r="P385" s="42">
        <v>9.4031016307365906E-2</v>
      </c>
      <c r="Z385" s="43"/>
    </row>
    <row r="386" spans="1:26" ht="13.5" customHeight="1" x14ac:dyDescent="0.2">
      <c r="A386" s="39">
        <v>394</v>
      </c>
      <c r="B386" s="39" t="s">
        <v>406</v>
      </c>
      <c r="C386" s="40">
        <v>3</v>
      </c>
      <c r="D386" s="41" t="s">
        <v>39</v>
      </c>
      <c r="E386" s="41" t="s">
        <v>39</v>
      </c>
      <c r="F386" s="41">
        <v>5.7681572859630457</v>
      </c>
      <c r="G386" s="41">
        <v>11.681001665614286</v>
      </c>
      <c r="H386" s="41">
        <v>0.44609350603061382</v>
      </c>
      <c r="I386" s="41">
        <v>5.161702353305837</v>
      </c>
      <c r="J386" s="41">
        <v>0.67456858058867053</v>
      </c>
      <c r="K386" s="41">
        <v>4.2862314881118806</v>
      </c>
      <c r="L386" s="41">
        <v>2.3294713797606938</v>
      </c>
      <c r="M386" s="41">
        <v>0.37250753010210602</v>
      </c>
      <c r="N386" s="42">
        <v>3.2116306352180754E-2</v>
      </c>
      <c r="O386" s="42">
        <v>7.0363846779585848E-2</v>
      </c>
      <c r="P386" s="42">
        <v>0.10125662836904387</v>
      </c>
      <c r="Z386" s="43"/>
    </row>
    <row r="387" spans="1:26" ht="13.5" customHeight="1" x14ac:dyDescent="0.2">
      <c r="A387" s="39">
        <v>395</v>
      </c>
      <c r="B387" s="39" t="s">
        <v>407</v>
      </c>
      <c r="C387" s="40">
        <v>3</v>
      </c>
      <c r="D387" s="41">
        <v>1.0944109488913487</v>
      </c>
      <c r="E387" s="41">
        <v>21.608109600815446</v>
      </c>
      <c r="F387" s="41">
        <v>6.5910833810071168</v>
      </c>
      <c r="G387" s="41">
        <v>10.96635425391532</v>
      </c>
      <c r="H387" s="41">
        <v>0.75052850493314827</v>
      </c>
      <c r="I387" s="41">
        <v>5.8679105473764066</v>
      </c>
      <c r="J387" s="41">
        <v>0.77046714688273443</v>
      </c>
      <c r="K387" s="41">
        <v>4.8160934061330565</v>
      </c>
      <c r="L387" s="41">
        <v>0.54340780932415633</v>
      </c>
      <c r="M387" s="41">
        <v>0.2054846764412579</v>
      </c>
      <c r="N387" s="42">
        <v>4.7463166854922065E-2</v>
      </c>
      <c r="O387" s="42" t="s">
        <v>39</v>
      </c>
      <c r="P387" s="42">
        <v>0.1168225017151526</v>
      </c>
      <c r="Z387" s="43"/>
    </row>
    <row r="388" spans="1:26" ht="13.5" customHeight="1" x14ac:dyDescent="0.2">
      <c r="A388" s="39">
        <v>396</v>
      </c>
      <c r="B388" s="39" t="s">
        <v>408</v>
      </c>
      <c r="C388" s="40">
        <v>3</v>
      </c>
      <c r="D388" s="41">
        <v>2.0851799336313679E-2</v>
      </c>
      <c r="E388" s="41">
        <v>9.6077791623202629</v>
      </c>
      <c r="F388" s="41">
        <v>6.6944711333906133</v>
      </c>
      <c r="G388" s="41">
        <v>11.534376983543934</v>
      </c>
      <c r="H388" s="41">
        <v>0.70778652703914413</v>
      </c>
      <c r="I388" s="41">
        <v>5.731672726619748</v>
      </c>
      <c r="J388" s="41">
        <v>0.78001812298660145</v>
      </c>
      <c r="K388" s="41">
        <v>4.4988760703191009</v>
      </c>
      <c r="L388" s="41">
        <v>0.54594358368189644</v>
      </c>
      <c r="M388" s="41">
        <v>0.2304190412343079</v>
      </c>
      <c r="N388" s="42">
        <v>4.0939987219178291E-2</v>
      </c>
      <c r="O388" s="42" t="s">
        <v>39</v>
      </c>
      <c r="P388" s="42">
        <v>0.14350396193413234</v>
      </c>
      <c r="Z388" s="43"/>
    </row>
    <row r="389" spans="1:26" ht="13.5" customHeight="1" x14ac:dyDescent="0.2">
      <c r="A389" s="39">
        <v>397</v>
      </c>
      <c r="B389" s="39" t="s">
        <v>409</v>
      </c>
      <c r="C389" s="40">
        <v>3</v>
      </c>
      <c r="D389" s="41" t="s">
        <v>39</v>
      </c>
      <c r="E389" s="41">
        <v>5.4636112737338411</v>
      </c>
      <c r="F389" s="41">
        <v>6.9863943319639379</v>
      </c>
      <c r="G389" s="41">
        <v>11.9126146873962</v>
      </c>
      <c r="H389" s="41">
        <v>0.69468820273945253</v>
      </c>
      <c r="I389" s="41">
        <v>5.8305969343802424</v>
      </c>
      <c r="J389" s="41">
        <v>0.79410224978894661</v>
      </c>
      <c r="K389" s="41">
        <v>4.3189381994435463</v>
      </c>
      <c r="L389" s="41">
        <v>0.57568391399900209</v>
      </c>
      <c r="M389" s="41">
        <v>0.22514877795994429</v>
      </c>
      <c r="N389" s="42">
        <v>4.1107687040974485E-2</v>
      </c>
      <c r="O389" s="42" t="s">
        <v>39</v>
      </c>
      <c r="P389" s="42">
        <v>0.15415208948705833</v>
      </c>
      <c r="Z389" s="43"/>
    </row>
    <row r="390" spans="1:26" ht="13.5" customHeight="1" x14ac:dyDescent="0.2">
      <c r="A390" s="39">
        <v>398</v>
      </c>
      <c r="B390" s="39" t="s">
        <v>410</v>
      </c>
      <c r="C390" s="40">
        <v>3</v>
      </c>
      <c r="D390" s="41" t="s">
        <v>39</v>
      </c>
      <c r="E390" s="41" t="s">
        <v>39</v>
      </c>
      <c r="F390" s="41">
        <v>5.6897184434756882</v>
      </c>
      <c r="G390" s="41">
        <v>12.328044240656663</v>
      </c>
      <c r="H390" s="41">
        <v>0.35488721927879019</v>
      </c>
      <c r="I390" s="41">
        <v>5.7775137673702055</v>
      </c>
      <c r="J390" s="41">
        <v>0.9620705627829127</v>
      </c>
      <c r="K390" s="41">
        <v>4.5717877676115002</v>
      </c>
      <c r="L390" s="41">
        <v>0.72132201612474334</v>
      </c>
      <c r="M390" s="41">
        <v>0.18131216631635697</v>
      </c>
      <c r="N390" s="42">
        <v>5.0908401551029873E-2</v>
      </c>
      <c r="O390" s="42">
        <v>8.921131504849128E-2</v>
      </c>
      <c r="P390" s="42">
        <v>6.7917442985296117E-2</v>
      </c>
      <c r="Z390" s="43"/>
    </row>
    <row r="391" spans="1:26" ht="13.5" customHeight="1" x14ac:dyDescent="0.2">
      <c r="A391" s="39">
        <v>399</v>
      </c>
      <c r="B391" s="39" t="s">
        <v>411</v>
      </c>
      <c r="C391" s="40">
        <v>3</v>
      </c>
      <c r="D391" s="41" t="s">
        <v>39</v>
      </c>
      <c r="E391" s="41" t="s">
        <v>39</v>
      </c>
      <c r="F391" s="41">
        <v>6.0017064814216452</v>
      </c>
      <c r="G391" s="41">
        <v>12.457828029033285</v>
      </c>
      <c r="H391" s="41">
        <v>0.26182132457378265</v>
      </c>
      <c r="I391" s="41">
        <v>6.0484213199767929</v>
      </c>
      <c r="J391" s="41">
        <v>1.0830318812022912</v>
      </c>
      <c r="K391" s="41">
        <v>4.7711055321623688</v>
      </c>
      <c r="L391" s="41">
        <v>0.96796891945096353</v>
      </c>
      <c r="M391" s="41">
        <v>0.17788624785474905</v>
      </c>
      <c r="N391" s="42">
        <v>6.0855926819715703E-2</v>
      </c>
      <c r="O391" s="42" t="s">
        <v>39</v>
      </c>
      <c r="P391" s="42">
        <v>8.3707085253700936E-2</v>
      </c>
      <c r="Z391" s="43"/>
    </row>
    <row r="392" spans="1:26" ht="13.5" customHeight="1" x14ac:dyDescent="0.2">
      <c r="A392" s="39">
        <v>400</v>
      </c>
      <c r="B392" s="39" t="s">
        <v>412</v>
      </c>
      <c r="C392" s="40">
        <v>3</v>
      </c>
      <c r="D392" s="41" t="s">
        <v>39</v>
      </c>
      <c r="E392" s="41" t="s">
        <v>39</v>
      </c>
      <c r="F392" s="41">
        <v>5.590707780423716</v>
      </c>
      <c r="G392" s="41">
        <v>11.588849468136805</v>
      </c>
      <c r="H392" s="41">
        <v>0.34206020227305906</v>
      </c>
      <c r="I392" s="41">
        <v>5.6421351011889538</v>
      </c>
      <c r="J392" s="41">
        <v>1.1564811256561538</v>
      </c>
      <c r="K392" s="41">
        <v>4.637986620473713</v>
      </c>
      <c r="L392" s="41">
        <v>0.82312794904743403</v>
      </c>
      <c r="M392" s="41">
        <v>0.20302356121806431</v>
      </c>
      <c r="N392" s="42">
        <v>6.2094430008463847E-2</v>
      </c>
      <c r="O392" s="42">
        <v>0.11714881058204435</v>
      </c>
      <c r="P392" s="42">
        <v>6.9761737306046012E-2</v>
      </c>
      <c r="Z392" s="43"/>
    </row>
    <row r="393" spans="1:26" ht="13.5" customHeight="1" x14ac:dyDescent="0.2">
      <c r="A393" s="39">
        <v>401</v>
      </c>
      <c r="B393" s="39" t="s">
        <v>413</v>
      </c>
      <c r="C393" s="40">
        <v>3</v>
      </c>
      <c r="D393" s="41" t="s">
        <v>39</v>
      </c>
      <c r="E393" s="41">
        <v>1.5509987053558141</v>
      </c>
      <c r="F393" s="41">
        <v>6.27825738789101</v>
      </c>
      <c r="G393" s="41">
        <v>12.680710316498139</v>
      </c>
      <c r="H393" s="41">
        <v>0.32223646781228377</v>
      </c>
      <c r="I393" s="41">
        <v>6.2651970077643426</v>
      </c>
      <c r="J393" s="41">
        <v>1.1919325634718807</v>
      </c>
      <c r="K393" s="41">
        <v>5.0665217144542964</v>
      </c>
      <c r="L393" s="41">
        <v>0.95680691604590962</v>
      </c>
      <c r="M393" s="41">
        <v>0.1894299426710791</v>
      </c>
      <c r="N393" s="42">
        <v>7.3185204422757291E-2</v>
      </c>
      <c r="O393" s="42">
        <v>9.934075050736263E-2</v>
      </c>
      <c r="P393" s="42">
        <v>8.0470665697589316E-2</v>
      </c>
      <c r="Z393" s="43"/>
    </row>
    <row r="394" spans="1:26" ht="13.5" customHeight="1" x14ac:dyDescent="0.2">
      <c r="A394" s="39">
        <v>402</v>
      </c>
      <c r="B394" s="39" t="s">
        <v>414</v>
      </c>
      <c r="C394" s="40">
        <v>3</v>
      </c>
      <c r="D394" s="41" t="s">
        <v>39</v>
      </c>
      <c r="E394" s="41">
        <v>3.4741432952554505</v>
      </c>
      <c r="F394" s="41">
        <v>5.8679593074079719</v>
      </c>
      <c r="G394" s="41">
        <v>11.534188901702116</v>
      </c>
      <c r="H394" s="41">
        <v>0.27372604633606662</v>
      </c>
      <c r="I394" s="41">
        <v>5.5787612010539362</v>
      </c>
      <c r="J394" s="41">
        <v>0.99301885562975778</v>
      </c>
      <c r="K394" s="41">
        <v>4.6262995398112396</v>
      </c>
      <c r="L394" s="41">
        <v>0.91566834718771817</v>
      </c>
      <c r="M394" s="41">
        <v>0.18077103918478599</v>
      </c>
      <c r="N394" s="42">
        <v>5.5598145584870959E-2</v>
      </c>
      <c r="O394" s="42">
        <v>8.7819386826085838E-2</v>
      </c>
      <c r="P394" s="42">
        <v>7.3550977735608411E-2</v>
      </c>
      <c r="Z394" s="43"/>
    </row>
    <row r="395" spans="1:26" ht="13.5" customHeight="1" x14ac:dyDescent="0.2">
      <c r="A395" s="39">
        <v>403</v>
      </c>
      <c r="B395" s="39" t="s">
        <v>415</v>
      </c>
      <c r="C395" s="40">
        <v>3</v>
      </c>
      <c r="D395" s="41" t="s">
        <v>39</v>
      </c>
      <c r="E395" s="41">
        <v>4.689155273145782</v>
      </c>
      <c r="F395" s="41">
        <v>5.9278863419745944</v>
      </c>
      <c r="G395" s="41">
        <v>11.965683767426716</v>
      </c>
      <c r="H395" s="41">
        <v>0.30000627022610038</v>
      </c>
      <c r="I395" s="41">
        <v>5.6838780445757724</v>
      </c>
      <c r="J395" s="41">
        <v>0.95103947881129325</v>
      </c>
      <c r="K395" s="41">
        <v>4.7666979378747119</v>
      </c>
      <c r="L395" s="41">
        <v>0.85222325688579437</v>
      </c>
      <c r="M395" s="41">
        <v>0.19831186473217649</v>
      </c>
      <c r="N395" s="42">
        <v>4.8887950595838649E-2</v>
      </c>
      <c r="O395" s="42" t="s">
        <v>39</v>
      </c>
      <c r="P395" s="42">
        <v>7.4678961786384362E-2</v>
      </c>
      <c r="Z395" s="43"/>
    </row>
    <row r="396" spans="1:26" ht="13.5" customHeight="1" x14ac:dyDescent="0.2">
      <c r="A396" s="39">
        <v>404</v>
      </c>
      <c r="B396" s="39" t="s">
        <v>416</v>
      </c>
      <c r="C396" s="40">
        <v>3</v>
      </c>
      <c r="D396" s="41">
        <v>1.7199689833395218</v>
      </c>
      <c r="E396" s="41">
        <v>14.720461172482446</v>
      </c>
      <c r="F396" s="41">
        <v>6.3597425500511058</v>
      </c>
      <c r="G396" s="41">
        <v>10.842258017036983</v>
      </c>
      <c r="H396" s="41">
        <v>0.18387663125652801</v>
      </c>
      <c r="I396" s="41">
        <v>6.0331734148621958</v>
      </c>
      <c r="J396" s="41">
        <v>1.1202105425589681</v>
      </c>
      <c r="K396" s="41">
        <v>5.2613321404477169</v>
      </c>
      <c r="L396" s="41">
        <v>1.0714778597924359</v>
      </c>
      <c r="M396" s="41">
        <v>0.26062652900731342</v>
      </c>
      <c r="N396" s="42">
        <v>4.251992800726348E-2</v>
      </c>
      <c r="O396" s="42" t="s">
        <v>39</v>
      </c>
      <c r="P396" s="42">
        <v>6.4005546212279441E-2</v>
      </c>
      <c r="Z396" s="43"/>
    </row>
    <row r="397" spans="1:26" ht="13.5" customHeight="1" x14ac:dyDescent="0.2">
      <c r="A397" s="39">
        <v>405</v>
      </c>
      <c r="B397" s="39" t="s">
        <v>417</v>
      </c>
      <c r="C397" s="40">
        <v>3</v>
      </c>
      <c r="D397" s="41">
        <v>0.79603763210514811</v>
      </c>
      <c r="E397" s="41">
        <v>9.4402026363032316</v>
      </c>
      <c r="F397" s="41">
        <v>6.5972942389030376</v>
      </c>
      <c r="G397" s="41">
        <v>11.614747411953687</v>
      </c>
      <c r="H397" s="41">
        <v>0.19044392847613245</v>
      </c>
      <c r="I397" s="41">
        <v>6.1477439379820478</v>
      </c>
      <c r="J397" s="41">
        <v>1.1215214670272897</v>
      </c>
      <c r="K397" s="41">
        <v>5.152450273718002</v>
      </c>
      <c r="L397" s="41">
        <v>1.073825072584996</v>
      </c>
      <c r="M397" s="41">
        <v>0.2611682165397104</v>
      </c>
      <c r="N397" s="42">
        <v>4.4076508272370862E-2</v>
      </c>
      <c r="O397" s="42" t="s">
        <v>39</v>
      </c>
      <c r="P397" s="42">
        <v>7.0758788727728006E-2</v>
      </c>
      <c r="Z397" s="43"/>
    </row>
    <row r="398" spans="1:26" ht="13.5" customHeight="1" x14ac:dyDescent="0.2">
      <c r="A398" s="39">
        <v>406</v>
      </c>
      <c r="B398" s="39" t="s">
        <v>418</v>
      </c>
      <c r="C398" s="40">
        <v>3</v>
      </c>
      <c r="D398" s="41">
        <v>1.3156790769845612</v>
      </c>
      <c r="E398" s="41">
        <v>13.200298705569784</v>
      </c>
      <c r="F398" s="41">
        <v>6.6517219051184817</v>
      </c>
      <c r="G398" s="41">
        <v>11.292901592338108</v>
      </c>
      <c r="H398" s="41">
        <v>0.21914587668364077</v>
      </c>
      <c r="I398" s="41">
        <v>6.1738973005313049</v>
      </c>
      <c r="J398" s="41">
        <v>1.1869023738821332</v>
      </c>
      <c r="K398" s="41">
        <v>5.3901397844424288</v>
      </c>
      <c r="L398" s="41">
        <v>1.108572607632319</v>
      </c>
      <c r="M398" s="41">
        <v>0.27237381665779714</v>
      </c>
      <c r="N398" s="42">
        <v>4.6184543723081561E-2</v>
      </c>
      <c r="O398" s="42" t="s">
        <v>39</v>
      </c>
      <c r="P398" s="42">
        <v>8.3315584109110039E-2</v>
      </c>
      <c r="Z398" s="43"/>
    </row>
    <row r="399" spans="1:26" ht="13.5" customHeight="1" x14ac:dyDescent="0.2">
      <c r="A399" s="39">
        <v>407</v>
      </c>
      <c r="B399" s="39" t="s">
        <v>419</v>
      </c>
      <c r="C399" s="40">
        <v>3</v>
      </c>
      <c r="D399" s="41" t="s">
        <v>39</v>
      </c>
      <c r="E399" s="41" t="s">
        <v>39</v>
      </c>
      <c r="F399" s="41">
        <v>5.8665724006327604</v>
      </c>
      <c r="G399" s="41">
        <v>12.101171523400508</v>
      </c>
      <c r="H399" s="41">
        <v>0.17753335113853053</v>
      </c>
      <c r="I399" s="41">
        <v>6.1276290678023635</v>
      </c>
      <c r="J399" s="41">
        <v>0.86701957749649805</v>
      </c>
      <c r="K399" s="41">
        <v>4.9700180890312513</v>
      </c>
      <c r="L399" s="41">
        <v>1.1272871271784688</v>
      </c>
      <c r="M399" s="41">
        <v>0.16138376908612737</v>
      </c>
      <c r="N399" s="42">
        <v>5.3053994135343285E-2</v>
      </c>
      <c r="O399" s="42">
        <v>8.1730184157054242E-2</v>
      </c>
      <c r="P399" s="42">
        <v>7.6066234350527923E-2</v>
      </c>
      <c r="Z399" s="43"/>
    </row>
    <row r="400" spans="1:26" ht="13.5" customHeight="1" x14ac:dyDescent="0.2">
      <c r="A400" s="39">
        <v>408</v>
      </c>
      <c r="B400" s="39" t="s">
        <v>420</v>
      </c>
      <c r="C400" s="40">
        <v>3</v>
      </c>
      <c r="D400" s="41" t="s">
        <v>39</v>
      </c>
      <c r="E400" s="41" t="s">
        <v>39</v>
      </c>
      <c r="F400" s="41">
        <v>5.811493474357035</v>
      </c>
      <c r="G400" s="41">
        <v>11.986905219653739</v>
      </c>
      <c r="H400" s="41">
        <v>0.25542837119973716</v>
      </c>
      <c r="I400" s="41">
        <v>6.260380403895077</v>
      </c>
      <c r="J400" s="41">
        <v>0.99555020315584508</v>
      </c>
      <c r="K400" s="41">
        <v>5.1518069187003466</v>
      </c>
      <c r="L400" s="41">
        <v>1.0296939319269698</v>
      </c>
      <c r="M400" s="41">
        <v>0.17139140114686713</v>
      </c>
      <c r="N400" s="42">
        <v>5.1775881537511885E-2</v>
      </c>
      <c r="O400" s="42">
        <v>6.1456365295541174E-2</v>
      </c>
      <c r="P400" s="42">
        <v>9.9056097007078625E-2</v>
      </c>
      <c r="Z400" s="43"/>
    </row>
    <row r="401" spans="1:26" ht="13.5" customHeight="1" x14ac:dyDescent="0.2">
      <c r="A401" s="39">
        <v>409</v>
      </c>
      <c r="B401" s="39" t="s">
        <v>421</v>
      </c>
      <c r="C401" s="40">
        <v>3</v>
      </c>
      <c r="D401" s="41" t="s">
        <v>39</v>
      </c>
      <c r="E401" s="41" t="s">
        <v>39</v>
      </c>
      <c r="F401" s="41">
        <v>5.477467295092886</v>
      </c>
      <c r="G401" s="41">
        <v>11.043578402398042</v>
      </c>
      <c r="H401" s="41">
        <v>0.24576090641158133</v>
      </c>
      <c r="I401" s="41">
        <v>5.818769664996049</v>
      </c>
      <c r="J401" s="41">
        <v>0.90856708224936122</v>
      </c>
      <c r="K401" s="41">
        <v>4.7612023723480785</v>
      </c>
      <c r="L401" s="41">
        <v>0.94789133480668286</v>
      </c>
      <c r="M401" s="41">
        <v>0.12918915982690266</v>
      </c>
      <c r="N401" s="42">
        <v>4.7358591748717316E-2</v>
      </c>
      <c r="O401" s="42">
        <v>5.8490014018334813E-2</v>
      </c>
      <c r="P401" s="42">
        <v>8.9958730339777832E-2</v>
      </c>
      <c r="Z401" s="43"/>
    </row>
    <row r="402" spans="1:26" ht="13.5" customHeight="1" x14ac:dyDescent="0.2">
      <c r="A402" s="39">
        <v>410</v>
      </c>
      <c r="B402" s="39" t="s">
        <v>422</v>
      </c>
      <c r="C402" s="40">
        <v>3</v>
      </c>
      <c r="D402" s="41" t="s">
        <v>39</v>
      </c>
      <c r="E402" s="41">
        <v>3.3704250674874796</v>
      </c>
      <c r="F402" s="41">
        <v>6.2159726442155687</v>
      </c>
      <c r="G402" s="41">
        <v>11.639174739648732</v>
      </c>
      <c r="H402" s="41">
        <v>0.91568211997594373</v>
      </c>
      <c r="I402" s="41">
        <v>5.747112887411177</v>
      </c>
      <c r="J402" s="41">
        <v>0.84416317906602978</v>
      </c>
      <c r="K402" s="41">
        <v>4.3778858518658215</v>
      </c>
      <c r="L402" s="41">
        <v>0.39817818993484522</v>
      </c>
      <c r="M402" s="41">
        <v>0.28668580265524729</v>
      </c>
      <c r="N402" s="42">
        <v>4.3259672739378453E-2</v>
      </c>
      <c r="O402" s="42">
        <v>7.7894110201792904E-2</v>
      </c>
      <c r="P402" s="42">
        <v>7.3289178452225073E-2</v>
      </c>
      <c r="Z402" s="43"/>
    </row>
    <row r="403" spans="1:26" ht="13.5" customHeight="1" x14ac:dyDescent="0.2">
      <c r="A403" s="39">
        <v>411</v>
      </c>
      <c r="B403" s="39" t="s">
        <v>423</v>
      </c>
      <c r="C403" s="40">
        <v>3</v>
      </c>
      <c r="D403" s="41">
        <v>8.8659916091439556E-2</v>
      </c>
      <c r="E403" s="41">
        <v>8.9018327060423861</v>
      </c>
      <c r="F403" s="41">
        <v>6.4459373036416512</v>
      </c>
      <c r="G403" s="41">
        <v>11.742586428024417</v>
      </c>
      <c r="H403" s="41">
        <v>1.0239284693762662</v>
      </c>
      <c r="I403" s="41">
        <v>5.9488540119835021</v>
      </c>
      <c r="J403" s="41">
        <v>0.84649013913448024</v>
      </c>
      <c r="K403" s="41">
        <v>4.803331856255852</v>
      </c>
      <c r="L403" s="41">
        <v>0.38898041676855277</v>
      </c>
      <c r="M403" s="41">
        <v>0.28851267038106521</v>
      </c>
      <c r="N403" s="42">
        <v>3.6778971327424616E-2</v>
      </c>
      <c r="O403" s="42" t="s">
        <v>39</v>
      </c>
      <c r="P403" s="42">
        <v>7.1766737195316163E-2</v>
      </c>
      <c r="Z403" s="43"/>
    </row>
    <row r="404" spans="1:26" ht="13.5" customHeight="1" x14ac:dyDescent="0.2">
      <c r="A404" s="39">
        <v>412</v>
      </c>
      <c r="B404" s="39" t="s">
        <v>424</v>
      </c>
      <c r="C404" s="40">
        <v>3</v>
      </c>
      <c r="D404" s="41">
        <v>5.8534219653357547E-2</v>
      </c>
      <c r="E404" s="41">
        <v>8.129960618471717</v>
      </c>
      <c r="F404" s="41">
        <v>6.4357222370105873</v>
      </c>
      <c r="G404" s="41">
        <v>11.693132088193318</v>
      </c>
      <c r="H404" s="41">
        <v>1.0973065760034946</v>
      </c>
      <c r="I404" s="41">
        <v>5.9536929149722368</v>
      </c>
      <c r="J404" s="41">
        <v>0.87447600908756229</v>
      </c>
      <c r="K404" s="41">
        <v>4.7168869079105225</v>
      </c>
      <c r="L404" s="41">
        <v>0.3891879474850628</v>
      </c>
      <c r="M404" s="41">
        <v>0.24397199722099405</v>
      </c>
      <c r="N404" s="42">
        <v>3.8313335621093986E-2</v>
      </c>
      <c r="O404" s="42" t="s">
        <v>39</v>
      </c>
      <c r="P404" s="42">
        <v>7.1946194332023525E-2</v>
      </c>
      <c r="Z404" s="43"/>
    </row>
    <row r="405" spans="1:26" ht="13.5" customHeight="1" x14ac:dyDescent="0.2">
      <c r="A405" s="39">
        <v>413</v>
      </c>
      <c r="B405" s="39" t="s">
        <v>425</v>
      </c>
      <c r="C405" s="40">
        <v>3</v>
      </c>
      <c r="D405" s="41">
        <v>6.1523900812721442</v>
      </c>
      <c r="E405" s="41">
        <v>28.030853884065365</v>
      </c>
      <c r="F405" s="41">
        <v>6.6696567288433704</v>
      </c>
      <c r="G405" s="41">
        <v>10.127250665159185</v>
      </c>
      <c r="H405" s="41">
        <v>0.29810369668372672</v>
      </c>
      <c r="I405" s="41">
        <v>5.8670477774965022</v>
      </c>
      <c r="J405" s="41">
        <v>1.1540867240621251</v>
      </c>
      <c r="K405" s="41">
        <v>4.2300847961660768</v>
      </c>
      <c r="L405" s="41">
        <v>1.2184079887565034</v>
      </c>
      <c r="M405" s="41">
        <v>0.30809018816903122</v>
      </c>
      <c r="N405" s="42">
        <v>6.9455464728701843E-2</v>
      </c>
      <c r="O405" s="42" t="s">
        <v>39</v>
      </c>
      <c r="P405" s="42">
        <v>8.5637607645784292E-2</v>
      </c>
      <c r="Z405" s="43"/>
    </row>
    <row r="406" spans="1:26" ht="13.5" customHeight="1" x14ac:dyDescent="0.2">
      <c r="A406" s="39">
        <v>414</v>
      </c>
      <c r="B406" s="39" t="s">
        <v>426</v>
      </c>
      <c r="C406" s="40">
        <v>3</v>
      </c>
      <c r="D406" s="41">
        <v>5.234476424547184</v>
      </c>
      <c r="E406" s="41">
        <v>25.085160467770702</v>
      </c>
      <c r="F406" s="41">
        <v>6.3847218594653885</v>
      </c>
      <c r="G406" s="41">
        <v>10.393203910829625</v>
      </c>
      <c r="H406" s="41">
        <v>0.33921426573673175</v>
      </c>
      <c r="I406" s="41">
        <v>5.7193039861687538</v>
      </c>
      <c r="J406" s="41">
        <v>1.0681596181492292</v>
      </c>
      <c r="K406" s="41">
        <v>4.2859055920551548</v>
      </c>
      <c r="L406" s="41">
        <v>1.131995214146722</v>
      </c>
      <c r="M406" s="41">
        <v>0.30009351684351226</v>
      </c>
      <c r="N406" s="42">
        <v>5.6251258285887853E-2</v>
      </c>
      <c r="O406" s="42" t="s">
        <v>39</v>
      </c>
      <c r="P406" s="42">
        <v>7.7113502489371683E-2</v>
      </c>
      <c r="Z406" s="43"/>
    </row>
    <row r="407" spans="1:26" ht="13.5" customHeight="1" x14ac:dyDescent="0.2">
      <c r="A407" s="39">
        <v>415</v>
      </c>
      <c r="B407" s="39" t="s">
        <v>427</v>
      </c>
      <c r="C407" s="40">
        <v>3</v>
      </c>
      <c r="D407" s="41">
        <v>4.7091448028990248</v>
      </c>
      <c r="E407" s="41">
        <v>23.607211414706747</v>
      </c>
      <c r="F407" s="41">
        <v>6.0801415711325077</v>
      </c>
      <c r="G407" s="41">
        <v>9.5876676199139492</v>
      </c>
      <c r="H407" s="41">
        <v>0.25291062794164471</v>
      </c>
      <c r="I407" s="41">
        <v>5.2937105933783535</v>
      </c>
      <c r="J407" s="41">
        <v>0.9670560708258521</v>
      </c>
      <c r="K407" s="41">
        <v>3.91182800713365</v>
      </c>
      <c r="L407" s="41">
        <v>1.0622453821345266</v>
      </c>
      <c r="M407" s="41">
        <v>0.2792333662720452</v>
      </c>
      <c r="N407" s="42">
        <v>5.1325663464351676E-2</v>
      </c>
      <c r="O407" s="42" t="s">
        <v>39</v>
      </c>
      <c r="P407" s="42">
        <v>7.1338823774204252E-2</v>
      </c>
      <c r="Z407" s="43"/>
    </row>
    <row r="408" spans="1:26" ht="13.5" customHeight="1" x14ac:dyDescent="0.2">
      <c r="A408" s="39">
        <v>416</v>
      </c>
      <c r="B408" s="39" t="s">
        <v>428</v>
      </c>
      <c r="C408" s="40">
        <v>3</v>
      </c>
      <c r="D408" s="41">
        <v>0.10772718220595057</v>
      </c>
      <c r="E408" s="41">
        <v>12.215738675252508</v>
      </c>
      <c r="F408" s="41">
        <v>5.9231008722919478</v>
      </c>
      <c r="G408" s="41">
        <v>11.182887521390455</v>
      </c>
      <c r="H408" s="41">
        <v>0.47844337886554111</v>
      </c>
      <c r="I408" s="41">
        <v>5.5103429167035793</v>
      </c>
      <c r="J408" s="41">
        <v>0.85899093043689745</v>
      </c>
      <c r="K408" s="41">
        <v>5.1037169337850354</v>
      </c>
      <c r="L408" s="41">
        <v>0.91359916106499139</v>
      </c>
      <c r="M408" s="41">
        <v>0.23251596673619807</v>
      </c>
      <c r="N408" s="42">
        <v>4.2051527492505132E-2</v>
      </c>
      <c r="O408" s="42">
        <v>6.3067047354214589E-2</v>
      </c>
      <c r="P408" s="42">
        <v>9.3065455662841995E-2</v>
      </c>
      <c r="Z408" s="43"/>
    </row>
    <row r="409" spans="1:26" ht="13.5" customHeight="1" x14ac:dyDescent="0.2">
      <c r="A409" s="39">
        <v>417</v>
      </c>
      <c r="B409" s="39" t="s">
        <v>429</v>
      </c>
      <c r="C409" s="40">
        <v>3</v>
      </c>
      <c r="D409" s="41">
        <v>2.8943968203480667E-2</v>
      </c>
      <c r="E409" s="41">
        <v>8.237060854886586</v>
      </c>
      <c r="F409" s="41">
        <v>6.1016833395938015</v>
      </c>
      <c r="G409" s="41">
        <v>11.360938956944921</v>
      </c>
      <c r="H409" s="41">
        <v>0.45481554305921074</v>
      </c>
      <c r="I409" s="41">
        <v>5.918369628873589</v>
      </c>
      <c r="J409" s="41">
        <v>1.1598273905339735</v>
      </c>
      <c r="K409" s="41">
        <v>5.4040619167630899</v>
      </c>
      <c r="L409" s="41">
        <v>1.0778911925149535</v>
      </c>
      <c r="M409" s="41">
        <v>0.26882810555287734</v>
      </c>
      <c r="N409" s="42">
        <v>6.8916695074451542E-2</v>
      </c>
      <c r="O409" s="42">
        <v>6.7356532833829197E-2</v>
      </c>
      <c r="P409" s="42">
        <v>9.7335690167657307E-2</v>
      </c>
      <c r="Z409" s="43"/>
    </row>
    <row r="410" spans="1:26" ht="13.5" customHeight="1" x14ac:dyDescent="0.2">
      <c r="A410" s="39">
        <v>418</v>
      </c>
      <c r="B410" s="39" t="s">
        <v>430</v>
      </c>
      <c r="C410" s="40">
        <v>3</v>
      </c>
      <c r="D410" s="41">
        <v>2.804951570951637E-2</v>
      </c>
      <c r="E410" s="41">
        <v>9.2019503216398206</v>
      </c>
      <c r="F410" s="41">
        <v>6.9850873295999509</v>
      </c>
      <c r="G410" s="41">
        <v>13.014625317815266</v>
      </c>
      <c r="H410" s="41">
        <v>0.5290972836895389</v>
      </c>
      <c r="I410" s="41">
        <v>6.5639716497087104</v>
      </c>
      <c r="J410" s="41">
        <v>1.1112018243136839</v>
      </c>
      <c r="K410" s="41">
        <v>5.9776096295019672</v>
      </c>
      <c r="L410" s="41">
        <v>1.2177618229528044</v>
      </c>
      <c r="M410" s="41">
        <v>0.30655398885886831</v>
      </c>
      <c r="N410" s="42">
        <v>6.4473097941714075E-2</v>
      </c>
      <c r="O410" s="42">
        <v>5.9252453706416977E-2</v>
      </c>
      <c r="P410" s="42">
        <v>0.12777479944972825</v>
      </c>
      <c r="Z410" s="43"/>
    </row>
    <row r="411" spans="1:26" ht="13.5" customHeight="1" x14ac:dyDescent="0.2">
      <c r="A411" s="39">
        <v>419</v>
      </c>
      <c r="B411" s="39" t="s">
        <v>431</v>
      </c>
      <c r="C411" s="40">
        <v>3</v>
      </c>
      <c r="D411" s="41">
        <v>0.73452662814752323</v>
      </c>
      <c r="E411" s="41">
        <v>19.225564953803282</v>
      </c>
      <c r="F411" s="41">
        <v>7.6896823970191122</v>
      </c>
      <c r="G411" s="41">
        <v>13.017655433229546</v>
      </c>
      <c r="H411" s="41">
        <v>0.82982442923995314</v>
      </c>
      <c r="I411" s="41">
        <v>7.0176204939462492</v>
      </c>
      <c r="J411" s="41">
        <v>1.168804876665495</v>
      </c>
      <c r="K411" s="41">
        <v>5.9776623904592876</v>
      </c>
      <c r="L411" s="41">
        <v>0.76727509503028857</v>
      </c>
      <c r="M411" s="41">
        <v>0.29368643482798712</v>
      </c>
      <c r="N411" s="42">
        <v>4.4443569966549093E-2</v>
      </c>
      <c r="O411" s="42" t="s">
        <v>39</v>
      </c>
      <c r="P411" s="42">
        <v>0.16094498773665933</v>
      </c>
      <c r="Z411" s="43"/>
    </row>
    <row r="412" spans="1:26" ht="13.5" customHeight="1" x14ac:dyDescent="0.2">
      <c r="A412" s="39">
        <v>420</v>
      </c>
      <c r="B412" s="39" t="s">
        <v>432</v>
      </c>
      <c r="C412" s="40">
        <v>3</v>
      </c>
      <c r="D412" s="41" t="s">
        <v>39</v>
      </c>
      <c r="E412" s="41">
        <v>7.3397094011975117</v>
      </c>
      <c r="F412" s="41">
        <v>6.6675713249389776</v>
      </c>
      <c r="G412" s="41">
        <v>11.600301360106982</v>
      </c>
      <c r="H412" s="41">
        <v>0.6827868056624633</v>
      </c>
      <c r="I412" s="41">
        <v>6.0265988732680515</v>
      </c>
      <c r="J412" s="41">
        <v>1.0573589811489006</v>
      </c>
      <c r="K412" s="41">
        <v>4.7221999815565923</v>
      </c>
      <c r="L412" s="41">
        <v>0.61727833536527421</v>
      </c>
      <c r="M412" s="41">
        <v>0.23971747712334029</v>
      </c>
      <c r="N412" s="42">
        <v>5.2184287697802111E-2</v>
      </c>
      <c r="O412" s="42" t="s">
        <v>39</v>
      </c>
      <c r="P412" s="42">
        <v>0.14919670995012999</v>
      </c>
      <c r="Z412" s="43"/>
    </row>
    <row r="413" spans="1:26" ht="13.5" customHeight="1" x14ac:dyDescent="0.2">
      <c r="A413" s="39">
        <v>421</v>
      </c>
      <c r="B413" s="39" t="s">
        <v>433</v>
      </c>
      <c r="C413" s="40">
        <v>3</v>
      </c>
      <c r="D413" s="41" t="s">
        <v>39</v>
      </c>
      <c r="E413" s="41">
        <v>3.3913139908365761</v>
      </c>
      <c r="F413" s="41">
        <v>6.8393556605308614</v>
      </c>
      <c r="G413" s="41">
        <v>11.781513770081217</v>
      </c>
      <c r="H413" s="41">
        <v>0.70640747437101514</v>
      </c>
      <c r="I413" s="41">
        <v>6.1138308112878264</v>
      </c>
      <c r="J413" s="41">
        <v>1.140805033729664</v>
      </c>
      <c r="K413" s="41">
        <v>4.5235437897773965</v>
      </c>
      <c r="L413" s="41">
        <v>0.64225809714431348</v>
      </c>
      <c r="M413" s="41">
        <v>0.23504658225669064</v>
      </c>
      <c r="N413" s="42">
        <v>5.9182584683408757E-2</v>
      </c>
      <c r="O413" s="42" t="s">
        <v>39</v>
      </c>
      <c r="P413" s="42">
        <v>0.15090859210245988</v>
      </c>
      <c r="Z413" s="43"/>
    </row>
    <row r="414" spans="1:26" ht="13.5" customHeight="1" x14ac:dyDescent="0.2">
      <c r="A414" s="39">
        <v>422</v>
      </c>
      <c r="B414" s="39" t="s">
        <v>434</v>
      </c>
      <c r="C414" s="40">
        <v>3</v>
      </c>
      <c r="D414" s="41" t="s">
        <v>39</v>
      </c>
      <c r="E414" s="41" t="s">
        <v>39</v>
      </c>
      <c r="F414" s="41">
        <v>6.3946139851635646</v>
      </c>
      <c r="G414" s="41">
        <v>12.906236559365162</v>
      </c>
      <c r="H414" s="41">
        <v>0.34623767937830335</v>
      </c>
      <c r="I414" s="41">
        <v>6.5468578273658107</v>
      </c>
      <c r="J414" s="41">
        <v>1.353341124879154</v>
      </c>
      <c r="K414" s="41">
        <v>5.228984596843425</v>
      </c>
      <c r="L414" s="41">
        <v>0.9875241657659799</v>
      </c>
      <c r="M414" s="41">
        <v>0.19229832041543909</v>
      </c>
      <c r="N414" s="42">
        <v>8.601371505392455E-2</v>
      </c>
      <c r="O414" s="42">
        <v>0.13614075402067588</v>
      </c>
      <c r="P414" s="42">
        <v>7.8796421846355061E-2</v>
      </c>
      <c r="Z414" s="43"/>
    </row>
    <row r="415" spans="1:26" ht="13.5" customHeight="1" x14ac:dyDescent="0.2">
      <c r="A415" s="39">
        <v>423</v>
      </c>
      <c r="B415" s="39" t="s">
        <v>435</v>
      </c>
      <c r="C415" s="40">
        <v>3</v>
      </c>
      <c r="D415" s="41" t="s">
        <v>39</v>
      </c>
      <c r="E415" s="41">
        <v>2.5666406986435542</v>
      </c>
      <c r="F415" s="41">
        <v>6.0763955616581269</v>
      </c>
      <c r="G415" s="41">
        <v>12.031010984070059</v>
      </c>
      <c r="H415" s="41">
        <v>0.28784230773321395</v>
      </c>
      <c r="I415" s="41">
        <v>5.8974228179291002</v>
      </c>
      <c r="J415" s="41">
        <v>1.1650990094796372</v>
      </c>
      <c r="K415" s="41">
        <v>4.8241637000337283</v>
      </c>
      <c r="L415" s="41">
        <v>0.9398610957826451</v>
      </c>
      <c r="M415" s="41">
        <v>0.17557464294273431</v>
      </c>
      <c r="N415" s="42">
        <v>6.8537915057152399E-2</v>
      </c>
      <c r="O415" s="42">
        <v>0.10885683710235192</v>
      </c>
      <c r="P415" s="42">
        <v>7.0759825752687661E-2</v>
      </c>
      <c r="Z415" s="43"/>
    </row>
    <row r="416" spans="1:26" ht="13.5" customHeight="1" x14ac:dyDescent="0.2">
      <c r="A416" s="39">
        <v>424</v>
      </c>
      <c r="B416" s="39" t="s">
        <v>436</v>
      </c>
      <c r="C416" s="40">
        <v>3</v>
      </c>
      <c r="D416" s="41" t="s">
        <v>39</v>
      </c>
      <c r="E416" s="41">
        <v>2.4757613706758308</v>
      </c>
      <c r="F416" s="41">
        <v>6.2571480693236952</v>
      </c>
      <c r="G416" s="41">
        <v>12.786328763248168</v>
      </c>
      <c r="H416" s="41">
        <v>0.35345189022327006</v>
      </c>
      <c r="I416" s="41">
        <v>6.2603334119591842</v>
      </c>
      <c r="J416" s="41">
        <v>1.1847647844487614</v>
      </c>
      <c r="K416" s="41">
        <v>5.183960150025178</v>
      </c>
      <c r="L416" s="41">
        <v>0.96278729610354641</v>
      </c>
      <c r="M416" s="41">
        <v>0.22712633605429866</v>
      </c>
      <c r="N416" s="42">
        <v>6.2332544797017338E-2</v>
      </c>
      <c r="O416" s="42">
        <v>0.10348830182180294</v>
      </c>
      <c r="P416" s="42">
        <v>7.3974050867132754E-2</v>
      </c>
      <c r="Z416" s="43"/>
    </row>
    <row r="417" spans="1:26" ht="13.5" customHeight="1" x14ac:dyDescent="0.2">
      <c r="A417" s="39">
        <v>425</v>
      </c>
      <c r="B417" s="39" t="s">
        <v>437</v>
      </c>
      <c r="C417" s="40">
        <v>3</v>
      </c>
      <c r="D417" s="41">
        <v>0.80190045059627213</v>
      </c>
      <c r="E417" s="41">
        <v>9.373252721421796</v>
      </c>
      <c r="F417" s="41">
        <v>6.6227619057876295</v>
      </c>
      <c r="G417" s="41">
        <v>11.562049726462671</v>
      </c>
      <c r="H417" s="41">
        <v>0.25941227364628361</v>
      </c>
      <c r="I417" s="41">
        <v>6.707758642031866</v>
      </c>
      <c r="J417" s="41">
        <v>1.4660193992406128</v>
      </c>
      <c r="K417" s="41">
        <v>5.5409934973415149</v>
      </c>
      <c r="L417" s="41">
        <v>1.2226841388006544</v>
      </c>
      <c r="M417" s="41">
        <v>0.29874215059577064</v>
      </c>
      <c r="N417" s="42">
        <v>4.8277165669281127E-2</v>
      </c>
      <c r="O417" s="42">
        <v>0.12975169575282647</v>
      </c>
      <c r="P417" s="42">
        <v>6.6382537892586496E-2</v>
      </c>
      <c r="Z417" s="43"/>
    </row>
    <row r="418" spans="1:26" ht="13.5" customHeight="1" x14ac:dyDescent="0.2">
      <c r="A418" s="39">
        <v>426</v>
      </c>
      <c r="B418" s="39" t="s">
        <v>438</v>
      </c>
      <c r="C418" s="40">
        <v>3</v>
      </c>
      <c r="D418" s="41">
        <v>2.9437421953375915E-2</v>
      </c>
      <c r="E418" s="41">
        <v>3.1991435235027579</v>
      </c>
      <c r="F418" s="41">
        <v>6.7811713083076572</v>
      </c>
      <c r="G418" s="41">
        <v>12.281345263719697</v>
      </c>
      <c r="H418" s="41">
        <v>0.22190958740734298</v>
      </c>
      <c r="I418" s="41">
        <v>6.459045901056081</v>
      </c>
      <c r="J418" s="41">
        <v>1.3182592144664325</v>
      </c>
      <c r="K418" s="41">
        <v>5.2625043175583395</v>
      </c>
      <c r="L418" s="41">
        <v>1.203347112562495</v>
      </c>
      <c r="M418" s="41">
        <v>0.3174497783464274</v>
      </c>
      <c r="N418" s="42">
        <v>4.9115915430071294E-2</v>
      </c>
      <c r="O418" s="42" t="s">
        <v>39</v>
      </c>
      <c r="P418" s="42">
        <v>6.3073904636881478E-2</v>
      </c>
      <c r="Z418" s="43"/>
    </row>
    <row r="419" spans="1:26" ht="13.5" customHeight="1" x14ac:dyDescent="0.2">
      <c r="A419" s="39">
        <v>427</v>
      </c>
      <c r="B419" s="39" t="s">
        <v>439</v>
      </c>
      <c r="C419" s="40">
        <v>3</v>
      </c>
      <c r="D419" s="41">
        <v>0.35111521982525978</v>
      </c>
      <c r="E419" s="41">
        <v>6.5430946731538686</v>
      </c>
      <c r="F419" s="41">
        <v>6.7653237785690425</v>
      </c>
      <c r="G419" s="41">
        <v>11.866944083414614</v>
      </c>
      <c r="H419" s="41">
        <v>0.23545972505644847</v>
      </c>
      <c r="I419" s="41">
        <v>6.3268659101404729</v>
      </c>
      <c r="J419" s="41">
        <v>1.3889099898782935</v>
      </c>
      <c r="K419" s="41">
        <v>5.4580160571629692</v>
      </c>
      <c r="L419" s="41">
        <v>1.2755841006779849</v>
      </c>
      <c r="M419" s="41">
        <v>0.32082671938167795</v>
      </c>
      <c r="N419" s="42">
        <v>5.1443556390699627E-2</v>
      </c>
      <c r="O419" s="42" t="s">
        <v>39</v>
      </c>
      <c r="P419" s="42">
        <v>6.8434245614832981E-2</v>
      </c>
      <c r="Z419" s="43"/>
    </row>
    <row r="420" spans="1:26" ht="13.5" customHeight="1" x14ac:dyDescent="0.2">
      <c r="A420" s="39">
        <v>428</v>
      </c>
      <c r="B420" s="39" t="s">
        <v>440</v>
      </c>
      <c r="C420" s="40">
        <v>3</v>
      </c>
      <c r="D420" s="41" t="s">
        <v>39</v>
      </c>
      <c r="E420" s="41">
        <v>1.8916605087746801</v>
      </c>
      <c r="F420" s="41">
        <v>6.1555655959627913</v>
      </c>
      <c r="G420" s="41">
        <v>11.661218341624961</v>
      </c>
      <c r="H420" s="41">
        <v>1.0249808946540842</v>
      </c>
      <c r="I420" s="41">
        <v>5.8062339097200573</v>
      </c>
      <c r="J420" s="41">
        <v>0.97464893012670861</v>
      </c>
      <c r="K420" s="41">
        <v>4.5688792766049335</v>
      </c>
      <c r="L420" s="41">
        <v>0.4855416290228004</v>
      </c>
      <c r="M420" s="41">
        <v>0.32116771590438975</v>
      </c>
      <c r="N420" s="42">
        <v>3.4523280885527072E-2</v>
      </c>
      <c r="O420" s="42">
        <v>9.9042981598910229E-2</v>
      </c>
      <c r="P420" s="42">
        <v>6.5533878290858022E-2</v>
      </c>
      <c r="Z420" s="43"/>
    </row>
    <row r="421" spans="1:26" ht="13.5" customHeight="1" x14ac:dyDescent="0.2">
      <c r="A421" s="39">
        <v>429</v>
      </c>
      <c r="B421" s="39" t="s">
        <v>441</v>
      </c>
      <c r="C421" s="40">
        <v>3</v>
      </c>
      <c r="D421" s="41" t="s">
        <v>39</v>
      </c>
      <c r="E421" s="41">
        <v>5.8100348009826694</v>
      </c>
      <c r="F421" s="41">
        <v>6.2635820192761376</v>
      </c>
      <c r="G421" s="41">
        <v>11.648841500293159</v>
      </c>
      <c r="H421" s="41">
        <v>1.0882979757368116</v>
      </c>
      <c r="I421" s="41">
        <v>6.036984807145366</v>
      </c>
      <c r="J421" s="41">
        <v>1.0027922371150906</v>
      </c>
      <c r="K421" s="41">
        <v>4.8456612694592316</v>
      </c>
      <c r="L421" s="41">
        <v>0.45011938838498855</v>
      </c>
      <c r="M421" s="41">
        <v>0.31122385625259136</v>
      </c>
      <c r="N421" s="42">
        <v>3.8550799452707403E-2</v>
      </c>
      <c r="O421" s="42">
        <v>8.5183088480672797E-2</v>
      </c>
      <c r="P421" s="42">
        <v>6.7708779889569692E-2</v>
      </c>
      <c r="Z421" s="43"/>
    </row>
    <row r="422" spans="1:26" ht="13.5" customHeight="1" x14ac:dyDescent="0.2">
      <c r="A422" s="39">
        <v>430</v>
      </c>
      <c r="B422" s="39" t="s">
        <v>442</v>
      </c>
      <c r="C422" s="40">
        <v>3</v>
      </c>
      <c r="D422" s="41" t="s">
        <v>39</v>
      </c>
      <c r="E422" s="41">
        <v>4.1297543642653416</v>
      </c>
      <c r="F422" s="41">
        <v>6.3870299199513658</v>
      </c>
      <c r="G422" s="41">
        <v>11.860459634309262</v>
      </c>
      <c r="H422" s="41">
        <v>1.0951558617044483</v>
      </c>
      <c r="I422" s="41">
        <v>6.0292283575945795</v>
      </c>
      <c r="J422" s="41">
        <v>1.0300879611069709</v>
      </c>
      <c r="K422" s="41">
        <v>4.7948468274795548</v>
      </c>
      <c r="L422" s="41">
        <v>0.46652132419548054</v>
      </c>
      <c r="M422" s="41">
        <v>0.25934522566708046</v>
      </c>
      <c r="N422" s="42">
        <v>3.7404217997061562E-2</v>
      </c>
      <c r="O422" s="42" t="s">
        <v>39</v>
      </c>
      <c r="P422" s="42">
        <v>6.7955792168011439E-2</v>
      </c>
      <c r="Z422" s="43"/>
    </row>
    <row r="423" spans="1:26" ht="13.5" customHeight="1" x14ac:dyDescent="0.2">
      <c r="A423" s="39">
        <v>431</v>
      </c>
      <c r="B423" s="39" t="s">
        <v>443</v>
      </c>
      <c r="C423" s="40">
        <v>3</v>
      </c>
      <c r="D423" s="41">
        <v>3.5748217967438896</v>
      </c>
      <c r="E423" s="41">
        <v>25.100953045149694</v>
      </c>
      <c r="F423" s="41">
        <v>7.0484162255203957</v>
      </c>
      <c r="G423" s="41">
        <v>10.924784560571787</v>
      </c>
      <c r="H423" s="41">
        <v>0.29410586826936891</v>
      </c>
      <c r="I423" s="41">
        <v>6.7376805969300282</v>
      </c>
      <c r="J423" s="41">
        <v>1.3065210753593077</v>
      </c>
      <c r="K423" s="41">
        <v>4.4840867271966696</v>
      </c>
      <c r="L423" s="41">
        <v>1.3428444660498544</v>
      </c>
      <c r="M423" s="41">
        <v>0.33404495648145827</v>
      </c>
      <c r="N423" s="42">
        <v>2.9141966946319854E-2</v>
      </c>
      <c r="O423" s="42" t="s">
        <v>39</v>
      </c>
      <c r="P423" s="42">
        <v>9.6958682052544043E-2</v>
      </c>
      <c r="Z423" s="43"/>
    </row>
    <row r="424" spans="1:26" ht="13.5" customHeight="1" x14ac:dyDescent="0.2">
      <c r="A424" s="39">
        <v>432</v>
      </c>
      <c r="B424" s="39" t="s">
        <v>444</v>
      </c>
      <c r="C424" s="40">
        <v>3</v>
      </c>
      <c r="D424" s="41">
        <v>2.651306422921011</v>
      </c>
      <c r="E424" s="41">
        <v>17.517328330079469</v>
      </c>
      <c r="F424" s="41">
        <v>6.1439277286372356</v>
      </c>
      <c r="G424" s="41">
        <v>10.190170782593675</v>
      </c>
      <c r="H424" s="41">
        <v>0.31810726019733082</v>
      </c>
      <c r="I424" s="41">
        <v>5.3343628563652565</v>
      </c>
      <c r="J424" s="41">
        <v>1.0312399327921193</v>
      </c>
      <c r="K424" s="41">
        <v>4.0222958499742898</v>
      </c>
      <c r="L424" s="41">
        <v>1.1117576284781658</v>
      </c>
      <c r="M424" s="41">
        <v>0.27109539979833075</v>
      </c>
      <c r="N424" s="42">
        <v>5.5657014387152468E-2</v>
      </c>
      <c r="O424" s="42" t="s">
        <v>39</v>
      </c>
      <c r="P424" s="42">
        <v>7.340478417159077E-2</v>
      </c>
      <c r="Z424" s="43"/>
    </row>
    <row r="425" spans="1:26" ht="13.5" customHeight="1" x14ac:dyDescent="0.2">
      <c r="A425" s="39">
        <v>433</v>
      </c>
      <c r="B425" s="39" t="s">
        <v>445</v>
      </c>
      <c r="C425" s="40">
        <v>3</v>
      </c>
      <c r="D425" s="41">
        <v>2.9544199701742668</v>
      </c>
      <c r="E425" s="41">
        <v>19.55645948837217</v>
      </c>
      <c r="F425" s="41">
        <v>6.6466257579888426</v>
      </c>
      <c r="G425" s="41">
        <v>10.657190919966267</v>
      </c>
      <c r="H425" s="41">
        <v>0.27717535051082415</v>
      </c>
      <c r="I425" s="41">
        <v>5.6200884371527806</v>
      </c>
      <c r="J425" s="41">
        <v>0.9787437602284943</v>
      </c>
      <c r="K425" s="41">
        <v>4.1984591856781641</v>
      </c>
      <c r="L425" s="41">
        <v>1.1725172682179643</v>
      </c>
      <c r="M425" s="41">
        <v>0.29216937967897538</v>
      </c>
      <c r="N425" s="42">
        <v>5.4025282904026112E-2</v>
      </c>
      <c r="O425" s="42" t="s">
        <v>39</v>
      </c>
      <c r="P425" s="42">
        <v>8.5086477237982655E-2</v>
      </c>
      <c r="Z425" s="43"/>
    </row>
    <row r="426" spans="1:26" ht="13.5" customHeight="1" x14ac:dyDescent="0.2">
      <c r="A426" s="39">
        <v>434</v>
      </c>
      <c r="B426" s="39" t="s">
        <v>446</v>
      </c>
      <c r="C426" s="40">
        <v>3</v>
      </c>
      <c r="D426" s="41" t="s">
        <v>39</v>
      </c>
      <c r="E426" s="41">
        <v>4.2426135925352844</v>
      </c>
      <c r="F426" s="41">
        <v>6.2230327017182061</v>
      </c>
      <c r="G426" s="41">
        <v>12.088349841075534</v>
      </c>
      <c r="H426" s="41">
        <v>0.644911366206953</v>
      </c>
      <c r="I426" s="41">
        <v>5.3336973091613364</v>
      </c>
      <c r="J426" s="41">
        <v>0.74706843341098972</v>
      </c>
      <c r="K426" s="41">
        <v>4.978238374854083</v>
      </c>
      <c r="L426" s="41">
        <v>0.9784920221001987</v>
      </c>
      <c r="M426" s="41">
        <v>0.23839812653805506</v>
      </c>
      <c r="N426" s="42">
        <v>2.2477905931829047E-2</v>
      </c>
      <c r="O426" s="42">
        <v>7.0799400470135831E-2</v>
      </c>
      <c r="P426" s="42">
        <v>7.7334031317362412E-2</v>
      </c>
      <c r="Z426" s="43"/>
    </row>
    <row r="427" spans="1:26" ht="13.5" customHeight="1" x14ac:dyDescent="0.2">
      <c r="A427" s="39">
        <v>435</v>
      </c>
      <c r="B427" s="39" t="s">
        <v>447</v>
      </c>
      <c r="C427" s="40">
        <v>3</v>
      </c>
      <c r="D427" s="41" t="s">
        <v>39</v>
      </c>
      <c r="E427" s="41">
        <v>3.8049799525203207</v>
      </c>
      <c r="F427" s="41">
        <v>6.0652066532106321</v>
      </c>
      <c r="G427" s="41">
        <v>11.458397584743745</v>
      </c>
      <c r="H427" s="41">
        <v>0.51945528790741757</v>
      </c>
      <c r="I427" s="41">
        <v>5.0119263279999808</v>
      </c>
      <c r="J427" s="41">
        <v>0.78666095977531625</v>
      </c>
      <c r="K427" s="41">
        <v>4.7860360456632822</v>
      </c>
      <c r="L427" s="41">
        <v>1.0546442835137606</v>
      </c>
      <c r="M427" s="41">
        <v>0.23833934750234287</v>
      </c>
      <c r="N427" s="42">
        <v>2.4749551611809747E-2</v>
      </c>
      <c r="O427" s="42">
        <v>0.20705071914217749</v>
      </c>
      <c r="P427" s="42">
        <v>9.3381548757598687E-2</v>
      </c>
      <c r="Z427" s="43"/>
    </row>
    <row r="428" spans="1:26" ht="13.5" customHeight="1" x14ac:dyDescent="0.2">
      <c r="A428" s="39">
        <v>436</v>
      </c>
      <c r="B428" s="39" t="s">
        <v>448</v>
      </c>
      <c r="C428" s="40">
        <v>3</v>
      </c>
      <c r="D428" s="41" t="s">
        <v>39</v>
      </c>
      <c r="E428" s="41">
        <v>3.3513254234604375</v>
      </c>
      <c r="F428" s="41">
        <v>5.9518428786352304</v>
      </c>
      <c r="G428" s="41">
        <v>11.324425229788453</v>
      </c>
      <c r="H428" s="41">
        <v>0.42867274215250817</v>
      </c>
      <c r="I428" s="41">
        <v>4.9579466319005094</v>
      </c>
      <c r="J428" s="41">
        <v>0.74882606525045803</v>
      </c>
      <c r="K428" s="41">
        <v>4.7164154321389953</v>
      </c>
      <c r="L428" s="41">
        <v>1.0679193976348669</v>
      </c>
      <c r="M428" s="41">
        <v>0.25589120849038183</v>
      </c>
      <c r="N428" s="42">
        <v>2.4575887281714233E-2</v>
      </c>
      <c r="O428" s="42">
        <v>5.4950103339237111E-2</v>
      </c>
      <c r="P428" s="42">
        <v>9.9793262121168069E-2</v>
      </c>
      <c r="Z428" s="43"/>
    </row>
    <row r="429" spans="1:26" ht="13.5" customHeight="1" x14ac:dyDescent="0.2">
      <c r="A429" s="39">
        <v>437</v>
      </c>
      <c r="B429" s="39" t="s">
        <v>449</v>
      </c>
      <c r="C429" s="40">
        <v>3</v>
      </c>
      <c r="D429" s="41">
        <v>0.15104098113149267</v>
      </c>
      <c r="E429" s="41">
        <v>11.356180148092541</v>
      </c>
      <c r="F429" s="41">
        <v>6.4114948956797715</v>
      </c>
      <c r="G429" s="41">
        <v>11.03744577566129</v>
      </c>
      <c r="H429" s="41">
        <v>0.7426016134073733</v>
      </c>
      <c r="I429" s="41">
        <v>6.402360661213244</v>
      </c>
      <c r="J429" s="41" t="s">
        <v>39</v>
      </c>
      <c r="K429" s="41">
        <v>4.5020935045442201</v>
      </c>
      <c r="L429" s="41">
        <v>0.65995348403525345</v>
      </c>
      <c r="M429" s="41">
        <v>0.23929714234577162</v>
      </c>
      <c r="N429" s="42">
        <v>9.2157985199892815E-3</v>
      </c>
      <c r="O429" s="42">
        <v>0.1003288418861282</v>
      </c>
      <c r="P429" s="42">
        <v>0.12294967669803566</v>
      </c>
      <c r="Z429" s="43"/>
    </row>
    <row r="430" spans="1:26" ht="13.5" customHeight="1" x14ac:dyDescent="0.2">
      <c r="A430" s="39">
        <v>438</v>
      </c>
      <c r="B430" s="39" t="s">
        <v>450</v>
      </c>
      <c r="C430" s="40">
        <v>3</v>
      </c>
      <c r="D430" s="41" t="s">
        <v>39</v>
      </c>
      <c r="E430" s="41">
        <v>2.740841300379675</v>
      </c>
      <c r="F430" s="41">
        <v>6.4346833690319922</v>
      </c>
      <c r="G430" s="41">
        <v>11.519325166978197</v>
      </c>
      <c r="H430" s="41">
        <v>0.73997036255039705</v>
      </c>
      <c r="I430" s="41">
        <v>7.6061292430190699</v>
      </c>
      <c r="J430" s="41" t="s">
        <v>39</v>
      </c>
      <c r="K430" s="41">
        <v>4.3883595289918365</v>
      </c>
      <c r="L430" s="41">
        <v>0.58359191087285245</v>
      </c>
      <c r="M430" s="41">
        <v>0.18504992796452296</v>
      </c>
      <c r="N430" s="42">
        <v>5.4619208753815096E-2</v>
      </c>
      <c r="O430" s="42" t="s">
        <v>39</v>
      </c>
      <c r="P430" s="42">
        <v>0.13189353369688928</v>
      </c>
      <c r="Z430" s="43"/>
    </row>
    <row r="431" spans="1:26" ht="13.5" customHeight="1" x14ac:dyDescent="0.2">
      <c r="A431" s="39">
        <v>439</v>
      </c>
      <c r="B431" s="39" t="s">
        <v>451</v>
      </c>
      <c r="C431" s="40">
        <v>3</v>
      </c>
      <c r="D431" s="41" t="s">
        <v>39</v>
      </c>
      <c r="E431" s="41">
        <v>1.3978880857533744</v>
      </c>
      <c r="F431" s="41">
        <v>6.871756220070032</v>
      </c>
      <c r="G431" s="41">
        <v>11.851482412058601</v>
      </c>
      <c r="H431" s="41">
        <v>0.77019438212356151</v>
      </c>
      <c r="I431" s="41">
        <v>8.1084199905895407</v>
      </c>
      <c r="J431" s="41" t="s">
        <v>39</v>
      </c>
      <c r="K431" s="41">
        <v>4.5392283358739434</v>
      </c>
      <c r="L431" s="41">
        <v>0.68546887466259099</v>
      </c>
      <c r="M431" s="41">
        <v>0.23984293327663703</v>
      </c>
      <c r="N431" s="42">
        <v>5.4056463818831162E-2</v>
      </c>
      <c r="O431" s="42">
        <v>0.12442259046293289</v>
      </c>
      <c r="P431" s="42">
        <v>0.14632712685116381</v>
      </c>
      <c r="Z431" s="43"/>
    </row>
    <row r="432" spans="1:26" ht="13.5" customHeight="1" x14ac:dyDescent="0.2">
      <c r="A432" s="39">
        <v>440</v>
      </c>
      <c r="B432" s="39" t="s">
        <v>452</v>
      </c>
      <c r="C432" s="40">
        <v>3</v>
      </c>
      <c r="D432" s="41" t="s">
        <v>39</v>
      </c>
      <c r="E432" s="41" t="s">
        <v>39</v>
      </c>
      <c r="F432" s="41">
        <v>5.8577229160883615</v>
      </c>
      <c r="G432" s="41">
        <v>11.639553935328259</v>
      </c>
      <c r="H432" s="41">
        <v>0.31627133346750713</v>
      </c>
      <c r="I432" s="41">
        <v>5.8214909702294833</v>
      </c>
      <c r="J432" s="41">
        <v>1.3170392383351686</v>
      </c>
      <c r="K432" s="41">
        <v>5.0383548855380065</v>
      </c>
      <c r="L432" s="41">
        <v>0.98374294636594972</v>
      </c>
      <c r="M432" s="41">
        <v>0.18422022053404274</v>
      </c>
      <c r="N432" s="42">
        <v>6.9268368408426109E-2</v>
      </c>
      <c r="O432" s="42">
        <v>0.12745981011052748</v>
      </c>
      <c r="P432" s="42">
        <v>8.0174993794879412E-2</v>
      </c>
      <c r="Z432" s="43"/>
    </row>
    <row r="433" spans="1:26" ht="13.5" customHeight="1" x14ac:dyDescent="0.2">
      <c r="A433" s="39">
        <v>441</v>
      </c>
      <c r="B433" s="39" t="s">
        <v>453</v>
      </c>
      <c r="C433" s="40">
        <v>3</v>
      </c>
      <c r="D433" s="41" t="s">
        <v>39</v>
      </c>
      <c r="E433" s="41">
        <v>1.3819489638362041</v>
      </c>
      <c r="F433" s="41">
        <v>6.022921399491775</v>
      </c>
      <c r="G433" s="41">
        <v>11.966863176980713</v>
      </c>
      <c r="H433" s="41">
        <v>0.32950947955986365</v>
      </c>
      <c r="I433" s="41">
        <v>5.6941965117737237</v>
      </c>
      <c r="J433" s="41">
        <v>1.2308347619254738</v>
      </c>
      <c r="K433" s="41">
        <v>4.9819933300384616</v>
      </c>
      <c r="L433" s="41">
        <v>1.0178300366884767</v>
      </c>
      <c r="M433" s="41">
        <v>0.20648651293535608</v>
      </c>
      <c r="N433" s="42">
        <v>5.4492294876645794E-2</v>
      </c>
      <c r="O433" s="42">
        <v>0.12520039279854303</v>
      </c>
      <c r="P433" s="42">
        <v>6.1265191838951322E-2</v>
      </c>
      <c r="Z433" s="43"/>
    </row>
    <row r="434" spans="1:26" ht="13.5" customHeight="1" x14ac:dyDescent="0.2">
      <c r="A434" s="39">
        <v>442</v>
      </c>
      <c r="B434" s="39" t="s">
        <v>454</v>
      </c>
      <c r="C434" s="40">
        <v>3</v>
      </c>
      <c r="D434" s="41" t="s">
        <v>39</v>
      </c>
      <c r="E434" s="41">
        <v>1.0500870612359996</v>
      </c>
      <c r="F434" s="41">
        <v>5.7583479181420465</v>
      </c>
      <c r="G434" s="41">
        <v>11.75098966520342</v>
      </c>
      <c r="H434" s="41">
        <v>0.33695176470556532</v>
      </c>
      <c r="I434" s="41">
        <v>5.6396425467069751</v>
      </c>
      <c r="J434" s="41">
        <v>1.2558431523601552</v>
      </c>
      <c r="K434" s="41">
        <v>5.018666945033023</v>
      </c>
      <c r="L434" s="41">
        <v>0.95281122014096153</v>
      </c>
      <c r="M434" s="41">
        <v>0.21828308353829867</v>
      </c>
      <c r="N434" s="42">
        <v>5.277950471211626E-2</v>
      </c>
      <c r="O434" s="42">
        <v>0.10433738440429061</v>
      </c>
      <c r="P434" s="42">
        <v>6.5025131298880129E-2</v>
      </c>
      <c r="Z434" s="43"/>
    </row>
    <row r="435" spans="1:26" ht="13.5" customHeight="1" x14ac:dyDescent="0.2">
      <c r="A435" s="39">
        <v>443</v>
      </c>
      <c r="B435" s="39" t="s">
        <v>455</v>
      </c>
      <c r="C435" s="40">
        <v>3</v>
      </c>
      <c r="D435" s="41" t="s">
        <v>39</v>
      </c>
      <c r="E435" s="41">
        <v>2.3032574518892086</v>
      </c>
      <c r="F435" s="41">
        <v>6.5291162861726049</v>
      </c>
      <c r="G435" s="41">
        <v>11.668269862238468</v>
      </c>
      <c r="H435" s="41">
        <v>0.21613627627753734</v>
      </c>
      <c r="I435" s="41">
        <v>6.2729272369127758</v>
      </c>
      <c r="J435" s="41">
        <v>1.61457057411728</v>
      </c>
      <c r="K435" s="41">
        <v>5.4319163431873383</v>
      </c>
      <c r="L435" s="41">
        <v>1.2811596446887916</v>
      </c>
      <c r="M435" s="41">
        <v>0.31563228479476174</v>
      </c>
      <c r="N435" s="42">
        <v>5.1997247904796678E-2</v>
      </c>
      <c r="O435" s="42" t="s">
        <v>39</v>
      </c>
      <c r="P435" s="42">
        <v>6.0659005441181371E-2</v>
      </c>
      <c r="Z435" s="43"/>
    </row>
    <row r="436" spans="1:26" ht="13.5" customHeight="1" x14ac:dyDescent="0.2">
      <c r="A436" s="39">
        <v>444</v>
      </c>
      <c r="B436" s="39" t="s">
        <v>456</v>
      </c>
      <c r="C436" s="40">
        <v>3</v>
      </c>
      <c r="D436" s="41" t="s">
        <v>39</v>
      </c>
      <c r="E436" s="41" t="s">
        <v>39</v>
      </c>
      <c r="F436" s="41">
        <v>6.614518154756551</v>
      </c>
      <c r="G436" s="41">
        <v>12.173617322471705</v>
      </c>
      <c r="H436" s="41">
        <v>0.21979686155074635</v>
      </c>
      <c r="I436" s="41">
        <v>5.9877441919918093</v>
      </c>
      <c r="J436" s="41">
        <v>1.4224338636091194</v>
      </c>
      <c r="K436" s="41">
        <v>5.2693493803867444</v>
      </c>
      <c r="L436" s="41">
        <v>1.2609246569977164</v>
      </c>
      <c r="M436" s="41">
        <v>0.30871054464215542</v>
      </c>
      <c r="N436" s="42">
        <v>5.0676440640798945E-2</v>
      </c>
      <c r="O436" s="42" t="s">
        <v>39</v>
      </c>
      <c r="P436" s="42">
        <v>5.46041472083095E-2</v>
      </c>
      <c r="Z436" s="43"/>
    </row>
    <row r="437" spans="1:26" ht="13.5" customHeight="1" x14ac:dyDescent="0.2">
      <c r="A437" s="39">
        <v>445</v>
      </c>
      <c r="B437" s="39" t="s">
        <v>457</v>
      </c>
      <c r="C437" s="40">
        <v>3</v>
      </c>
      <c r="D437" s="41" t="s">
        <v>39</v>
      </c>
      <c r="E437" s="41">
        <v>0.22199191438656074</v>
      </c>
      <c r="F437" s="41">
        <v>6.9341205203740737</v>
      </c>
      <c r="G437" s="41">
        <v>12.234108236374608</v>
      </c>
      <c r="H437" s="41">
        <v>0.21414347691888758</v>
      </c>
      <c r="I437" s="41">
        <v>6.1446824607128825</v>
      </c>
      <c r="J437" s="41">
        <v>1.4309039597945823</v>
      </c>
      <c r="K437" s="41">
        <v>5.2860772251752097</v>
      </c>
      <c r="L437" s="41">
        <v>1.295224906739934</v>
      </c>
      <c r="M437" s="41">
        <v>0.30411095970111335</v>
      </c>
      <c r="N437" s="42">
        <v>5.7619823326789991E-2</v>
      </c>
      <c r="O437" s="42">
        <v>4.4899826947480549E-2</v>
      </c>
      <c r="P437" s="42">
        <v>0.15677743221921384</v>
      </c>
      <c r="Z437" s="43"/>
    </row>
    <row r="438" spans="1:26" ht="13.5" customHeight="1" x14ac:dyDescent="0.2">
      <c r="A438" s="39">
        <v>446</v>
      </c>
      <c r="B438" s="39" t="s">
        <v>458</v>
      </c>
      <c r="C438" s="40">
        <v>3</v>
      </c>
      <c r="D438" s="41" t="s">
        <v>39</v>
      </c>
      <c r="E438" s="41">
        <v>0.22204877770493398</v>
      </c>
      <c r="F438" s="41">
        <v>6.6398433345694041</v>
      </c>
      <c r="G438" s="41">
        <v>12.319576602857936</v>
      </c>
      <c r="H438" s="41">
        <v>1.0729990614622702</v>
      </c>
      <c r="I438" s="41">
        <v>7.7111222526793233</v>
      </c>
      <c r="J438" s="41" t="s">
        <v>39</v>
      </c>
      <c r="K438" s="41">
        <v>4.7269752994714196</v>
      </c>
      <c r="L438" s="41">
        <v>0.52435586281098701</v>
      </c>
      <c r="M438" s="41">
        <v>0.30401645232687879</v>
      </c>
      <c r="N438" s="42">
        <v>2.8070437075604464E-2</v>
      </c>
      <c r="O438" s="42">
        <v>8.3613338924338476E-2</v>
      </c>
      <c r="P438" s="42">
        <v>0.10453339291313858</v>
      </c>
      <c r="Z438" s="43"/>
    </row>
    <row r="439" spans="1:26" ht="13.5" customHeight="1" x14ac:dyDescent="0.2">
      <c r="A439" s="39">
        <v>447</v>
      </c>
      <c r="B439" s="39" t="s">
        <v>459</v>
      </c>
      <c r="C439" s="40">
        <v>3</v>
      </c>
      <c r="D439" s="41" t="s">
        <v>39</v>
      </c>
      <c r="E439" s="41">
        <v>2.1630062204815599</v>
      </c>
      <c r="F439" s="41">
        <v>6.4454311174787655</v>
      </c>
      <c r="G439" s="41">
        <v>12.030394813423937</v>
      </c>
      <c r="H439" s="41">
        <v>1.1076401249219328</v>
      </c>
      <c r="I439" s="41">
        <v>7.8097573674723897</v>
      </c>
      <c r="J439" s="41" t="s">
        <v>39</v>
      </c>
      <c r="K439" s="41">
        <v>4.7733714159657925</v>
      </c>
      <c r="L439" s="41">
        <v>0.45698315301075232</v>
      </c>
      <c r="M439" s="41">
        <v>0.26713451772897923</v>
      </c>
      <c r="N439" s="42">
        <v>3.0518428539582153E-2</v>
      </c>
      <c r="O439" s="42">
        <v>0.10076055402509498</v>
      </c>
      <c r="P439" s="42">
        <v>8.2954783763307727E-2</v>
      </c>
      <c r="Z439" s="43"/>
    </row>
    <row r="440" spans="1:26" ht="13.5" customHeight="1" x14ac:dyDescent="0.2">
      <c r="A440" s="39">
        <v>448</v>
      </c>
      <c r="B440" s="39" t="s">
        <v>460</v>
      </c>
      <c r="C440" s="40">
        <v>3</v>
      </c>
      <c r="D440" s="41" t="s">
        <v>39</v>
      </c>
      <c r="E440" s="41">
        <v>1.2692455887776328</v>
      </c>
      <c r="F440" s="41">
        <v>6.5814529867362213</v>
      </c>
      <c r="G440" s="41">
        <v>12.29140436702945</v>
      </c>
      <c r="H440" s="41">
        <v>1.1226389412242717</v>
      </c>
      <c r="I440" s="41">
        <v>7.7191327912663024</v>
      </c>
      <c r="J440" s="41" t="s">
        <v>39</v>
      </c>
      <c r="K440" s="41">
        <v>4.5924460915432785</v>
      </c>
      <c r="L440" s="41">
        <v>0.43957121299091229</v>
      </c>
      <c r="M440" s="41">
        <v>0.22411514919976666</v>
      </c>
      <c r="N440" s="42">
        <v>3.4224248010060271E-2</v>
      </c>
      <c r="O440" s="42">
        <v>9.9958248761209123E-2</v>
      </c>
      <c r="P440" s="42">
        <v>8.4908758600570414E-2</v>
      </c>
      <c r="Z440" s="43"/>
    </row>
    <row r="441" spans="1:26" ht="13.5" customHeight="1" x14ac:dyDescent="0.2">
      <c r="A441" s="39">
        <v>449</v>
      </c>
      <c r="B441" s="39" t="s">
        <v>461</v>
      </c>
      <c r="C441" s="40">
        <v>3</v>
      </c>
      <c r="D441" s="41">
        <v>0.86735332505947205</v>
      </c>
      <c r="E441" s="41">
        <v>11.316985966149733</v>
      </c>
      <c r="F441" s="41">
        <v>6.786961050541171</v>
      </c>
      <c r="G441" s="41">
        <v>11.029251650967787</v>
      </c>
      <c r="H441" s="41">
        <v>0.26508504668508126</v>
      </c>
      <c r="I441" s="41">
        <v>6.0677931345690119</v>
      </c>
      <c r="J441" s="41">
        <v>1.3824561822389334</v>
      </c>
      <c r="K441" s="41">
        <v>5.3693764364607297</v>
      </c>
      <c r="L441" s="41">
        <v>1.3089758133580767</v>
      </c>
      <c r="M441" s="41">
        <v>0.30211973476776566</v>
      </c>
      <c r="N441" s="42">
        <v>3.0792291186548797E-2</v>
      </c>
      <c r="O441" s="42">
        <v>0.16279182921395577</v>
      </c>
      <c r="P441" s="42">
        <v>6.7244520683976183E-2</v>
      </c>
      <c r="Z441" s="43"/>
    </row>
    <row r="442" spans="1:26" ht="13.5" customHeight="1" x14ac:dyDescent="0.2">
      <c r="A442" s="39">
        <v>450</v>
      </c>
      <c r="B442" s="39" t="s">
        <v>462</v>
      </c>
      <c r="C442" s="40">
        <v>3</v>
      </c>
      <c r="D442" s="41">
        <v>0.54761669623337528</v>
      </c>
      <c r="E442" s="41">
        <v>7.4741536374064452</v>
      </c>
      <c r="F442" s="41">
        <v>7.0279293010676422</v>
      </c>
      <c r="G442" s="41">
        <v>11.702824379779919</v>
      </c>
      <c r="H442" s="41">
        <v>0.34240669247178968</v>
      </c>
      <c r="I442" s="41">
        <v>5.4046826556223966</v>
      </c>
      <c r="J442" s="41">
        <v>1.2392330683914135</v>
      </c>
      <c r="K442" s="41">
        <v>5.2415925886913675</v>
      </c>
      <c r="L442" s="41">
        <v>1.2298927517020835</v>
      </c>
      <c r="M442" s="41">
        <v>0.2766947140953232</v>
      </c>
      <c r="N442" s="42">
        <v>6.2521882699089731E-2</v>
      </c>
      <c r="O442" s="42" t="s">
        <v>39</v>
      </c>
      <c r="P442" s="42">
        <v>0.16863610900184273</v>
      </c>
      <c r="Z442" s="43"/>
    </row>
    <row r="443" spans="1:26" ht="13.5" customHeight="1" x14ac:dyDescent="0.2">
      <c r="A443" s="39">
        <v>451</v>
      </c>
      <c r="B443" s="39" t="s">
        <v>463</v>
      </c>
      <c r="C443" s="40">
        <v>3</v>
      </c>
      <c r="D443" s="41">
        <v>0.82332416536469821</v>
      </c>
      <c r="E443" s="41">
        <v>9.808606867470882</v>
      </c>
      <c r="F443" s="41">
        <v>7.193848797674999</v>
      </c>
      <c r="G443" s="41">
        <v>12.073671277783621</v>
      </c>
      <c r="H443" s="41">
        <v>0.30742222760768989</v>
      </c>
      <c r="I443" s="41">
        <v>5.626735201580388</v>
      </c>
      <c r="J443" s="41">
        <v>1.2245332833658478</v>
      </c>
      <c r="K443" s="41">
        <v>5.4583301123258536</v>
      </c>
      <c r="L443" s="41">
        <v>1.3055465988742794</v>
      </c>
      <c r="M443" s="41">
        <v>0.31109819664836891</v>
      </c>
      <c r="N443" s="42">
        <v>5.9159785435414468E-2</v>
      </c>
      <c r="O443" s="42">
        <v>0.22335493266091436</v>
      </c>
      <c r="P443" s="42">
        <v>7.1703877758838935E-2</v>
      </c>
      <c r="Z443" s="43"/>
    </row>
    <row r="444" spans="1:26" ht="13.5" customHeight="1" x14ac:dyDescent="0.2">
      <c r="A444" s="39">
        <v>452</v>
      </c>
      <c r="B444" s="39" t="s">
        <v>464</v>
      </c>
      <c r="C444" s="40">
        <v>3</v>
      </c>
      <c r="D444" s="41" t="s">
        <v>39</v>
      </c>
      <c r="E444" s="41" t="s">
        <v>39</v>
      </c>
      <c r="F444" s="41">
        <v>7.2240728805444991</v>
      </c>
      <c r="G444" s="41">
        <v>13.062192185715421</v>
      </c>
      <c r="H444" s="41">
        <v>0.25561424399186744</v>
      </c>
      <c r="I444" s="41">
        <v>6.1136166447202047</v>
      </c>
      <c r="J444" s="41">
        <v>1.3423969300275402</v>
      </c>
      <c r="K444" s="41">
        <v>5.499744851317736</v>
      </c>
      <c r="L444" s="41">
        <v>1.3976860819599652</v>
      </c>
      <c r="M444" s="41">
        <v>0.31866841290332809</v>
      </c>
      <c r="N444" s="42">
        <v>5.6309292358586435E-2</v>
      </c>
      <c r="O444" s="42">
        <v>9.0144008788204527E-2</v>
      </c>
      <c r="P444" s="42">
        <v>0.11181372548455529</v>
      </c>
      <c r="Z444" s="43"/>
    </row>
    <row r="445" spans="1:26" ht="13.5" customHeight="1" x14ac:dyDescent="0.2">
      <c r="A445" s="39">
        <v>453</v>
      </c>
      <c r="B445" s="39" t="s">
        <v>465</v>
      </c>
      <c r="C445" s="40">
        <v>3</v>
      </c>
      <c r="D445" s="41" t="s">
        <v>39</v>
      </c>
      <c r="E445" s="41" t="s">
        <v>39</v>
      </c>
      <c r="F445" s="41">
        <v>6.6271374385574591</v>
      </c>
      <c r="G445" s="41">
        <v>12.12905246406816</v>
      </c>
      <c r="H445" s="41">
        <v>0.214863178246607</v>
      </c>
      <c r="I445" s="41">
        <v>6.1020170409611207</v>
      </c>
      <c r="J445" s="41">
        <v>1.5350101345237084</v>
      </c>
      <c r="K445" s="41">
        <v>5.5196608640859148</v>
      </c>
      <c r="L445" s="41">
        <v>1.2945204138618311</v>
      </c>
      <c r="M445" s="41">
        <v>0.29930707253028754</v>
      </c>
      <c r="N445" s="42">
        <v>5.0072811230730339E-2</v>
      </c>
      <c r="O445" s="42">
        <v>9.6580052435885216E-2</v>
      </c>
      <c r="P445" s="42">
        <v>6.9520705245450815E-2</v>
      </c>
      <c r="Z445" s="43"/>
    </row>
    <row r="446" spans="1:26" ht="13.5" customHeight="1" x14ac:dyDescent="0.2">
      <c r="A446" s="39">
        <v>454</v>
      </c>
      <c r="B446" s="39" t="s">
        <v>466</v>
      </c>
      <c r="C446" s="40">
        <v>3</v>
      </c>
      <c r="D446" s="41" t="s">
        <v>39</v>
      </c>
      <c r="E446" s="41" t="s">
        <v>39</v>
      </c>
      <c r="F446" s="41">
        <v>6.9775618878470098</v>
      </c>
      <c r="G446" s="41">
        <v>12.520105285457314</v>
      </c>
      <c r="H446" s="41">
        <v>0.21917337555350486</v>
      </c>
      <c r="I446" s="41">
        <v>6.236798725193788</v>
      </c>
      <c r="J446" s="41">
        <v>1.502778153074148</v>
      </c>
      <c r="K446" s="41">
        <v>5.5535467486073156</v>
      </c>
      <c r="L446" s="41">
        <v>1.3679834218237978</v>
      </c>
      <c r="M446" s="41">
        <v>0.30202067222733603</v>
      </c>
      <c r="N446" s="42">
        <v>5.777445269880592E-2</v>
      </c>
      <c r="O446" s="42">
        <v>9.7600142611001972E-2</v>
      </c>
      <c r="P446" s="42">
        <v>7.0258527801168758E-2</v>
      </c>
      <c r="Z446" s="43"/>
    </row>
    <row r="447" spans="1:26" ht="13.5" customHeight="1" x14ac:dyDescent="0.2">
      <c r="A447" s="39">
        <v>455</v>
      </c>
      <c r="B447" s="39" t="s">
        <v>467</v>
      </c>
      <c r="C447" s="40">
        <v>3</v>
      </c>
      <c r="D447" s="41" t="s">
        <v>39</v>
      </c>
      <c r="E447" s="41">
        <v>0.2265887144177855</v>
      </c>
      <c r="F447" s="41">
        <v>7.0748312634436665</v>
      </c>
      <c r="G447" s="41">
        <v>12.088902703937773</v>
      </c>
      <c r="H447" s="41">
        <v>0.26324100124624689</v>
      </c>
      <c r="I447" s="41">
        <v>6.2012338935005982</v>
      </c>
      <c r="J447" s="41">
        <v>1.4796570821184969</v>
      </c>
      <c r="K447" s="41">
        <v>5.2494990655075533</v>
      </c>
      <c r="L447" s="41">
        <v>1.4676957807602302</v>
      </c>
      <c r="M447" s="41">
        <v>0.30594345695552422</v>
      </c>
      <c r="N447" s="42">
        <v>3.3193952391982501E-2</v>
      </c>
      <c r="O447" s="42">
        <v>0.12976857750651963</v>
      </c>
      <c r="P447" s="42">
        <v>6.4974132531972345E-2</v>
      </c>
      <c r="Z447" s="43"/>
    </row>
    <row r="448" spans="1:26" ht="13.5" customHeight="1" x14ac:dyDescent="0.2">
      <c r="A448" s="39">
        <v>456</v>
      </c>
      <c r="B448" s="39" t="s">
        <v>468</v>
      </c>
      <c r="C448" s="40">
        <v>3</v>
      </c>
      <c r="D448" s="41" t="s">
        <v>39</v>
      </c>
      <c r="E448" s="41" t="s">
        <v>39</v>
      </c>
      <c r="F448" s="41">
        <v>6.8775528125818903</v>
      </c>
      <c r="G448" s="41">
        <v>12.319796345391966</v>
      </c>
      <c r="H448" s="41">
        <v>0.30755214031838746</v>
      </c>
      <c r="I448" s="41">
        <v>6.3327252080194167</v>
      </c>
      <c r="J448" s="41">
        <v>1.4085874178700915</v>
      </c>
      <c r="K448" s="41">
        <v>5.2137386743764438</v>
      </c>
      <c r="L448" s="41">
        <v>1.3200886980231932</v>
      </c>
      <c r="M448" s="41">
        <v>0.25718005407220357</v>
      </c>
      <c r="N448" s="42">
        <v>3.6395473583328446E-2</v>
      </c>
      <c r="O448" s="42">
        <v>0.1136784255739639</v>
      </c>
      <c r="P448" s="42">
        <v>6.1322243943276192E-2</v>
      </c>
      <c r="Z448" s="43"/>
    </row>
    <row r="449" spans="1:26" ht="13.5" customHeight="1" x14ac:dyDescent="0.2">
      <c r="A449" s="39">
        <v>457</v>
      </c>
      <c r="B449" s="39" t="s">
        <v>469</v>
      </c>
      <c r="C449" s="40">
        <v>3</v>
      </c>
      <c r="D449" s="41" t="s">
        <v>39</v>
      </c>
      <c r="E449" s="41">
        <v>0.2222675390758978</v>
      </c>
      <c r="F449" s="41">
        <v>6.7813293522775204</v>
      </c>
      <c r="G449" s="41">
        <v>11.83590513479419</v>
      </c>
      <c r="H449" s="41">
        <v>0.28367503986314557</v>
      </c>
      <c r="I449" s="41">
        <v>6.0113486930185349</v>
      </c>
      <c r="J449" s="41">
        <v>1.2571791588451795</v>
      </c>
      <c r="K449" s="41">
        <v>4.8781159945963415</v>
      </c>
      <c r="L449" s="41">
        <v>1.2689441675754782</v>
      </c>
      <c r="M449" s="41">
        <v>0.25747331087682768</v>
      </c>
      <c r="N449" s="42">
        <v>3.0847444310589389E-2</v>
      </c>
      <c r="O449" s="42">
        <v>0.13106435224654625</v>
      </c>
      <c r="P449" s="42">
        <v>5.5501927589168706E-2</v>
      </c>
      <c r="Z449" s="43"/>
    </row>
    <row r="450" spans="1:26" ht="12.75" customHeight="1" x14ac:dyDescent="0.2">
      <c r="N450" s="5" t="s">
        <v>33</v>
      </c>
    </row>
    <row r="451" spans="1:26" ht="12.75" customHeight="1" x14ac:dyDescent="0.2"/>
    <row r="452" spans="1:26" ht="12.75" customHeight="1" x14ac:dyDescent="0.2"/>
    <row r="453" spans="1:26" ht="12.75" customHeight="1" x14ac:dyDescent="0.2">
      <c r="J453" s="44"/>
    </row>
    <row r="454" spans="1:26" ht="12.75" customHeight="1" x14ac:dyDescent="0.2"/>
    <row r="455" spans="1:26" ht="12.75" customHeight="1" x14ac:dyDescent="0.2">
      <c r="B455" s="45"/>
    </row>
    <row r="456" spans="1:26" ht="12.75" customHeight="1" x14ac:dyDescent="0.2"/>
    <row r="457" spans="1:26" ht="12.75" customHeight="1" x14ac:dyDescent="0.2"/>
    <row r="458" spans="1:26" ht="12.75" customHeight="1" x14ac:dyDescent="0.2"/>
    <row r="459" spans="1:26" ht="12.75" customHeight="1" x14ac:dyDescent="0.2"/>
    <row r="460" spans="1:26" ht="12.75" customHeight="1" x14ac:dyDescent="0.2"/>
    <row r="461" spans="1:26" ht="12.75" customHeight="1" x14ac:dyDescent="0.2"/>
    <row r="462" spans="1:26" ht="12.75" customHeight="1" x14ac:dyDescent="0.2"/>
    <row r="463" spans="1:26" ht="12.75" customHeight="1" x14ac:dyDescent="0.2"/>
    <row r="464" spans="1:26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</sheetData>
  <printOptions gridLines="1"/>
  <pageMargins left="0.35" right="0.25" top="0.75" bottom="0.75" header="0.3" footer="0.3"/>
  <pageSetup orientation="landscape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14F9-E4B5-46A5-921D-5CC66A3FD546}">
  <dimension ref="A1:AJ226"/>
  <sheetViews>
    <sheetView topLeftCell="A100" workbookViewId="0">
      <selection activeCell="Y133" sqref="Y133"/>
    </sheetView>
  </sheetViews>
  <sheetFormatPr baseColWidth="10" defaultColWidth="9.140625" defaultRowHeight="12.75" x14ac:dyDescent="0.2"/>
  <cols>
    <col min="1" max="1" width="4.28515625" style="5" customWidth="1"/>
    <col min="2" max="2" width="28.7109375" style="5" customWidth="1"/>
    <col min="3" max="3" width="6.7109375" style="5" customWidth="1"/>
    <col min="4" max="6" width="9.28515625" style="5" customWidth="1"/>
    <col min="7" max="7" width="9.140625" style="5"/>
    <col min="8" max="8" width="11" style="5" customWidth="1"/>
    <col min="9" max="9" width="11.5703125" style="5" customWidth="1"/>
    <col min="10" max="10" width="10.7109375" style="5" customWidth="1"/>
    <col min="11" max="11" width="11.7109375" style="5" customWidth="1"/>
    <col min="12" max="12" width="12" style="5" customWidth="1"/>
    <col min="13" max="13" width="9.7109375" style="5" customWidth="1"/>
    <col min="14" max="16" width="9.140625" style="5"/>
    <col min="17" max="17" width="11.5703125" style="5" customWidth="1"/>
    <col min="18" max="256" width="9.140625" style="5"/>
    <col min="257" max="257" width="4.28515625" style="5" customWidth="1"/>
    <col min="258" max="258" width="28.7109375" style="5" customWidth="1"/>
    <col min="259" max="259" width="6.7109375" style="5" customWidth="1"/>
    <col min="260" max="262" width="9.28515625" style="5" customWidth="1"/>
    <col min="263" max="263" width="9.140625" style="5"/>
    <col min="264" max="264" width="11" style="5" customWidth="1"/>
    <col min="265" max="265" width="11.5703125" style="5" customWidth="1"/>
    <col min="266" max="266" width="10.7109375" style="5" customWidth="1"/>
    <col min="267" max="267" width="11.7109375" style="5" customWidth="1"/>
    <col min="268" max="268" width="12" style="5" customWidth="1"/>
    <col min="269" max="269" width="9.7109375" style="5" customWidth="1"/>
    <col min="270" max="272" width="9.140625" style="5"/>
    <col min="273" max="273" width="11.5703125" style="5" customWidth="1"/>
    <col min="274" max="512" width="9.140625" style="5"/>
    <col min="513" max="513" width="4.28515625" style="5" customWidth="1"/>
    <col min="514" max="514" width="28.7109375" style="5" customWidth="1"/>
    <col min="515" max="515" width="6.7109375" style="5" customWidth="1"/>
    <col min="516" max="518" width="9.28515625" style="5" customWidth="1"/>
    <col min="519" max="519" width="9.140625" style="5"/>
    <col min="520" max="520" width="11" style="5" customWidth="1"/>
    <col min="521" max="521" width="11.5703125" style="5" customWidth="1"/>
    <col min="522" max="522" width="10.7109375" style="5" customWidth="1"/>
    <col min="523" max="523" width="11.7109375" style="5" customWidth="1"/>
    <col min="524" max="524" width="12" style="5" customWidth="1"/>
    <col min="525" max="525" width="9.7109375" style="5" customWidth="1"/>
    <col min="526" max="528" width="9.140625" style="5"/>
    <col min="529" max="529" width="11.5703125" style="5" customWidth="1"/>
    <col min="530" max="768" width="9.140625" style="5"/>
    <col min="769" max="769" width="4.28515625" style="5" customWidth="1"/>
    <col min="770" max="770" width="28.7109375" style="5" customWidth="1"/>
    <col min="771" max="771" width="6.7109375" style="5" customWidth="1"/>
    <col min="772" max="774" width="9.28515625" style="5" customWidth="1"/>
    <col min="775" max="775" width="9.140625" style="5"/>
    <col min="776" max="776" width="11" style="5" customWidth="1"/>
    <col min="777" max="777" width="11.5703125" style="5" customWidth="1"/>
    <col min="778" max="778" width="10.7109375" style="5" customWidth="1"/>
    <col min="779" max="779" width="11.7109375" style="5" customWidth="1"/>
    <col min="780" max="780" width="12" style="5" customWidth="1"/>
    <col min="781" max="781" width="9.7109375" style="5" customWidth="1"/>
    <col min="782" max="784" width="9.140625" style="5"/>
    <col min="785" max="785" width="11.5703125" style="5" customWidth="1"/>
    <col min="786" max="1024" width="9.140625" style="5"/>
    <col min="1025" max="1025" width="4.28515625" style="5" customWidth="1"/>
    <col min="1026" max="1026" width="28.7109375" style="5" customWidth="1"/>
    <col min="1027" max="1027" width="6.7109375" style="5" customWidth="1"/>
    <col min="1028" max="1030" width="9.28515625" style="5" customWidth="1"/>
    <col min="1031" max="1031" width="9.140625" style="5"/>
    <col min="1032" max="1032" width="11" style="5" customWidth="1"/>
    <col min="1033" max="1033" width="11.5703125" style="5" customWidth="1"/>
    <col min="1034" max="1034" width="10.7109375" style="5" customWidth="1"/>
    <col min="1035" max="1035" width="11.7109375" style="5" customWidth="1"/>
    <col min="1036" max="1036" width="12" style="5" customWidth="1"/>
    <col min="1037" max="1037" width="9.7109375" style="5" customWidth="1"/>
    <col min="1038" max="1040" width="9.140625" style="5"/>
    <col min="1041" max="1041" width="11.5703125" style="5" customWidth="1"/>
    <col min="1042" max="1280" width="9.140625" style="5"/>
    <col min="1281" max="1281" width="4.28515625" style="5" customWidth="1"/>
    <col min="1282" max="1282" width="28.7109375" style="5" customWidth="1"/>
    <col min="1283" max="1283" width="6.7109375" style="5" customWidth="1"/>
    <col min="1284" max="1286" width="9.28515625" style="5" customWidth="1"/>
    <col min="1287" max="1287" width="9.140625" style="5"/>
    <col min="1288" max="1288" width="11" style="5" customWidth="1"/>
    <col min="1289" max="1289" width="11.5703125" style="5" customWidth="1"/>
    <col min="1290" max="1290" width="10.7109375" style="5" customWidth="1"/>
    <col min="1291" max="1291" width="11.7109375" style="5" customWidth="1"/>
    <col min="1292" max="1292" width="12" style="5" customWidth="1"/>
    <col min="1293" max="1293" width="9.7109375" style="5" customWidth="1"/>
    <col min="1294" max="1296" width="9.140625" style="5"/>
    <col min="1297" max="1297" width="11.5703125" style="5" customWidth="1"/>
    <col min="1298" max="1536" width="9.140625" style="5"/>
    <col min="1537" max="1537" width="4.28515625" style="5" customWidth="1"/>
    <col min="1538" max="1538" width="28.7109375" style="5" customWidth="1"/>
    <col min="1539" max="1539" width="6.7109375" style="5" customWidth="1"/>
    <col min="1540" max="1542" width="9.28515625" style="5" customWidth="1"/>
    <col min="1543" max="1543" width="9.140625" style="5"/>
    <col min="1544" max="1544" width="11" style="5" customWidth="1"/>
    <col min="1545" max="1545" width="11.5703125" style="5" customWidth="1"/>
    <col min="1546" max="1546" width="10.7109375" style="5" customWidth="1"/>
    <col min="1547" max="1547" width="11.7109375" style="5" customWidth="1"/>
    <col min="1548" max="1548" width="12" style="5" customWidth="1"/>
    <col min="1549" max="1549" width="9.7109375" style="5" customWidth="1"/>
    <col min="1550" max="1552" width="9.140625" style="5"/>
    <col min="1553" max="1553" width="11.5703125" style="5" customWidth="1"/>
    <col min="1554" max="1792" width="9.140625" style="5"/>
    <col min="1793" max="1793" width="4.28515625" style="5" customWidth="1"/>
    <col min="1794" max="1794" width="28.7109375" style="5" customWidth="1"/>
    <col min="1795" max="1795" width="6.7109375" style="5" customWidth="1"/>
    <col min="1796" max="1798" width="9.28515625" style="5" customWidth="1"/>
    <col min="1799" max="1799" width="9.140625" style="5"/>
    <col min="1800" max="1800" width="11" style="5" customWidth="1"/>
    <col min="1801" max="1801" width="11.5703125" style="5" customWidth="1"/>
    <col min="1802" max="1802" width="10.7109375" style="5" customWidth="1"/>
    <col min="1803" max="1803" width="11.7109375" style="5" customWidth="1"/>
    <col min="1804" max="1804" width="12" style="5" customWidth="1"/>
    <col min="1805" max="1805" width="9.7109375" style="5" customWidth="1"/>
    <col min="1806" max="1808" width="9.140625" style="5"/>
    <col min="1809" max="1809" width="11.5703125" style="5" customWidth="1"/>
    <col min="1810" max="2048" width="9.140625" style="5"/>
    <col min="2049" max="2049" width="4.28515625" style="5" customWidth="1"/>
    <col min="2050" max="2050" width="28.7109375" style="5" customWidth="1"/>
    <col min="2051" max="2051" width="6.7109375" style="5" customWidth="1"/>
    <col min="2052" max="2054" width="9.28515625" style="5" customWidth="1"/>
    <col min="2055" max="2055" width="9.140625" style="5"/>
    <col min="2056" max="2056" width="11" style="5" customWidth="1"/>
    <col min="2057" max="2057" width="11.5703125" style="5" customWidth="1"/>
    <col min="2058" max="2058" width="10.7109375" style="5" customWidth="1"/>
    <col min="2059" max="2059" width="11.7109375" style="5" customWidth="1"/>
    <col min="2060" max="2060" width="12" style="5" customWidth="1"/>
    <col min="2061" max="2061" width="9.7109375" style="5" customWidth="1"/>
    <col min="2062" max="2064" width="9.140625" style="5"/>
    <col min="2065" max="2065" width="11.5703125" style="5" customWidth="1"/>
    <col min="2066" max="2304" width="9.140625" style="5"/>
    <col min="2305" max="2305" width="4.28515625" style="5" customWidth="1"/>
    <col min="2306" max="2306" width="28.7109375" style="5" customWidth="1"/>
    <col min="2307" max="2307" width="6.7109375" style="5" customWidth="1"/>
    <col min="2308" max="2310" width="9.28515625" style="5" customWidth="1"/>
    <col min="2311" max="2311" width="9.140625" style="5"/>
    <col min="2312" max="2312" width="11" style="5" customWidth="1"/>
    <col min="2313" max="2313" width="11.5703125" style="5" customWidth="1"/>
    <col min="2314" max="2314" width="10.7109375" style="5" customWidth="1"/>
    <col min="2315" max="2315" width="11.7109375" style="5" customWidth="1"/>
    <col min="2316" max="2316" width="12" style="5" customWidth="1"/>
    <col min="2317" max="2317" width="9.7109375" style="5" customWidth="1"/>
    <col min="2318" max="2320" width="9.140625" style="5"/>
    <col min="2321" max="2321" width="11.5703125" style="5" customWidth="1"/>
    <col min="2322" max="2560" width="9.140625" style="5"/>
    <col min="2561" max="2561" width="4.28515625" style="5" customWidth="1"/>
    <col min="2562" max="2562" width="28.7109375" style="5" customWidth="1"/>
    <col min="2563" max="2563" width="6.7109375" style="5" customWidth="1"/>
    <col min="2564" max="2566" width="9.28515625" style="5" customWidth="1"/>
    <col min="2567" max="2567" width="9.140625" style="5"/>
    <col min="2568" max="2568" width="11" style="5" customWidth="1"/>
    <col min="2569" max="2569" width="11.5703125" style="5" customWidth="1"/>
    <col min="2570" max="2570" width="10.7109375" style="5" customWidth="1"/>
    <col min="2571" max="2571" width="11.7109375" style="5" customWidth="1"/>
    <col min="2572" max="2572" width="12" style="5" customWidth="1"/>
    <col min="2573" max="2573" width="9.7109375" style="5" customWidth="1"/>
    <col min="2574" max="2576" width="9.140625" style="5"/>
    <col min="2577" max="2577" width="11.5703125" style="5" customWidth="1"/>
    <col min="2578" max="2816" width="9.140625" style="5"/>
    <col min="2817" max="2817" width="4.28515625" style="5" customWidth="1"/>
    <col min="2818" max="2818" width="28.7109375" style="5" customWidth="1"/>
    <col min="2819" max="2819" width="6.7109375" style="5" customWidth="1"/>
    <col min="2820" max="2822" width="9.28515625" style="5" customWidth="1"/>
    <col min="2823" max="2823" width="9.140625" style="5"/>
    <col min="2824" max="2824" width="11" style="5" customWidth="1"/>
    <col min="2825" max="2825" width="11.5703125" style="5" customWidth="1"/>
    <col min="2826" max="2826" width="10.7109375" style="5" customWidth="1"/>
    <col min="2827" max="2827" width="11.7109375" style="5" customWidth="1"/>
    <col min="2828" max="2828" width="12" style="5" customWidth="1"/>
    <col min="2829" max="2829" width="9.7109375" style="5" customWidth="1"/>
    <col min="2830" max="2832" width="9.140625" style="5"/>
    <col min="2833" max="2833" width="11.5703125" style="5" customWidth="1"/>
    <col min="2834" max="3072" width="9.140625" style="5"/>
    <col min="3073" max="3073" width="4.28515625" style="5" customWidth="1"/>
    <col min="3074" max="3074" width="28.7109375" style="5" customWidth="1"/>
    <col min="3075" max="3075" width="6.7109375" style="5" customWidth="1"/>
    <col min="3076" max="3078" width="9.28515625" style="5" customWidth="1"/>
    <col min="3079" max="3079" width="9.140625" style="5"/>
    <col min="3080" max="3080" width="11" style="5" customWidth="1"/>
    <col min="3081" max="3081" width="11.5703125" style="5" customWidth="1"/>
    <col min="3082" max="3082" width="10.7109375" style="5" customWidth="1"/>
    <col min="3083" max="3083" width="11.7109375" style="5" customWidth="1"/>
    <col min="3084" max="3084" width="12" style="5" customWidth="1"/>
    <col min="3085" max="3085" width="9.7109375" style="5" customWidth="1"/>
    <col min="3086" max="3088" width="9.140625" style="5"/>
    <col min="3089" max="3089" width="11.5703125" style="5" customWidth="1"/>
    <col min="3090" max="3328" width="9.140625" style="5"/>
    <col min="3329" max="3329" width="4.28515625" style="5" customWidth="1"/>
    <col min="3330" max="3330" width="28.7109375" style="5" customWidth="1"/>
    <col min="3331" max="3331" width="6.7109375" style="5" customWidth="1"/>
    <col min="3332" max="3334" width="9.28515625" style="5" customWidth="1"/>
    <col min="3335" max="3335" width="9.140625" style="5"/>
    <col min="3336" max="3336" width="11" style="5" customWidth="1"/>
    <col min="3337" max="3337" width="11.5703125" style="5" customWidth="1"/>
    <col min="3338" max="3338" width="10.7109375" style="5" customWidth="1"/>
    <col min="3339" max="3339" width="11.7109375" style="5" customWidth="1"/>
    <col min="3340" max="3340" width="12" style="5" customWidth="1"/>
    <col min="3341" max="3341" width="9.7109375" style="5" customWidth="1"/>
    <col min="3342" max="3344" width="9.140625" style="5"/>
    <col min="3345" max="3345" width="11.5703125" style="5" customWidth="1"/>
    <col min="3346" max="3584" width="9.140625" style="5"/>
    <col min="3585" max="3585" width="4.28515625" style="5" customWidth="1"/>
    <col min="3586" max="3586" width="28.7109375" style="5" customWidth="1"/>
    <col min="3587" max="3587" width="6.7109375" style="5" customWidth="1"/>
    <col min="3588" max="3590" width="9.28515625" style="5" customWidth="1"/>
    <col min="3591" max="3591" width="9.140625" style="5"/>
    <col min="3592" max="3592" width="11" style="5" customWidth="1"/>
    <col min="3593" max="3593" width="11.5703125" style="5" customWidth="1"/>
    <col min="3594" max="3594" width="10.7109375" style="5" customWidth="1"/>
    <col min="3595" max="3595" width="11.7109375" style="5" customWidth="1"/>
    <col min="3596" max="3596" width="12" style="5" customWidth="1"/>
    <col min="3597" max="3597" width="9.7109375" style="5" customWidth="1"/>
    <col min="3598" max="3600" width="9.140625" style="5"/>
    <col min="3601" max="3601" width="11.5703125" style="5" customWidth="1"/>
    <col min="3602" max="3840" width="9.140625" style="5"/>
    <col min="3841" max="3841" width="4.28515625" style="5" customWidth="1"/>
    <col min="3842" max="3842" width="28.7109375" style="5" customWidth="1"/>
    <col min="3843" max="3843" width="6.7109375" style="5" customWidth="1"/>
    <col min="3844" max="3846" width="9.28515625" style="5" customWidth="1"/>
    <col min="3847" max="3847" width="9.140625" style="5"/>
    <col min="3848" max="3848" width="11" style="5" customWidth="1"/>
    <col min="3849" max="3849" width="11.5703125" style="5" customWidth="1"/>
    <col min="3850" max="3850" width="10.7109375" style="5" customWidth="1"/>
    <col min="3851" max="3851" width="11.7109375" style="5" customWidth="1"/>
    <col min="3852" max="3852" width="12" style="5" customWidth="1"/>
    <col min="3853" max="3853" width="9.7109375" style="5" customWidth="1"/>
    <col min="3854" max="3856" width="9.140625" style="5"/>
    <col min="3857" max="3857" width="11.5703125" style="5" customWidth="1"/>
    <col min="3858" max="4096" width="9.140625" style="5"/>
    <col min="4097" max="4097" width="4.28515625" style="5" customWidth="1"/>
    <col min="4098" max="4098" width="28.7109375" style="5" customWidth="1"/>
    <col min="4099" max="4099" width="6.7109375" style="5" customWidth="1"/>
    <col min="4100" max="4102" width="9.28515625" style="5" customWidth="1"/>
    <col min="4103" max="4103" width="9.140625" style="5"/>
    <col min="4104" max="4104" width="11" style="5" customWidth="1"/>
    <col min="4105" max="4105" width="11.5703125" style="5" customWidth="1"/>
    <col min="4106" max="4106" width="10.7109375" style="5" customWidth="1"/>
    <col min="4107" max="4107" width="11.7109375" style="5" customWidth="1"/>
    <col min="4108" max="4108" width="12" style="5" customWidth="1"/>
    <col min="4109" max="4109" width="9.7109375" style="5" customWidth="1"/>
    <col min="4110" max="4112" width="9.140625" style="5"/>
    <col min="4113" max="4113" width="11.5703125" style="5" customWidth="1"/>
    <col min="4114" max="4352" width="9.140625" style="5"/>
    <col min="4353" max="4353" width="4.28515625" style="5" customWidth="1"/>
    <col min="4354" max="4354" width="28.7109375" style="5" customWidth="1"/>
    <col min="4355" max="4355" width="6.7109375" style="5" customWidth="1"/>
    <col min="4356" max="4358" width="9.28515625" style="5" customWidth="1"/>
    <col min="4359" max="4359" width="9.140625" style="5"/>
    <col min="4360" max="4360" width="11" style="5" customWidth="1"/>
    <col min="4361" max="4361" width="11.5703125" style="5" customWidth="1"/>
    <col min="4362" max="4362" width="10.7109375" style="5" customWidth="1"/>
    <col min="4363" max="4363" width="11.7109375" style="5" customWidth="1"/>
    <col min="4364" max="4364" width="12" style="5" customWidth="1"/>
    <col min="4365" max="4365" width="9.7109375" style="5" customWidth="1"/>
    <col min="4366" max="4368" width="9.140625" style="5"/>
    <col min="4369" max="4369" width="11.5703125" style="5" customWidth="1"/>
    <col min="4370" max="4608" width="9.140625" style="5"/>
    <col min="4609" max="4609" width="4.28515625" style="5" customWidth="1"/>
    <col min="4610" max="4610" width="28.7109375" style="5" customWidth="1"/>
    <col min="4611" max="4611" width="6.7109375" style="5" customWidth="1"/>
    <col min="4612" max="4614" width="9.28515625" style="5" customWidth="1"/>
    <col min="4615" max="4615" width="9.140625" style="5"/>
    <col min="4616" max="4616" width="11" style="5" customWidth="1"/>
    <col min="4617" max="4617" width="11.5703125" style="5" customWidth="1"/>
    <col min="4618" max="4618" width="10.7109375" style="5" customWidth="1"/>
    <col min="4619" max="4619" width="11.7109375" style="5" customWidth="1"/>
    <col min="4620" max="4620" width="12" style="5" customWidth="1"/>
    <col min="4621" max="4621" width="9.7109375" style="5" customWidth="1"/>
    <col min="4622" max="4624" width="9.140625" style="5"/>
    <col min="4625" max="4625" width="11.5703125" style="5" customWidth="1"/>
    <col min="4626" max="4864" width="9.140625" style="5"/>
    <col min="4865" max="4865" width="4.28515625" style="5" customWidth="1"/>
    <col min="4866" max="4866" width="28.7109375" style="5" customWidth="1"/>
    <col min="4867" max="4867" width="6.7109375" style="5" customWidth="1"/>
    <col min="4868" max="4870" width="9.28515625" style="5" customWidth="1"/>
    <col min="4871" max="4871" width="9.140625" style="5"/>
    <col min="4872" max="4872" width="11" style="5" customWidth="1"/>
    <col min="4873" max="4873" width="11.5703125" style="5" customWidth="1"/>
    <col min="4874" max="4874" width="10.7109375" style="5" customWidth="1"/>
    <col min="4875" max="4875" width="11.7109375" style="5" customWidth="1"/>
    <col min="4876" max="4876" width="12" style="5" customWidth="1"/>
    <col min="4877" max="4877" width="9.7109375" style="5" customWidth="1"/>
    <col min="4878" max="4880" width="9.140625" style="5"/>
    <col min="4881" max="4881" width="11.5703125" style="5" customWidth="1"/>
    <col min="4882" max="5120" width="9.140625" style="5"/>
    <col min="5121" max="5121" width="4.28515625" style="5" customWidth="1"/>
    <col min="5122" max="5122" width="28.7109375" style="5" customWidth="1"/>
    <col min="5123" max="5123" width="6.7109375" style="5" customWidth="1"/>
    <col min="5124" max="5126" width="9.28515625" style="5" customWidth="1"/>
    <col min="5127" max="5127" width="9.140625" style="5"/>
    <col min="5128" max="5128" width="11" style="5" customWidth="1"/>
    <col min="5129" max="5129" width="11.5703125" style="5" customWidth="1"/>
    <col min="5130" max="5130" width="10.7109375" style="5" customWidth="1"/>
    <col min="5131" max="5131" width="11.7109375" style="5" customWidth="1"/>
    <col min="5132" max="5132" width="12" style="5" customWidth="1"/>
    <col min="5133" max="5133" width="9.7109375" style="5" customWidth="1"/>
    <col min="5134" max="5136" width="9.140625" style="5"/>
    <col min="5137" max="5137" width="11.5703125" style="5" customWidth="1"/>
    <col min="5138" max="5376" width="9.140625" style="5"/>
    <col min="5377" max="5377" width="4.28515625" style="5" customWidth="1"/>
    <col min="5378" max="5378" width="28.7109375" style="5" customWidth="1"/>
    <col min="5379" max="5379" width="6.7109375" style="5" customWidth="1"/>
    <col min="5380" max="5382" width="9.28515625" style="5" customWidth="1"/>
    <col min="5383" max="5383" width="9.140625" style="5"/>
    <col min="5384" max="5384" width="11" style="5" customWidth="1"/>
    <col min="5385" max="5385" width="11.5703125" style="5" customWidth="1"/>
    <col min="5386" max="5386" width="10.7109375" style="5" customWidth="1"/>
    <col min="5387" max="5387" width="11.7109375" style="5" customWidth="1"/>
    <col min="5388" max="5388" width="12" style="5" customWidth="1"/>
    <col min="5389" max="5389" width="9.7109375" style="5" customWidth="1"/>
    <col min="5390" max="5392" width="9.140625" style="5"/>
    <col min="5393" max="5393" width="11.5703125" style="5" customWidth="1"/>
    <col min="5394" max="5632" width="9.140625" style="5"/>
    <col min="5633" max="5633" width="4.28515625" style="5" customWidth="1"/>
    <col min="5634" max="5634" width="28.7109375" style="5" customWidth="1"/>
    <col min="5635" max="5635" width="6.7109375" style="5" customWidth="1"/>
    <col min="5636" max="5638" width="9.28515625" style="5" customWidth="1"/>
    <col min="5639" max="5639" width="9.140625" style="5"/>
    <col min="5640" max="5640" width="11" style="5" customWidth="1"/>
    <col min="5641" max="5641" width="11.5703125" style="5" customWidth="1"/>
    <col min="5642" max="5642" width="10.7109375" style="5" customWidth="1"/>
    <col min="5643" max="5643" width="11.7109375" style="5" customWidth="1"/>
    <col min="5644" max="5644" width="12" style="5" customWidth="1"/>
    <col min="5645" max="5645" width="9.7109375" style="5" customWidth="1"/>
    <col min="5646" max="5648" width="9.140625" style="5"/>
    <col min="5649" max="5649" width="11.5703125" style="5" customWidth="1"/>
    <col min="5650" max="5888" width="9.140625" style="5"/>
    <col min="5889" max="5889" width="4.28515625" style="5" customWidth="1"/>
    <col min="5890" max="5890" width="28.7109375" style="5" customWidth="1"/>
    <col min="5891" max="5891" width="6.7109375" style="5" customWidth="1"/>
    <col min="5892" max="5894" width="9.28515625" style="5" customWidth="1"/>
    <col min="5895" max="5895" width="9.140625" style="5"/>
    <col min="5896" max="5896" width="11" style="5" customWidth="1"/>
    <col min="5897" max="5897" width="11.5703125" style="5" customWidth="1"/>
    <col min="5898" max="5898" width="10.7109375" style="5" customWidth="1"/>
    <col min="5899" max="5899" width="11.7109375" style="5" customWidth="1"/>
    <col min="5900" max="5900" width="12" style="5" customWidth="1"/>
    <col min="5901" max="5901" width="9.7109375" style="5" customWidth="1"/>
    <col min="5902" max="5904" width="9.140625" style="5"/>
    <col min="5905" max="5905" width="11.5703125" style="5" customWidth="1"/>
    <col min="5906" max="6144" width="9.140625" style="5"/>
    <col min="6145" max="6145" width="4.28515625" style="5" customWidth="1"/>
    <col min="6146" max="6146" width="28.7109375" style="5" customWidth="1"/>
    <col min="6147" max="6147" width="6.7109375" style="5" customWidth="1"/>
    <col min="6148" max="6150" width="9.28515625" style="5" customWidth="1"/>
    <col min="6151" max="6151" width="9.140625" style="5"/>
    <col min="6152" max="6152" width="11" style="5" customWidth="1"/>
    <col min="6153" max="6153" width="11.5703125" style="5" customWidth="1"/>
    <col min="6154" max="6154" width="10.7109375" style="5" customWidth="1"/>
    <col min="6155" max="6155" width="11.7109375" style="5" customWidth="1"/>
    <col min="6156" max="6156" width="12" style="5" customWidth="1"/>
    <col min="6157" max="6157" width="9.7109375" style="5" customWidth="1"/>
    <col min="6158" max="6160" width="9.140625" style="5"/>
    <col min="6161" max="6161" width="11.5703125" style="5" customWidth="1"/>
    <col min="6162" max="6400" width="9.140625" style="5"/>
    <col min="6401" max="6401" width="4.28515625" style="5" customWidth="1"/>
    <col min="6402" max="6402" width="28.7109375" style="5" customWidth="1"/>
    <col min="6403" max="6403" width="6.7109375" style="5" customWidth="1"/>
    <col min="6404" max="6406" width="9.28515625" style="5" customWidth="1"/>
    <col min="6407" max="6407" width="9.140625" style="5"/>
    <col min="6408" max="6408" width="11" style="5" customWidth="1"/>
    <col min="6409" max="6409" width="11.5703125" style="5" customWidth="1"/>
    <col min="6410" max="6410" width="10.7109375" style="5" customWidth="1"/>
    <col min="6411" max="6411" width="11.7109375" style="5" customWidth="1"/>
    <col min="6412" max="6412" width="12" style="5" customWidth="1"/>
    <col min="6413" max="6413" width="9.7109375" style="5" customWidth="1"/>
    <col min="6414" max="6416" width="9.140625" style="5"/>
    <col min="6417" max="6417" width="11.5703125" style="5" customWidth="1"/>
    <col min="6418" max="6656" width="9.140625" style="5"/>
    <col min="6657" max="6657" width="4.28515625" style="5" customWidth="1"/>
    <col min="6658" max="6658" width="28.7109375" style="5" customWidth="1"/>
    <col min="6659" max="6659" width="6.7109375" style="5" customWidth="1"/>
    <col min="6660" max="6662" width="9.28515625" style="5" customWidth="1"/>
    <col min="6663" max="6663" width="9.140625" style="5"/>
    <col min="6664" max="6664" width="11" style="5" customWidth="1"/>
    <col min="6665" max="6665" width="11.5703125" style="5" customWidth="1"/>
    <col min="6666" max="6666" width="10.7109375" style="5" customWidth="1"/>
    <col min="6667" max="6667" width="11.7109375" style="5" customWidth="1"/>
    <col min="6668" max="6668" width="12" style="5" customWidth="1"/>
    <col min="6669" max="6669" width="9.7109375" style="5" customWidth="1"/>
    <col min="6670" max="6672" width="9.140625" style="5"/>
    <col min="6673" max="6673" width="11.5703125" style="5" customWidth="1"/>
    <col min="6674" max="6912" width="9.140625" style="5"/>
    <col min="6913" max="6913" width="4.28515625" style="5" customWidth="1"/>
    <col min="6914" max="6914" width="28.7109375" style="5" customWidth="1"/>
    <col min="6915" max="6915" width="6.7109375" style="5" customWidth="1"/>
    <col min="6916" max="6918" width="9.28515625" style="5" customWidth="1"/>
    <col min="6919" max="6919" width="9.140625" style="5"/>
    <col min="6920" max="6920" width="11" style="5" customWidth="1"/>
    <col min="6921" max="6921" width="11.5703125" style="5" customWidth="1"/>
    <col min="6922" max="6922" width="10.7109375" style="5" customWidth="1"/>
    <col min="6923" max="6923" width="11.7109375" style="5" customWidth="1"/>
    <col min="6924" max="6924" width="12" style="5" customWidth="1"/>
    <col min="6925" max="6925" width="9.7109375" style="5" customWidth="1"/>
    <col min="6926" max="6928" width="9.140625" style="5"/>
    <col min="6929" max="6929" width="11.5703125" style="5" customWidth="1"/>
    <col min="6930" max="7168" width="9.140625" style="5"/>
    <col min="7169" max="7169" width="4.28515625" style="5" customWidth="1"/>
    <col min="7170" max="7170" width="28.7109375" style="5" customWidth="1"/>
    <col min="7171" max="7171" width="6.7109375" style="5" customWidth="1"/>
    <col min="7172" max="7174" width="9.28515625" style="5" customWidth="1"/>
    <col min="7175" max="7175" width="9.140625" style="5"/>
    <col min="7176" max="7176" width="11" style="5" customWidth="1"/>
    <col min="7177" max="7177" width="11.5703125" style="5" customWidth="1"/>
    <col min="7178" max="7178" width="10.7109375" style="5" customWidth="1"/>
    <col min="7179" max="7179" width="11.7109375" style="5" customWidth="1"/>
    <col min="7180" max="7180" width="12" style="5" customWidth="1"/>
    <col min="7181" max="7181" width="9.7109375" style="5" customWidth="1"/>
    <col min="7182" max="7184" width="9.140625" style="5"/>
    <col min="7185" max="7185" width="11.5703125" style="5" customWidth="1"/>
    <col min="7186" max="7424" width="9.140625" style="5"/>
    <col min="7425" max="7425" width="4.28515625" style="5" customWidth="1"/>
    <col min="7426" max="7426" width="28.7109375" style="5" customWidth="1"/>
    <col min="7427" max="7427" width="6.7109375" style="5" customWidth="1"/>
    <col min="7428" max="7430" width="9.28515625" style="5" customWidth="1"/>
    <col min="7431" max="7431" width="9.140625" style="5"/>
    <col min="7432" max="7432" width="11" style="5" customWidth="1"/>
    <col min="7433" max="7433" width="11.5703125" style="5" customWidth="1"/>
    <col min="7434" max="7434" width="10.7109375" style="5" customWidth="1"/>
    <col min="7435" max="7435" width="11.7109375" style="5" customWidth="1"/>
    <col min="7436" max="7436" width="12" style="5" customWidth="1"/>
    <col min="7437" max="7437" width="9.7109375" style="5" customWidth="1"/>
    <col min="7438" max="7440" width="9.140625" style="5"/>
    <col min="7441" max="7441" width="11.5703125" style="5" customWidth="1"/>
    <col min="7442" max="7680" width="9.140625" style="5"/>
    <col min="7681" max="7681" width="4.28515625" style="5" customWidth="1"/>
    <col min="7682" max="7682" width="28.7109375" style="5" customWidth="1"/>
    <col min="7683" max="7683" width="6.7109375" style="5" customWidth="1"/>
    <col min="7684" max="7686" width="9.28515625" style="5" customWidth="1"/>
    <col min="7687" max="7687" width="9.140625" style="5"/>
    <col min="7688" max="7688" width="11" style="5" customWidth="1"/>
    <col min="7689" max="7689" width="11.5703125" style="5" customWidth="1"/>
    <col min="7690" max="7690" width="10.7109375" style="5" customWidth="1"/>
    <col min="7691" max="7691" width="11.7109375" style="5" customWidth="1"/>
    <col min="7692" max="7692" width="12" style="5" customWidth="1"/>
    <col min="7693" max="7693" width="9.7109375" style="5" customWidth="1"/>
    <col min="7694" max="7696" width="9.140625" style="5"/>
    <col min="7697" max="7697" width="11.5703125" style="5" customWidth="1"/>
    <col min="7698" max="7936" width="9.140625" style="5"/>
    <col min="7937" max="7937" width="4.28515625" style="5" customWidth="1"/>
    <col min="7938" max="7938" width="28.7109375" style="5" customWidth="1"/>
    <col min="7939" max="7939" width="6.7109375" style="5" customWidth="1"/>
    <col min="7940" max="7942" width="9.28515625" style="5" customWidth="1"/>
    <col min="7943" max="7943" width="9.140625" style="5"/>
    <col min="7944" max="7944" width="11" style="5" customWidth="1"/>
    <col min="7945" max="7945" width="11.5703125" style="5" customWidth="1"/>
    <col min="7946" max="7946" width="10.7109375" style="5" customWidth="1"/>
    <col min="7947" max="7947" width="11.7109375" style="5" customWidth="1"/>
    <col min="7948" max="7948" width="12" style="5" customWidth="1"/>
    <col min="7949" max="7949" width="9.7109375" style="5" customWidth="1"/>
    <col min="7950" max="7952" width="9.140625" style="5"/>
    <col min="7953" max="7953" width="11.5703125" style="5" customWidth="1"/>
    <col min="7954" max="8192" width="9.140625" style="5"/>
    <col min="8193" max="8193" width="4.28515625" style="5" customWidth="1"/>
    <col min="8194" max="8194" width="28.7109375" style="5" customWidth="1"/>
    <col min="8195" max="8195" width="6.7109375" style="5" customWidth="1"/>
    <col min="8196" max="8198" width="9.28515625" style="5" customWidth="1"/>
    <col min="8199" max="8199" width="9.140625" style="5"/>
    <col min="8200" max="8200" width="11" style="5" customWidth="1"/>
    <col min="8201" max="8201" width="11.5703125" style="5" customWidth="1"/>
    <col min="8202" max="8202" width="10.7109375" style="5" customWidth="1"/>
    <col min="8203" max="8203" width="11.7109375" style="5" customWidth="1"/>
    <col min="8204" max="8204" width="12" style="5" customWidth="1"/>
    <col min="8205" max="8205" width="9.7109375" style="5" customWidth="1"/>
    <col min="8206" max="8208" width="9.140625" style="5"/>
    <col min="8209" max="8209" width="11.5703125" style="5" customWidth="1"/>
    <col min="8210" max="8448" width="9.140625" style="5"/>
    <col min="8449" max="8449" width="4.28515625" style="5" customWidth="1"/>
    <col min="8450" max="8450" width="28.7109375" style="5" customWidth="1"/>
    <col min="8451" max="8451" width="6.7109375" style="5" customWidth="1"/>
    <col min="8452" max="8454" width="9.28515625" style="5" customWidth="1"/>
    <col min="8455" max="8455" width="9.140625" style="5"/>
    <col min="8456" max="8456" width="11" style="5" customWidth="1"/>
    <col min="8457" max="8457" width="11.5703125" style="5" customWidth="1"/>
    <col min="8458" max="8458" width="10.7109375" style="5" customWidth="1"/>
    <col min="8459" max="8459" width="11.7109375" style="5" customWidth="1"/>
    <col min="8460" max="8460" width="12" style="5" customWidth="1"/>
    <col min="8461" max="8461" width="9.7109375" style="5" customWidth="1"/>
    <col min="8462" max="8464" width="9.140625" style="5"/>
    <col min="8465" max="8465" width="11.5703125" style="5" customWidth="1"/>
    <col min="8466" max="8704" width="9.140625" style="5"/>
    <col min="8705" max="8705" width="4.28515625" style="5" customWidth="1"/>
    <col min="8706" max="8706" width="28.7109375" style="5" customWidth="1"/>
    <col min="8707" max="8707" width="6.7109375" style="5" customWidth="1"/>
    <col min="8708" max="8710" width="9.28515625" style="5" customWidth="1"/>
    <col min="8711" max="8711" width="9.140625" style="5"/>
    <col min="8712" max="8712" width="11" style="5" customWidth="1"/>
    <col min="8713" max="8713" width="11.5703125" style="5" customWidth="1"/>
    <col min="8714" max="8714" width="10.7109375" style="5" customWidth="1"/>
    <col min="8715" max="8715" width="11.7109375" style="5" customWidth="1"/>
    <col min="8716" max="8716" width="12" style="5" customWidth="1"/>
    <col min="8717" max="8717" width="9.7109375" style="5" customWidth="1"/>
    <col min="8718" max="8720" width="9.140625" style="5"/>
    <col min="8721" max="8721" width="11.5703125" style="5" customWidth="1"/>
    <col min="8722" max="8960" width="9.140625" style="5"/>
    <col min="8961" max="8961" width="4.28515625" style="5" customWidth="1"/>
    <col min="8962" max="8962" width="28.7109375" style="5" customWidth="1"/>
    <col min="8963" max="8963" width="6.7109375" style="5" customWidth="1"/>
    <col min="8964" max="8966" width="9.28515625" style="5" customWidth="1"/>
    <col min="8967" max="8967" width="9.140625" style="5"/>
    <col min="8968" max="8968" width="11" style="5" customWidth="1"/>
    <col min="8969" max="8969" width="11.5703125" style="5" customWidth="1"/>
    <col min="8970" max="8970" width="10.7109375" style="5" customWidth="1"/>
    <col min="8971" max="8971" width="11.7109375" style="5" customWidth="1"/>
    <col min="8972" max="8972" width="12" style="5" customWidth="1"/>
    <col min="8973" max="8973" width="9.7109375" style="5" customWidth="1"/>
    <col min="8974" max="8976" width="9.140625" style="5"/>
    <col min="8977" max="8977" width="11.5703125" style="5" customWidth="1"/>
    <col min="8978" max="9216" width="9.140625" style="5"/>
    <col min="9217" max="9217" width="4.28515625" style="5" customWidth="1"/>
    <col min="9218" max="9218" width="28.7109375" style="5" customWidth="1"/>
    <col min="9219" max="9219" width="6.7109375" style="5" customWidth="1"/>
    <col min="9220" max="9222" width="9.28515625" style="5" customWidth="1"/>
    <col min="9223" max="9223" width="9.140625" style="5"/>
    <col min="9224" max="9224" width="11" style="5" customWidth="1"/>
    <col min="9225" max="9225" width="11.5703125" style="5" customWidth="1"/>
    <col min="9226" max="9226" width="10.7109375" style="5" customWidth="1"/>
    <col min="9227" max="9227" width="11.7109375" style="5" customWidth="1"/>
    <col min="9228" max="9228" width="12" style="5" customWidth="1"/>
    <col min="9229" max="9229" width="9.7109375" style="5" customWidth="1"/>
    <col min="9230" max="9232" width="9.140625" style="5"/>
    <col min="9233" max="9233" width="11.5703125" style="5" customWidth="1"/>
    <col min="9234" max="9472" width="9.140625" style="5"/>
    <col min="9473" max="9473" width="4.28515625" style="5" customWidth="1"/>
    <col min="9474" max="9474" width="28.7109375" style="5" customWidth="1"/>
    <col min="9475" max="9475" width="6.7109375" style="5" customWidth="1"/>
    <col min="9476" max="9478" width="9.28515625" style="5" customWidth="1"/>
    <col min="9479" max="9479" width="9.140625" style="5"/>
    <col min="9480" max="9480" width="11" style="5" customWidth="1"/>
    <col min="9481" max="9481" width="11.5703125" style="5" customWidth="1"/>
    <col min="9482" max="9482" width="10.7109375" style="5" customWidth="1"/>
    <col min="9483" max="9483" width="11.7109375" style="5" customWidth="1"/>
    <col min="9484" max="9484" width="12" style="5" customWidth="1"/>
    <col min="9485" max="9485" width="9.7109375" style="5" customWidth="1"/>
    <col min="9486" max="9488" width="9.140625" style="5"/>
    <col min="9489" max="9489" width="11.5703125" style="5" customWidth="1"/>
    <col min="9490" max="9728" width="9.140625" style="5"/>
    <col min="9729" max="9729" width="4.28515625" style="5" customWidth="1"/>
    <col min="9730" max="9730" width="28.7109375" style="5" customWidth="1"/>
    <col min="9731" max="9731" width="6.7109375" style="5" customWidth="1"/>
    <col min="9732" max="9734" width="9.28515625" style="5" customWidth="1"/>
    <col min="9735" max="9735" width="9.140625" style="5"/>
    <col min="9736" max="9736" width="11" style="5" customWidth="1"/>
    <col min="9737" max="9737" width="11.5703125" style="5" customWidth="1"/>
    <col min="9738" max="9738" width="10.7109375" style="5" customWidth="1"/>
    <col min="9739" max="9739" width="11.7109375" style="5" customWidth="1"/>
    <col min="9740" max="9740" width="12" style="5" customWidth="1"/>
    <col min="9741" max="9741" width="9.7109375" style="5" customWidth="1"/>
    <col min="9742" max="9744" width="9.140625" style="5"/>
    <col min="9745" max="9745" width="11.5703125" style="5" customWidth="1"/>
    <col min="9746" max="9984" width="9.140625" style="5"/>
    <col min="9985" max="9985" width="4.28515625" style="5" customWidth="1"/>
    <col min="9986" max="9986" width="28.7109375" style="5" customWidth="1"/>
    <col min="9987" max="9987" width="6.7109375" style="5" customWidth="1"/>
    <col min="9988" max="9990" width="9.28515625" style="5" customWidth="1"/>
    <col min="9991" max="9991" width="9.140625" style="5"/>
    <col min="9992" max="9992" width="11" style="5" customWidth="1"/>
    <col min="9993" max="9993" width="11.5703125" style="5" customWidth="1"/>
    <col min="9994" max="9994" width="10.7109375" style="5" customWidth="1"/>
    <col min="9995" max="9995" width="11.7109375" style="5" customWidth="1"/>
    <col min="9996" max="9996" width="12" style="5" customWidth="1"/>
    <col min="9997" max="9997" width="9.7109375" style="5" customWidth="1"/>
    <col min="9998" max="10000" width="9.140625" style="5"/>
    <col min="10001" max="10001" width="11.5703125" style="5" customWidth="1"/>
    <col min="10002" max="10240" width="9.140625" style="5"/>
    <col min="10241" max="10241" width="4.28515625" style="5" customWidth="1"/>
    <col min="10242" max="10242" width="28.7109375" style="5" customWidth="1"/>
    <col min="10243" max="10243" width="6.7109375" style="5" customWidth="1"/>
    <col min="10244" max="10246" width="9.28515625" style="5" customWidth="1"/>
    <col min="10247" max="10247" width="9.140625" style="5"/>
    <col min="10248" max="10248" width="11" style="5" customWidth="1"/>
    <col min="10249" max="10249" width="11.5703125" style="5" customWidth="1"/>
    <col min="10250" max="10250" width="10.7109375" style="5" customWidth="1"/>
    <col min="10251" max="10251" width="11.7109375" style="5" customWidth="1"/>
    <col min="10252" max="10252" width="12" style="5" customWidth="1"/>
    <col min="10253" max="10253" width="9.7109375" style="5" customWidth="1"/>
    <col min="10254" max="10256" width="9.140625" style="5"/>
    <col min="10257" max="10257" width="11.5703125" style="5" customWidth="1"/>
    <col min="10258" max="10496" width="9.140625" style="5"/>
    <col min="10497" max="10497" width="4.28515625" style="5" customWidth="1"/>
    <col min="10498" max="10498" width="28.7109375" style="5" customWidth="1"/>
    <col min="10499" max="10499" width="6.7109375" style="5" customWidth="1"/>
    <col min="10500" max="10502" width="9.28515625" style="5" customWidth="1"/>
    <col min="10503" max="10503" width="9.140625" style="5"/>
    <col min="10504" max="10504" width="11" style="5" customWidth="1"/>
    <col min="10505" max="10505" width="11.5703125" style="5" customWidth="1"/>
    <col min="10506" max="10506" width="10.7109375" style="5" customWidth="1"/>
    <col min="10507" max="10507" width="11.7109375" style="5" customWidth="1"/>
    <col min="10508" max="10508" width="12" style="5" customWidth="1"/>
    <col min="10509" max="10509" width="9.7109375" style="5" customWidth="1"/>
    <col min="10510" max="10512" width="9.140625" style="5"/>
    <col min="10513" max="10513" width="11.5703125" style="5" customWidth="1"/>
    <col min="10514" max="10752" width="9.140625" style="5"/>
    <col min="10753" max="10753" width="4.28515625" style="5" customWidth="1"/>
    <col min="10754" max="10754" width="28.7109375" style="5" customWidth="1"/>
    <col min="10755" max="10755" width="6.7109375" style="5" customWidth="1"/>
    <col min="10756" max="10758" width="9.28515625" style="5" customWidth="1"/>
    <col min="10759" max="10759" width="9.140625" style="5"/>
    <col min="10760" max="10760" width="11" style="5" customWidth="1"/>
    <col min="10761" max="10761" width="11.5703125" style="5" customWidth="1"/>
    <col min="10762" max="10762" width="10.7109375" style="5" customWidth="1"/>
    <col min="10763" max="10763" width="11.7109375" style="5" customWidth="1"/>
    <col min="10764" max="10764" width="12" style="5" customWidth="1"/>
    <col min="10765" max="10765" width="9.7109375" style="5" customWidth="1"/>
    <col min="10766" max="10768" width="9.140625" style="5"/>
    <col min="10769" max="10769" width="11.5703125" style="5" customWidth="1"/>
    <col min="10770" max="11008" width="9.140625" style="5"/>
    <col min="11009" max="11009" width="4.28515625" style="5" customWidth="1"/>
    <col min="11010" max="11010" width="28.7109375" style="5" customWidth="1"/>
    <col min="11011" max="11011" width="6.7109375" style="5" customWidth="1"/>
    <col min="11012" max="11014" width="9.28515625" style="5" customWidth="1"/>
    <col min="11015" max="11015" width="9.140625" style="5"/>
    <col min="11016" max="11016" width="11" style="5" customWidth="1"/>
    <col min="11017" max="11017" width="11.5703125" style="5" customWidth="1"/>
    <col min="11018" max="11018" width="10.7109375" style="5" customWidth="1"/>
    <col min="11019" max="11019" width="11.7109375" style="5" customWidth="1"/>
    <col min="11020" max="11020" width="12" style="5" customWidth="1"/>
    <col min="11021" max="11021" width="9.7109375" style="5" customWidth="1"/>
    <col min="11022" max="11024" width="9.140625" style="5"/>
    <col min="11025" max="11025" width="11.5703125" style="5" customWidth="1"/>
    <col min="11026" max="11264" width="9.140625" style="5"/>
    <col min="11265" max="11265" width="4.28515625" style="5" customWidth="1"/>
    <col min="11266" max="11266" width="28.7109375" style="5" customWidth="1"/>
    <col min="11267" max="11267" width="6.7109375" style="5" customWidth="1"/>
    <col min="11268" max="11270" width="9.28515625" style="5" customWidth="1"/>
    <col min="11271" max="11271" width="9.140625" style="5"/>
    <col min="11272" max="11272" width="11" style="5" customWidth="1"/>
    <col min="11273" max="11273" width="11.5703125" style="5" customWidth="1"/>
    <col min="11274" max="11274" width="10.7109375" style="5" customWidth="1"/>
    <col min="11275" max="11275" width="11.7109375" style="5" customWidth="1"/>
    <col min="11276" max="11276" width="12" style="5" customWidth="1"/>
    <col min="11277" max="11277" width="9.7109375" style="5" customWidth="1"/>
    <col min="11278" max="11280" width="9.140625" style="5"/>
    <col min="11281" max="11281" width="11.5703125" style="5" customWidth="1"/>
    <col min="11282" max="11520" width="9.140625" style="5"/>
    <col min="11521" max="11521" width="4.28515625" style="5" customWidth="1"/>
    <col min="11522" max="11522" width="28.7109375" style="5" customWidth="1"/>
    <col min="11523" max="11523" width="6.7109375" style="5" customWidth="1"/>
    <col min="11524" max="11526" width="9.28515625" style="5" customWidth="1"/>
    <col min="11527" max="11527" width="9.140625" style="5"/>
    <col min="11528" max="11528" width="11" style="5" customWidth="1"/>
    <col min="11529" max="11529" width="11.5703125" style="5" customWidth="1"/>
    <col min="11530" max="11530" width="10.7109375" style="5" customWidth="1"/>
    <col min="11531" max="11531" width="11.7109375" style="5" customWidth="1"/>
    <col min="11532" max="11532" width="12" style="5" customWidth="1"/>
    <col min="11533" max="11533" width="9.7109375" style="5" customWidth="1"/>
    <col min="11534" max="11536" width="9.140625" style="5"/>
    <col min="11537" max="11537" width="11.5703125" style="5" customWidth="1"/>
    <col min="11538" max="11776" width="9.140625" style="5"/>
    <col min="11777" max="11777" width="4.28515625" style="5" customWidth="1"/>
    <col min="11778" max="11778" width="28.7109375" style="5" customWidth="1"/>
    <col min="11779" max="11779" width="6.7109375" style="5" customWidth="1"/>
    <col min="11780" max="11782" width="9.28515625" style="5" customWidth="1"/>
    <col min="11783" max="11783" width="9.140625" style="5"/>
    <col min="11784" max="11784" width="11" style="5" customWidth="1"/>
    <col min="11785" max="11785" width="11.5703125" style="5" customWidth="1"/>
    <col min="11786" max="11786" width="10.7109375" style="5" customWidth="1"/>
    <col min="11787" max="11787" width="11.7109375" style="5" customWidth="1"/>
    <col min="11788" max="11788" width="12" style="5" customWidth="1"/>
    <col min="11789" max="11789" width="9.7109375" style="5" customWidth="1"/>
    <col min="11790" max="11792" width="9.140625" style="5"/>
    <col min="11793" max="11793" width="11.5703125" style="5" customWidth="1"/>
    <col min="11794" max="12032" width="9.140625" style="5"/>
    <col min="12033" max="12033" width="4.28515625" style="5" customWidth="1"/>
    <col min="12034" max="12034" width="28.7109375" style="5" customWidth="1"/>
    <col min="12035" max="12035" width="6.7109375" style="5" customWidth="1"/>
    <col min="12036" max="12038" width="9.28515625" style="5" customWidth="1"/>
    <col min="12039" max="12039" width="9.140625" style="5"/>
    <col min="12040" max="12040" width="11" style="5" customWidth="1"/>
    <col min="12041" max="12041" width="11.5703125" style="5" customWidth="1"/>
    <col min="12042" max="12042" width="10.7109375" style="5" customWidth="1"/>
    <col min="12043" max="12043" width="11.7109375" style="5" customWidth="1"/>
    <col min="12044" max="12044" width="12" style="5" customWidth="1"/>
    <col min="12045" max="12045" width="9.7109375" style="5" customWidth="1"/>
    <col min="12046" max="12048" width="9.140625" style="5"/>
    <col min="12049" max="12049" width="11.5703125" style="5" customWidth="1"/>
    <col min="12050" max="12288" width="9.140625" style="5"/>
    <col min="12289" max="12289" width="4.28515625" style="5" customWidth="1"/>
    <col min="12290" max="12290" width="28.7109375" style="5" customWidth="1"/>
    <col min="12291" max="12291" width="6.7109375" style="5" customWidth="1"/>
    <col min="12292" max="12294" width="9.28515625" style="5" customWidth="1"/>
    <col min="12295" max="12295" width="9.140625" style="5"/>
    <col min="12296" max="12296" width="11" style="5" customWidth="1"/>
    <col min="12297" max="12297" width="11.5703125" style="5" customWidth="1"/>
    <col min="12298" max="12298" width="10.7109375" style="5" customWidth="1"/>
    <col min="12299" max="12299" width="11.7109375" style="5" customWidth="1"/>
    <col min="12300" max="12300" width="12" style="5" customWidth="1"/>
    <col min="12301" max="12301" width="9.7109375" style="5" customWidth="1"/>
    <col min="12302" max="12304" width="9.140625" style="5"/>
    <col min="12305" max="12305" width="11.5703125" style="5" customWidth="1"/>
    <col min="12306" max="12544" width="9.140625" style="5"/>
    <col min="12545" max="12545" width="4.28515625" style="5" customWidth="1"/>
    <col min="12546" max="12546" width="28.7109375" style="5" customWidth="1"/>
    <col min="12547" max="12547" width="6.7109375" style="5" customWidth="1"/>
    <col min="12548" max="12550" width="9.28515625" style="5" customWidth="1"/>
    <col min="12551" max="12551" width="9.140625" style="5"/>
    <col min="12552" max="12552" width="11" style="5" customWidth="1"/>
    <col min="12553" max="12553" width="11.5703125" style="5" customWidth="1"/>
    <col min="12554" max="12554" width="10.7109375" style="5" customWidth="1"/>
    <col min="12555" max="12555" width="11.7109375" style="5" customWidth="1"/>
    <col min="12556" max="12556" width="12" style="5" customWidth="1"/>
    <col min="12557" max="12557" width="9.7109375" style="5" customWidth="1"/>
    <col min="12558" max="12560" width="9.140625" style="5"/>
    <col min="12561" max="12561" width="11.5703125" style="5" customWidth="1"/>
    <col min="12562" max="12800" width="9.140625" style="5"/>
    <col min="12801" max="12801" width="4.28515625" style="5" customWidth="1"/>
    <col min="12802" max="12802" width="28.7109375" style="5" customWidth="1"/>
    <col min="12803" max="12803" width="6.7109375" style="5" customWidth="1"/>
    <col min="12804" max="12806" width="9.28515625" style="5" customWidth="1"/>
    <col min="12807" max="12807" width="9.140625" style="5"/>
    <col min="12808" max="12808" width="11" style="5" customWidth="1"/>
    <col min="12809" max="12809" width="11.5703125" style="5" customWidth="1"/>
    <col min="12810" max="12810" width="10.7109375" style="5" customWidth="1"/>
    <col min="12811" max="12811" width="11.7109375" style="5" customWidth="1"/>
    <col min="12812" max="12812" width="12" style="5" customWidth="1"/>
    <col min="12813" max="12813" width="9.7109375" style="5" customWidth="1"/>
    <col min="12814" max="12816" width="9.140625" style="5"/>
    <col min="12817" max="12817" width="11.5703125" style="5" customWidth="1"/>
    <col min="12818" max="13056" width="9.140625" style="5"/>
    <col min="13057" max="13057" width="4.28515625" style="5" customWidth="1"/>
    <col min="13058" max="13058" width="28.7109375" style="5" customWidth="1"/>
    <col min="13059" max="13059" width="6.7109375" style="5" customWidth="1"/>
    <col min="13060" max="13062" width="9.28515625" style="5" customWidth="1"/>
    <col min="13063" max="13063" width="9.140625" style="5"/>
    <col min="13064" max="13064" width="11" style="5" customWidth="1"/>
    <col min="13065" max="13065" width="11.5703125" style="5" customWidth="1"/>
    <col min="13066" max="13066" width="10.7109375" style="5" customWidth="1"/>
    <col min="13067" max="13067" width="11.7109375" style="5" customWidth="1"/>
    <col min="13068" max="13068" width="12" style="5" customWidth="1"/>
    <col min="13069" max="13069" width="9.7109375" style="5" customWidth="1"/>
    <col min="13070" max="13072" width="9.140625" style="5"/>
    <col min="13073" max="13073" width="11.5703125" style="5" customWidth="1"/>
    <col min="13074" max="13312" width="9.140625" style="5"/>
    <col min="13313" max="13313" width="4.28515625" style="5" customWidth="1"/>
    <col min="13314" max="13314" width="28.7109375" style="5" customWidth="1"/>
    <col min="13315" max="13315" width="6.7109375" style="5" customWidth="1"/>
    <col min="13316" max="13318" width="9.28515625" style="5" customWidth="1"/>
    <col min="13319" max="13319" width="9.140625" style="5"/>
    <col min="13320" max="13320" width="11" style="5" customWidth="1"/>
    <col min="13321" max="13321" width="11.5703125" style="5" customWidth="1"/>
    <col min="13322" max="13322" width="10.7109375" style="5" customWidth="1"/>
    <col min="13323" max="13323" width="11.7109375" style="5" customWidth="1"/>
    <col min="13324" max="13324" width="12" style="5" customWidth="1"/>
    <col min="13325" max="13325" width="9.7109375" style="5" customWidth="1"/>
    <col min="13326" max="13328" width="9.140625" style="5"/>
    <col min="13329" max="13329" width="11.5703125" style="5" customWidth="1"/>
    <col min="13330" max="13568" width="9.140625" style="5"/>
    <col min="13569" max="13569" width="4.28515625" style="5" customWidth="1"/>
    <col min="13570" max="13570" width="28.7109375" style="5" customWidth="1"/>
    <col min="13571" max="13571" width="6.7109375" style="5" customWidth="1"/>
    <col min="13572" max="13574" width="9.28515625" style="5" customWidth="1"/>
    <col min="13575" max="13575" width="9.140625" style="5"/>
    <col min="13576" max="13576" width="11" style="5" customWidth="1"/>
    <col min="13577" max="13577" width="11.5703125" style="5" customWidth="1"/>
    <col min="13578" max="13578" width="10.7109375" style="5" customWidth="1"/>
    <col min="13579" max="13579" width="11.7109375" style="5" customWidth="1"/>
    <col min="13580" max="13580" width="12" style="5" customWidth="1"/>
    <col min="13581" max="13581" width="9.7109375" style="5" customWidth="1"/>
    <col min="13582" max="13584" width="9.140625" style="5"/>
    <col min="13585" max="13585" width="11.5703125" style="5" customWidth="1"/>
    <col min="13586" max="13824" width="9.140625" style="5"/>
    <col min="13825" max="13825" width="4.28515625" style="5" customWidth="1"/>
    <col min="13826" max="13826" width="28.7109375" style="5" customWidth="1"/>
    <col min="13827" max="13827" width="6.7109375" style="5" customWidth="1"/>
    <col min="13828" max="13830" width="9.28515625" style="5" customWidth="1"/>
    <col min="13831" max="13831" width="9.140625" style="5"/>
    <col min="13832" max="13832" width="11" style="5" customWidth="1"/>
    <col min="13833" max="13833" width="11.5703125" style="5" customWidth="1"/>
    <col min="13834" max="13834" width="10.7109375" style="5" customWidth="1"/>
    <col min="13835" max="13835" width="11.7109375" style="5" customWidth="1"/>
    <col min="13836" max="13836" width="12" style="5" customWidth="1"/>
    <col min="13837" max="13837" width="9.7109375" style="5" customWidth="1"/>
    <col min="13838" max="13840" width="9.140625" style="5"/>
    <col min="13841" max="13841" width="11.5703125" style="5" customWidth="1"/>
    <col min="13842" max="14080" width="9.140625" style="5"/>
    <col min="14081" max="14081" width="4.28515625" style="5" customWidth="1"/>
    <col min="14082" max="14082" width="28.7109375" style="5" customWidth="1"/>
    <col min="14083" max="14083" width="6.7109375" style="5" customWidth="1"/>
    <col min="14084" max="14086" width="9.28515625" style="5" customWidth="1"/>
    <col min="14087" max="14087" width="9.140625" style="5"/>
    <col min="14088" max="14088" width="11" style="5" customWidth="1"/>
    <col min="14089" max="14089" width="11.5703125" style="5" customWidth="1"/>
    <col min="14090" max="14090" width="10.7109375" style="5" customWidth="1"/>
    <col min="14091" max="14091" width="11.7109375" style="5" customWidth="1"/>
    <col min="14092" max="14092" width="12" style="5" customWidth="1"/>
    <col min="14093" max="14093" width="9.7109375" style="5" customWidth="1"/>
    <col min="14094" max="14096" width="9.140625" style="5"/>
    <col min="14097" max="14097" width="11.5703125" style="5" customWidth="1"/>
    <col min="14098" max="14336" width="9.140625" style="5"/>
    <col min="14337" max="14337" width="4.28515625" style="5" customWidth="1"/>
    <col min="14338" max="14338" width="28.7109375" style="5" customWidth="1"/>
    <col min="14339" max="14339" width="6.7109375" style="5" customWidth="1"/>
    <col min="14340" max="14342" width="9.28515625" style="5" customWidth="1"/>
    <col min="14343" max="14343" width="9.140625" style="5"/>
    <col min="14344" max="14344" width="11" style="5" customWidth="1"/>
    <col min="14345" max="14345" width="11.5703125" style="5" customWidth="1"/>
    <col min="14346" max="14346" width="10.7109375" style="5" customWidth="1"/>
    <col min="14347" max="14347" width="11.7109375" style="5" customWidth="1"/>
    <col min="14348" max="14348" width="12" style="5" customWidth="1"/>
    <col min="14349" max="14349" width="9.7109375" style="5" customWidth="1"/>
    <col min="14350" max="14352" width="9.140625" style="5"/>
    <col min="14353" max="14353" width="11.5703125" style="5" customWidth="1"/>
    <col min="14354" max="14592" width="9.140625" style="5"/>
    <col min="14593" max="14593" width="4.28515625" style="5" customWidth="1"/>
    <col min="14594" max="14594" width="28.7109375" style="5" customWidth="1"/>
    <col min="14595" max="14595" width="6.7109375" style="5" customWidth="1"/>
    <col min="14596" max="14598" width="9.28515625" style="5" customWidth="1"/>
    <col min="14599" max="14599" width="9.140625" style="5"/>
    <col min="14600" max="14600" width="11" style="5" customWidth="1"/>
    <col min="14601" max="14601" width="11.5703125" style="5" customWidth="1"/>
    <col min="14602" max="14602" width="10.7109375" style="5" customWidth="1"/>
    <col min="14603" max="14603" width="11.7109375" style="5" customWidth="1"/>
    <col min="14604" max="14604" width="12" style="5" customWidth="1"/>
    <col min="14605" max="14605" width="9.7109375" style="5" customWidth="1"/>
    <col min="14606" max="14608" width="9.140625" style="5"/>
    <col min="14609" max="14609" width="11.5703125" style="5" customWidth="1"/>
    <col min="14610" max="14848" width="9.140625" style="5"/>
    <col min="14849" max="14849" width="4.28515625" style="5" customWidth="1"/>
    <col min="14850" max="14850" width="28.7109375" style="5" customWidth="1"/>
    <col min="14851" max="14851" width="6.7109375" style="5" customWidth="1"/>
    <col min="14852" max="14854" width="9.28515625" style="5" customWidth="1"/>
    <col min="14855" max="14855" width="9.140625" style="5"/>
    <col min="14856" max="14856" width="11" style="5" customWidth="1"/>
    <col min="14857" max="14857" width="11.5703125" style="5" customWidth="1"/>
    <col min="14858" max="14858" width="10.7109375" style="5" customWidth="1"/>
    <col min="14859" max="14859" width="11.7109375" style="5" customWidth="1"/>
    <col min="14860" max="14860" width="12" style="5" customWidth="1"/>
    <col min="14861" max="14861" width="9.7109375" style="5" customWidth="1"/>
    <col min="14862" max="14864" width="9.140625" style="5"/>
    <col min="14865" max="14865" width="11.5703125" style="5" customWidth="1"/>
    <col min="14866" max="15104" width="9.140625" style="5"/>
    <col min="15105" max="15105" width="4.28515625" style="5" customWidth="1"/>
    <col min="15106" max="15106" width="28.7109375" style="5" customWidth="1"/>
    <col min="15107" max="15107" width="6.7109375" style="5" customWidth="1"/>
    <col min="15108" max="15110" width="9.28515625" style="5" customWidth="1"/>
    <col min="15111" max="15111" width="9.140625" style="5"/>
    <col min="15112" max="15112" width="11" style="5" customWidth="1"/>
    <col min="15113" max="15113" width="11.5703125" style="5" customWidth="1"/>
    <col min="15114" max="15114" width="10.7109375" style="5" customWidth="1"/>
    <col min="15115" max="15115" width="11.7109375" style="5" customWidth="1"/>
    <col min="15116" max="15116" width="12" style="5" customWidth="1"/>
    <col min="15117" max="15117" width="9.7109375" style="5" customWidth="1"/>
    <col min="15118" max="15120" width="9.140625" style="5"/>
    <col min="15121" max="15121" width="11.5703125" style="5" customWidth="1"/>
    <col min="15122" max="15360" width="9.140625" style="5"/>
    <col min="15361" max="15361" width="4.28515625" style="5" customWidth="1"/>
    <col min="15362" max="15362" width="28.7109375" style="5" customWidth="1"/>
    <col min="15363" max="15363" width="6.7109375" style="5" customWidth="1"/>
    <col min="15364" max="15366" width="9.28515625" style="5" customWidth="1"/>
    <col min="15367" max="15367" width="9.140625" style="5"/>
    <col min="15368" max="15368" width="11" style="5" customWidth="1"/>
    <col min="15369" max="15369" width="11.5703125" style="5" customWidth="1"/>
    <col min="15370" max="15370" width="10.7109375" style="5" customWidth="1"/>
    <col min="15371" max="15371" width="11.7109375" style="5" customWidth="1"/>
    <col min="15372" max="15372" width="12" style="5" customWidth="1"/>
    <col min="15373" max="15373" width="9.7109375" style="5" customWidth="1"/>
    <col min="15374" max="15376" width="9.140625" style="5"/>
    <col min="15377" max="15377" width="11.5703125" style="5" customWidth="1"/>
    <col min="15378" max="15616" width="9.140625" style="5"/>
    <col min="15617" max="15617" width="4.28515625" style="5" customWidth="1"/>
    <col min="15618" max="15618" width="28.7109375" style="5" customWidth="1"/>
    <col min="15619" max="15619" width="6.7109375" style="5" customWidth="1"/>
    <col min="15620" max="15622" width="9.28515625" style="5" customWidth="1"/>
    <col min="15623" max="15623" width="9.140625" style="5"/>
    <col min="15624" max="15624" width="11" style="5" customWidth="1"/>
    <col min="15625" max="15625" width="11.5703125" style="5" customWidth="1"/>
    <col min="15626" max="15626" width="10.7109375" style="5" customWidth="1"/>
    <col min="15627" max="15627" width="11.7109375" style="5" customWidth="1"/>
    <col min="15628" max="15628" width="12" style="5" customWidth="1"/>
    <col min="15629" max="15629" width="9.7109375" style="5" customWidth="1"/>
    <col min="15630" max="15632" width="9.140625" style="5"/>
    <col min="15633" max="15633" width="11.5703125" style="5" customWidth="1"/>
    <col min="15634" max="15872" width="9.140625" style="5"/>
    <col min="15873" max="15873" width="4.28515625" style="5" customWidth="1"/>
    <col min="15874" max="15874" width="28.7109375" style="5" customWidth="1"/>
    <col min="15875" max="15875" width="6.7109375" style="5" customWidth="1"/>
    <col min="15876" max="15878" width="9.28515625" style="5" customWidth="1"/>
    <col min="15879" max="15879" width="9.140625" style="5"/>
    <col min="15880" max="15880" width="11" style="5" customWidth="1"/>
    <col min="15881" max="15881" width="11.5703125" style="5" customWidth="1"/>
    <col min="15882" max="15882" width="10.7109375" style="5" customWidth="1"/>
    <col min="15883" max="15883" width="11.7109375" style="5" customWidth="1"/>
    <col min="15884" max="15884" width="12" style="5" customWidth="1"/>
    <col min="15885" max="15885" width="9.7109375" style="5" customWidth="1"/>
    <col min="15886" max="15888" width="9.140625" style="5"/>
    <col min="15889" max="15889" width="11.5703125" style="5" customWidth="1"/>
    <col min="15890" max="16128" width="9.140625" style="5"/>
    <col min="16129" max="16129" width="4.28515625" style="5" customWidth="1"/>
    <col min="16130" max="16130" width="28.7109375" style="5" customWidth="1"/>
    <col min="16131" max="16131" width="6.7109375" style="5" customWidth="1"/>
    <col min="16132" max="16134" width="9.28515625" style="5" customWidth="1"/>
    <col min="16135" max="16135" width="9.140625" style="5"/>
    <col min="16136" max="16136" width="11" style="5" customWidth="1"/>
    <col min="16137" max="16137" width="11.5703125" style="5" customWidth="1"/>
    <col min="16138" max="16138" width="10.7109375" style="5" customWidth="1"/>
    <col min="16139" max="16139" width="11.7109375" style="5" customWidth="1"/>
    <col min="16140" max="16140" width="12" style="5" customWidth="1"/>
    <col min="16141" max="16141" width="9.7109375" style="5" customWidth="1"/>
    <col min="16142" max="16144" width="9.140625" style="5"/>
    <col min="16145" max="16145" width="11.5703125" style="5" customWidth="1"/>
    <col min="16146" max="16384" width="9.140625" style="5"/>
  </cols>
  <sheetData>
    <row r="1" spans="1:23" ht="22.5" customHeight="1" x14ac:dyDescent="0.35">
      <c r="A1" s="1" t="s">
        <v>0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6.75" customHeight="1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ht="12.75" customHeight="1" x14ac:dyDescent="0.2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12.75" customHeight="1" x14ac:dyDescent="0.2">
      <c r="A4" s="12" t="s">
        <v>2</v>
      </c>
      <c r="B4" s="13"/>
      <c r="C4" s="14" t="s">
        <v>471</v>
      </c>
      <c r="D4" s="15"/>
      <c r="E4" s="15"/>
      <c r="F4" s="15"/>
      <c r="H4" s="13" t="s">
        <v>4</v>
      </c>
      <c r="I4" s="14" t="s">
        <v>5</v>
      </c>
      <c r="J4" s="13"/>
      <c r="K4" s="13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</row>
    <row r="5" spans="1:23" ht="12.75" customHeight="1" x14ac:dyDescent="0.2">
      <c r="A5" s="12" t="s">
        <v>6</v>
      </c>
      <c r="B5" s="13"/>
      <c r="C5" s="14" t="s">
        <v>472</v>
      </c>
      <c r="D5" s="15"/>
      <c r="E5" s="15"/>
      <c r="F5" s="15"/>
      <c r="H5" s="13" t="s">
        <v>8</v>
      </c>
      <c r="I5" s="18">
        <v>44711.414504166663</v>
      </c>
      <c r="J5" s="13"/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spans="1:23" ht="12.75" customHeight="1" x14ac:dyDescent="0.2">
      <c r="A6" s="12" t="s">
        <v>9</v>
      </c>
      <c r="B6" s="13"/>
      <c r="C6" s="14" t="s">
        <v>10</v>
      </c>
      <c r="D6" s="15"/>
      <c r="E6" s="15"/>
      <c r="F6" s="15"/>
      <c r="H6" s="13" t="s">
        <v>8</v>
      </c>
      <c r="I6" s="19">
        <v>44711.414504166663</v>
      </c>
      <c r="K6" s="13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 ht="12.75" customHeight="1" thickBot="1" x14ac:dyDescent="0.25">
      <c r="A7" s="12" t="s">
        <v>11</v>
      </c>
      <c r="B7" s="13"/>
      <c r="C7" s="21">
        <v>609</v>
      </c>
      <c r="D7" s="15"/>
      <c r="E7" s="15"/>
      <c r="F7" s="15"/>
      <c r="H7" s="13" t="s">
        <v>12</v>
      </c>
      <c r="I7" s="22" t="s">
        <v>5</v>
      </c>
      <c r="J7" s="23"/>
      <c r="K7" s="13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ht="12.75" customHeight="1" x14ac:dyDescent="0.2">
      <c r="A8" s="25"/>
      <c r="B8" s="25"/>
      <c r="C8" s="25"/>
      <c r="D8" s="25"/>
      <c r="E8" s="25"/>
      <c r="F8" s="25"/>
      <c r="G8" s="25"/>
      <c r="H8" s="25"/>
      <c r="I8" s="26"/>
      <c r="J8" s="26"/>
      <c r="K8" s="25"/>
      <c r="L8" s="25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ht="21" customHeight="1" x14ac:dyDescent="0.35">
      <c r="A10" s="27" t="s">
        <v>13</v>
      </c>
      <c r="B10" s="28"/>
      <c r="C10" s="28"/>
      <c r="D10" s="29"/>
      <c r="E10" s="29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4.5" customHeight="1" x14ac:dyDescent="0.2">
      <c r="A11" s="30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13.9" customHeight="1" x14ac:dyDescent="0.2">
      <c r="A12" s="31" t="s">
        <v>14</v>
      </c>
      <c r="B12" s="10"/>
      <c r="C12" s="10"/>
      <c r="D12" s="32" t="s">
        <v>39</v>
      </c>
      <c r="E12" s="32" t="s">
        <v>39</v>
      </c>
      <c r="F12" s="32" t="s">
        <v>39</v>
      </c>
      <c r="G12" s="33" t="s">
        <v>39</v>
      </c>
      <c r="H12" s="33" t="s">
        <v>39</v>
      </c>
      <c r="I12" s="33" t="s">
        <v>39</v>
      </c>
      <c r="J12" s="33" t="s">
        <v>39</v>
      </c>
      <c r="K12" s="33" t="s">
        <v>39</v>
      </c>
      <c r="L12" s="33" t="s">
        <v>39</v>
      </c>
      <c r="M12" s="33" t="s">
        <v>39</v>
      </c>
      <c r="N12" s="33" t="s">
        <v>39</v>
      </c>
      <c r="O12" s="33" t="s">
        <v>39</v>
      </c>
      <c r="P12" s="33" t="s">
        <v>39</v>
      </c>
      <c r="Q12" s="33" t="s">
        <v>39</v>
      </c>
      <c r="R12" s="33" t="s">
        <v>39</v>
      </c>
      <c r="S12" s="33" t="s">
        <v>39</v>
      </c>
      <c r="T12" s="33" t="s">
        <v>39</v>
      </c>
      <c r="U12" s="33" t="s">
        <v>39</v>
      </c>
      <c r="V12" s="33" t="s">
        <v>39</v>
      </c>
      <c r="W12" s="33" t="s">
        <v>39</v>
      </c>
    </row>
    <row r="13" spans="1:23" ht="12.75" customHeight="1" x14ac:dyDescent="0.2">
      <c r="A13" s="34" t="s">
        <v>28</v>
      </c>
      <c r="B13" s="35" t="s">
        <v>29</v>
      </c>
      <c r="C13" s="34" t="s">
        <v>30</v>
      </c>
      <c r="D13" s="36" t="s">
        <v>31</v>
      </c>
      <c r="E13" s="36" t="s">
        <v>32</v>
      </c>
      <c r="F13" s="36" t="s">
        <v>31</v>
      </c>
      <c r="G13" s="36" t="s">
        <v>31</v>
      </c>
      <c r="H13" s="36" t="s">
        <v>32</v>
      </c>
      <c r="I13" s="36" t="s">
        <v>31</v>
      </c>
      <c r="J13" s="36" t="s">
        <v>31</v>
      </c>
      <c r="K13" s="36" t="s">
        <v>31</v>
      </c>
      <c r="L13" s="36" t="s">
        <v>31</v>
      </c>
      <c r="M13" s="36" t="s">
        <v>31</v>
      </c>
      <c r="N13" s="46" t="s">
        <v>32</v>
      </c>
      <c r="O13" s="46" t="s">
        <v>32</v>
      </c>
      <c r="P13" s="46" t="s">
        <v>32</v>
      </c>
      <c r="Q13" s="46" t="s">
        <v>32</v>
      </c>
      <c r="R13" s="46" t="s">
        <v>32</v>
      </c>
      <c r="S13" s="46" t="s">
        <v>32</v>
      </c>
      <c r="T13" s="46" t="s">
        <v>32</v>
      </c>
      <c r="U13" s="46" t="s">
        <v>32</v>
      </c>
      <c r="V13" s="46" t="s">
        <v>32</v>
      </c>
      <c r="W13" s="46" t="s">
        <v>32</v>
      </c>
    </row>
    <row r="14" spans="1:23" ht="12.75" customHeight="1" x14ac:dyDescent="0.2">
      <c r="A14" s="35" t="s">
        <v>33</v>
      </c>
      <c r="B14" s="35" t="s">
        <v>33</v>
      </c>
      <c r="C14" s="35" t="s">
        <v>33</v>
      </c>
      <c r="D14" s="37" t="s">
        <v>473</v>
      </c>
      <c r="E14" s="37" t="s">
        <v>473</v>
      </c>
      <c r="F14" s="37" t="s">
        <v>473</v>
      </c>
      <c r="G14" s="37" t="s">
        <v>473</v>
      </c>
      <c r="H14" s="37" t="s">
        <v>473</v>
      </c>
      <c r="I14" s="37" t="s">
        <v>473</v>
      </c>
      <c r="J14" s="37" t="s">
        <v>473</v>
      </c>
      <c r="K14" s="37" t="s">
        <v>473</v>
      </c>
      <c r="L14" s="37" t="s">
        <v>473</v>
      </c>
      <c r="M14" s="37" t="s">
        <v>473</v>
      </c>
      <c r="N14" s="46" t="s">
        <v>473</v>
      </c>
      <c r="O14" s="46" t="s">
        <v>473</v>
      </c>
      <c r="P14" s="46" t="s">
        <v>473</v>
      </c>
      <c r="Q14" s="46" t="s">
        <v>473</v>
      </c>
      <c r="R14" s="46" t="s">
        <v>473</v>
      </c>
      <c r="S14" s="46" t="s">
        <v>473</v>
      </c>
      <c r="T14" s="46" t="s">
        <v>473</v>
      </c>
      <c r="U14" s="46" t="s">
        <v>473</v>
      </c>
      <c r="V14" s="46" t="s">
        <v>473</v>
      </c>
      <c r="W14" s="46" t="s">
        <v>473</v>
      </c>
    </row>
    <row r="15" spans="1:23" ht="12.75" customHeight="1" x14ac:dyDescent="0.2">
      <c r="A15" s="38" t="s">
        <v>33</v>
      </c>
      <c r="B15" s="38" t="s">
        <v>33</v>
      </c>
      <c r="C15" s="38" t="s">
        <v>33</v>
      </c>
      <c r="D15" s="37" t="s">
        <v>37</v>
      </c>
      <c r="E15" s="37" t="s">
        <v>37</v>
      </c>
      <c r="F15" s="37" t="s">
        <v>37</v>
      </c>
      <c r="G15" s="37" t="s">
        <v>37</v>
      </c>
      <c r="H15" s="37" t="s">
        <v>37</v>
      </c>
      <c r="I15" s="37" t="s">
        <v>37</v>
      </c>
      <c r="J15" s="37" t="s">
        <v>37</v>
      </c>
      <c r="K15" s="37" t="s">
        <v>37</v>
      </c>
      <c r="L15" s="37" t="s">
        <v>37</v>
      </c>
      <c r="M15" s="37" t="s">
        <v>37</v>
      </c>
      <c r="N15" s="46" t="s">
        <v>37</v>
      </c>
      <c r="O15" s="46" t="s">
        <v>37</v>
      </c>
      <c r="P15" s="46" t="s">
        <v>37</v>
      </c>
      <c r="Q15" s="46" t="s">
        <v>37</v>
      </c>
      <c r="R15" s="46" t="s">
        <v>37</v>
      </c>
      <c r="S15" s="46" t="s">
        <v>37</v>
      </c>
      <c r="T15" s="46" t="s">
        <v>37</v>
      </c>
      <c r="U15" s="46" t="s">
        <v>37</v>
      </c>
      <c r="V15" s="46" t="s">
        <v>37</v>
      </c>
      <c r="W15" s="46" t="s">
        <v>37</v>
      </c>
    </row>
    <row r="16" spans="1:23" ht="12.75" customHeight="1" x14ac:dyDescent="0.2">
      <c r="A16" s="35" t="s">
        <v>33</v>
      </c>
      <c r="B16" s="35" t="s">
        <v>33</v>
      </c>
      <c r="C16" s="35" t="s">
        <v>33</v>
      </c>
      <c r="D16" s="37" t="s">
        <v>474</v>
      </c>
      <c r="E16" s="37" t="s">
        <v>475</v>
      </c>
      <c r="F16" s="37" t="s">
        <v>476</v>
      </c>
      <c r="G16" s="37" t="s">
        <v>477</v>
      </c>
      <c r="H16" s="37" t="s">
        <v>478</v>
      </c>
      <c r="I16" s="37" t="s">
        <v>479</v>
      </c>
      <c r="J16" s="37" t="s">
        <v>480</v>
      </c>
      <c r="K16" s="37" t="s">
        <v>481</v>
      </c>
      <c r="L16" s="37" t="s">
        <v>482</v>
      </c>
      <c r="M16" s="37" t="s">
        <v>483</v>
      </c>
      <c r="N16" s="46" t="s">
        <v>484</v>
      </c>
      <c r="O16" s="46" t="s">
        <v>485</v>
      </c>
      <c r="P16" s="46" t="s">
        <v>470</v>
      </c>
      <c r="Q16" s="46" t="s">
        <v>486</v>
      </c>
      <c r="R16" s="46" t="s">
        <v>487</v>
      </c>
      <c r="S16" s="46" t="s">
        <v>488</v>
      </c>
      <c r="T16" s="46" t="s">
        <v>489</v>
      </c>
      <c r="U16" s="46" t="s">
        <v>490</v>
      </c>
      <c r="V16" s="46" t="s">
        <v>491</v>
      </c>
      <c r="W16" s="46" t="s">
        <v>492</v>
      </c>
    </row>
    <row r="17" spans="1:34" ht="13.9" customHeight="1" x14ac:dyDescent="0.2">
      <c r="A17" s="39">
        <v>104</v>
      </c>
      <c r="B17" s="39" t="s">
        <v>493</v>
      </c>
      <c r="C17" s="40">
        <v>1</v>
      </c>
      <c r="D17" s="40">
        <v>140.48167280837237</v>
      </c>
      <c r="E17" s="40">
        <v>319.9659526133583</v>
      </c>
      <c r="F17" s="40">
        <v>39.903495022349382</v>
      </c>
      <c r="G17" s="40">
        <v>11.745456018303717</v>
      </c>
      <c r="H17" s="40">
        <v>109.13161136784487</v>
      </c>
      <c r="I17" s="40">
        <v>444.87532485996024</v>
      </c>
      <c r="J17" s="40">
        <v>15.839302541493533</v>
      </c>
      <c r="K17" s="40">
        <v>33.087588870803486</v>
      </c>
      <c r="L17" s="40">
        <v>16.913484912345396</v>
      </c>
      <c r="M17" s="40">
        <v>40.882404928327297</v>
      </c>
      <c r="N17" s="47">
        <v>8.6695839998654201</v>
      </c>
      <c r="O17" s="47">
        <v>15.259866860535364</v>
      </c>
      <c r="P17" s="47" t="s">
        <v>39</v>
      </c>
      <c r="Q17" s="47">
        <v>35.711933767126304</v>
      </c>
      <c r="R17" s="47">
        <v>15.818251768669832</v>
      </c>
      <c r="S17" s="47">
        <v>59.592203550842925</v>
      </c>
      <c r="T17" s="47">
        <v>77.082135673164913</v>
      </c>
      <c r="U17" s="47">
        <v>290.69468194808729</v>
      </c>
      <c r="V17" s="47">
        <v>17.214111831034451</v>
      </c>
      <c r="W17" s="47">
        <v>41.361983883327362</v>
      </c>
      <c r="AH17" s="43"/>
    </row>
    <row r="18" spans="1:34" ht="13.9" customHeight="1" x14ac:dyDescent="0.2">
      <c r="A18" s="39">
        <v>105</v>
      </c>
      <c r="B18" s="39" t="s">
        <v>494</v>
      </c>
      <c r="C18" s="40">
        <v>1</v>
      </c>
      <c r="D18" s="40">
        <v>132.36466336579991</v>
      </c>
      <c r="E18" s="40">
        <v>292.55619932752234</v>
      </c>
      <c r="F18" s="40">
        <v>37.786172600134762</v>
      </c>
      <c r="G18" s="40">
        <v>11.014452522476414</v>
      </c>
      <c r="H18" s="40">
        <v>103.35508702980457</v>
      </c>
      <c r="I18" s="40">
        <v>400.23623476896029</v>
      </c>
      <c r="J18" s="40">
        <v>14.564559116101327</v>
      </c>
      <c r="K18" s="40">
        <v>31.071503942678422</v>
      </c>
      <c r="L18" s="40">
        <v>29.189611297206959</v>
      </c>
      <c r="M18" s="40">
        <v>39.226708869935884</v>
      </c>
      <c r="N18" s="47">
        <v>8.2327403083227697</v>
      </c>
      <c r="O18" s="47">
        <v>11.941839661015553</v>
      </c>
      <c r="P18" s="47">
        <v>432.38312626914473</v>
      </c>
      <c r="Q18" s="47">
        <v>33.504996741250842</v>
      </c>
      <c r="R18" s="47">
        <v>13.193192081581552</v>
      </c>
      <c r="S18" s="47">
        <v>68.350909154968207</v>
      </c>
      <c r="T18" s="47">
        <v>70.731041449487904</v>
      </c>
      <c r="U18" s="47">
        <v>223.76271376616594</v>
      </c>
      <c r="V18" s="47">
        <v>16.236504329016729</v>
      </c>
      <c r="W18" s="47">
        <v>39.576123557836617</v>
      </c>
      <c r="AH18" s="43"/>
    </row>
    <row r="19" spans="1:34" s="51" customFormat="1" ht="13.9" customHeight="1" x14ac:dyDescent="0.2">
      <c r="A19" s="48">
        <v>22</v>
      </c>
      <c r="B19" s="48" t="s">
        <v>495</v>
      </c>
      <c r="C19" s="49">
        <v>1</v>
      </c>
      <c r="D19" s="49">
        <v>138.62187577642402</v>
      </c>
      <c r="E19" s="49">
        <v>311.16335079983605</v>
      </c>
      <c r="F19" s="49">
        <v>40.77350884918836</v>
      </c>
      <c r="G19" s="49">
        <v>11.931446463027976</v>
      </c>
      <c r="H19" s="49">
        <v>110.40190256154628</v>
      </c>
      <c r="I19" s="49">
        <v>442.78196822056702</v>
      </c>
      <c r="J19" s="49">
        <v>15.71784778779841</v>
      </c>
      <c r="K19" s="49">
        <v>32.785073128704902</v>
      </c>
      <c r="L19" s="49">
        <v>29.8461167346615</v>
      </c>
      <c r="M19" s="49">
        <v>44.229216358097403</v>
      </c>
      <c r="N19" s="50">
        <v>7.688715450066641</v>
      </c>
      <c r="O19" s="50">
        <v>17.513786421931819</v>
      </c>
      <c r="P19" s="50">
        <v>443.1871378301534</v>
      </c>
      <c r="Q19" s="50">
        <v>34.731381423098341</v>
      </c>
      <c r="R19" s="50">
        <v>32.109957164530734</v>
      </c>
      <c r="S19" s="50">
        <v>71.278804923122522</v>
      </c>
      <c r="T19" s="50">
        <v>76.192578888691457</v>
      </c>
      <c r="U19" s="50">
        <v>235.73463933051099</v>
      </c>
      <c r="V19" s="50">
        <v>17.329245263722989</v>
      </c>
      <c r="W19" s="50">
        <v>43.063599631550133</v>
      </c>
      <c r="AH19" s="52"/>
    </row>
    <row r="20" spans="1:34" s="51" customFormat="1" ht="13.9" customHeight="1" x14ac:dyDescent="0.2">
      <c r="A20" s="48">
        <v>23</v>
      </c>
      <c r="B20" s="48" t="s">
        <v>496</v>
      </c>
      <c r="C20" s="49">
        <v>1</v>
      </c>
      <c r="D20" s="49">
        <v>124.55265078592325</v>
      </c>
      <c r="E20" s="49">
        <v>276.34395017910839</v>
      </c>
      <c r="F20" s="49">
        <v>36.584997360426911</v>
      </c>
      <c r="G20" s="49">
        <v>10.758475657396735</v>
      </c>
      <c r="H20" s="49">
        <v>98.917735561680018</v>
      </c>
      <c r="I20" s="49">
        <v>398.25186451831047</v>
      </c>
      <c r="J20" s="49">
        <v>14.416043585388191</v>
      </c>
      <c r="K20" s="49">
        <v>29.567816417031224</v>
      </c>
      <c r="L20" s="49">
        <v>27.622687239433315</v>
      </c>
      <c r="M20" s="49">
        <v>43.556717883632125</v>
      </c>
      <c r="N20" s="50">
        <v>6.8879812472976925</v>
      </c>
      <c r="O20" s="50">
        <v>14.119483637136611</v>
      </c>
      <c r="P20" s="50">
        <v>412.27139875525</v>
      </c>
      <c r="Q20" s="50">
        <v>30.523113512861752</v>
      </c>
      <c r="R20" s="50">
        <v>42.875382115570105</v>
      </c>
      <c r="S20" s="50">
        <v>62.460432272446717</v>
      </c>
      <c r="T20" s="50">
        <v>68.653529960024343</v>
      </c>
      <c r="U20" s="50">
        <v>197.17471955849271</v>
      </c>
      <c r="V20" s="50">
        <v>15.502685821847992</v>
      </c>
      <c r="W20" s="50">
        <v>38.87066305428629</v>
      </c>
      <c r="AH20" s="52"/>
    </row>
    <row r="21" spans="1:34" s="51" customFormat="1" ht="13.9" customHeight="1" x14ac:dyDescent="0.2">
      <c r="A21" s="48">
        <v>24</v>
      </c>
      <c r="B21" s="48" t="s">
        <v>497</v>
      </c>
      <c r="C21" s="49">
        <v>1</v>
      </c>
      <c r="D21" s="49">
        <v>130.46603599162688</v>
      </c>
      <c r="E21" s="49">
        <v>297.09780519110848</v>
      </c>
      <c r="F21" s="49">
        <v>38.28966823663837</v>
      </c>
      <c r="G21" s="49">
        <v>11.176612780554093</v>
      </c>
      <c r="H21" s="49">
        <v>103.5025887879372</v>
      </c>
      <c r="I21" s="49">
        <v>418.02072612647146</v>
      </c>
      <c r="J21" s="49">
        <v>15.203876432088963</v>
      </c>
      <c r="K21" s="49">
        <v>30.774619902023812</v>
      </c>
      <c r="L21" s="49">
        <v>28.375539831489299</v>
      </c>
      <c r="M21" s="49">
        <v>46.160042360622668</v>
      </c>
      <c r="N21" s="50">
        <v>7.2874665512292163</v>
      </c>
      <c r="O21" s="50">
        <v>14.26757354787842</v>
      </c>
      <c r="P21" s="50">
        <v>425.12003329814706</v>
      </c>
      <c r="Q21" s="50">
        <v>32.830149808523885</v>
      </c>
      <c r="R21" s="50">
        <v>37.448434107577647</v>
      </c>
      <c r="S21" s="50">
        <v>65.403982170334388</v>
      </c>
      <c r="T21" s="50">
        <v>70.976606776710994</v>
      </c>
      <c r="U21" s="50">
        <v>208.18327826145881</v>
      </c>
      <c r="V21" s="50">
        <v>16.234002965723764</v>
      </c>
      <c r="W21" s="50">
        <v>39.713389579026945</v>
      </c>
      <c r="AH21" s="52"/>
    </row>
    <row r="22" spans="1:34" s="51" customFormat="1" ht="13.9" customHeight="1" x14ac:dyDescent="0.2">
      <c r="A22" s="48">
        <v>443</v>
      </c>
      <c r="B22" s="48" t="s">
        <v>498</v>
      </c>
      <c r="C22" s="49">
        <v>1</v>
      </c>
      <c r="D22" s="49">
        <v>76.968871839293413</v>
      </c>
      <c r="E22" s="49">
        <v>135.99872518444903</v>
      </c>
      <c r="F22" s="49">
        <v>19.722029206259833</v>
      </c>
      <c r="G22" s="49">
        <v>7.9904844383883189</v>
      </c>
      <c r="H22" s="49">
        <v>55.649518148009101</v>
      </c>
      <c r="I22" s="49">
        <v>251.16586076142426</v>
      </c>
      <c r="J22" s="49">
        <v>8.6479202304058997</v>
      </c>
      <c r="K22" s="49">
        <v>15.897843209571725</v>
      </c>
      <c r="L22" s="49">
        <v>12.93732610176348</v>
      </c>
      <c r="M22" s="49">
        <v>13.937435977393932</v>
      </c>
      <c r="N22" s="50" t="s">
        <v>39</v>
      </c>
      <c r="O22" s="50" t="s">
        <v>39</v>
      </c>
      <c r="P22" s="50">
        <v>257.54755119668317</v>
      </c>
      <c r="Q22" s="50">
        <v>16.433054194910468</v>
      </c>
      <c r="R22" s="50">
        <v>98.086260608057344</v>
      </c>
      <c r="S22" s="50">
        <v>28.649554638651836</v>
      </c>
      <c r="T22" s="50">
        <v>30.549530328911327</v>
      </c>
      <c r="U22" s="50">
        <v>113.84047008772863</v>
      </c>
      <c r="V22" s="50" t="s">
        <v>39</v>
      </c>
      <c r="W22" s="50">
        <v>26.259710688825884</v>
      </c>
      <c r="AH22" s="52"/>
    </row>
    <row r="23" spans="1:34" s="51" customFormat="1" ht="13.9" customHeight="1" x14ac:dyDescent="0.2">
      <c r="A23" s="48">
        <v>445</v>
      </c>
      <c r="B23" s="48" t="s">
        <v>499</v>
      </c>
      <c r="C23" s="49">
        <v>1</v>
      </c>
      <c r="D23" s="49">
        <v>73.053380837132536</v>
      </c>
      <c r="E23" s="49">
        <v>145.0714388440108</v>
      </c>
      <c r="F23" s="49">
        <v>17.359276083112082</v>
      </c>
      <c r="G23" s="49">
        <v>9.0451774866782717</v>
      </c>
      <c r="H23" s="49">
        <v>53.549427408791196</v>
      </c>
      <c r="I23" s="49">
        <v>235.46604497895066</v>
      </c>
      <c r="J23" s="49">
        <v>11.813477900377181</v>
      </c>
      <c r="K23" s="49">
        <v>14.492685754501895</v>
      </c>
      <c r="L23" s="49">
        <v>12.180113244220321</v>
      </c>
      <c r="M23" s="49">
        <v>13.063208004825739</v>
      </c>
      <c r="N23" s="50" t="s">
        <v>39</v>
      </c>
      <c r="O23" s="50" t="s">
        <v>39</v>
      </c>
      <c r="P23" s="50">
        <v>247.07753038171924</v>
      </c>
      <c r="Q23" s="50">
        <v>15.766338142321864</v>
      </c>
      <c r="R23" s="50">
        <v>108.98967265168243</v>
      </c>
      <c r="S23" s="50">
        <v>27.084132903934929</v>
      </c>
      <c r="T23" s="50">
        <v>28.143959013170374</v>
      </c>
      <c r="U23" s="50">
        <v>108.5893888321781</v>
      </c>
      <c r="V23" s="50" t="s">
        <v>39</v>
      </c>
      <c r="W23" s="50">
        <v>28.97106387371494</v>
      </c>
      <c r="AH23" s="52"/>
    </row>
    <row r="24" spans="1:34" s="51" customFormat="1" ht="13.9" customHeight="1" x14ac:dyDescent="0.2">
      <c r="A24" s="48">
        <v>446</v>
      </c>
      <c r="B24" s="48" t="s">
        <v>500</v>
      </c>
      <c r="C24" s="49">
        <v>1</v>
      </c>
      <c r="D24" s="49">
        <v>70.589836875005929</v>
      </c>
      <c r="E24" s="49">
        <v>138.81080524820661</v>
      </c>
      <c r="F24" s="49">
        <v>17.416921916298268</v>
      </c>
      <c r="G24" s="49">
        <v>6.7667176130782618</v>
      </c>
      <c r="H24" s="49">
        <v>51.982466098271047</v>
      </c>
      <c r="I24" s="49">
        <v>229.13739584964131</v>
      </c>
      <c r="J24" s="49">
        <v>11.206270891434368</v>
      </c>
      <c r="K24" s="49">
        <v>14.343010455495918</v>
      </c>
      <c r="L24" s="49">
        <v>12.388063781655051</v>
      </c>
      <c r="M24" s="49">
        <v>13.726404897607992</v>
      </c>
      <c r="N24" s="50" t="s">
        <v>39</v>
      </c>
      <c r="O24" s="50" t="s">
        <v>39</v>
      </c>
      <c r="P24" s="50">
        <v>238.24816388301895</v>
      </c>
      <c r="Q24" s="50">
        <v>15.321527149452306</v>
      </c>
      <c r="R24" s="50">
        <v>88.063802375722361</v>
      </c>
      <c r="S24" s="50">
        <v>27.124061791331386</v>
      </c>
      <c r="T24" s="50">
        <v>27.563892784968377</v>
      </c>
      <c r="U24" s="50">
        <v>102.85968539590728</v>
      </c>
      <c r="V24" s="50" t="s">
        <v>39</v>
      </c>
      <c r="W24" s="50">
        <v>22.168425139717574</v>
      </c>
      <c r="AH24" s="52"/>
    </row>
    <row r="25" spans="1:34" s="51" customFormat="1" ht="13.9" customHeight="1" x14ac:dyDescent="0.2">
      <c r="A25" s="48">
        <v>505</v>
      </c>
      <c r="B25" s="48" t="s">
        <v>501</v>
      </c>
      <c r="C25" s="49">
        <v>1</v>
      </c>
      <c r="D25" s="49">
        <v>11.337723199002372</v>
      </c>
      <c r="E25" s="49">
        <v>54.437416879671645</v>
      </c>
      <c r="F25" s="49" t="s">
        <v>39</v>
      </c>
      <c r="G25" s="49" t="s">
        <v>39</v>
      </c>
      <c r="H25" s="49" t="s">
        <v>39</v>
      </c>
      <c r="I25" s="49">
        <v>33.273359574320551</v>
      </c>
      <c r="J25" s="49">
        <v>9.9775702139590106</v>
      </c>
      <c r="K25" s="49" t="s">
        <v>39</v>
      </c>
      <c r="L25" s="49" t="s">
        <v>39</v>
      </c>
      <c r="M25" s="49" t="s">
        <v>39</v>
      </c>
      <c r="N25" s="50" t="s">
        <v>39</v>
      </c>
      <c r="O25" s="50" t="s">
        <v>39</v>
      </c>
      <c r="P25" s="50">
        <v>101.38279508334807</v>
      </c>
      <c r="Q25" s="50" t="s">
        <v>39</v>
      </c>
      <c r="R25" s="50">
        <v>123.86722192619312</v>
      </c>
      <c r="S25" s="50" t="s">
        <v>39</v>
      </c>
      <c r="T25" s="50" t="s">
        <v>39</v>
      </c>
      <c r="U25" s="50">
        <v>66.552318253727123</v>
      </c>
      <c r="V25" s="50" t="s">
        <v>39</v>
      </c>
      <c r="W25" s="50">
        <v>5.9778874859297115</v>
      </c>
      <c r="AH25" s="52"/>
    </row>
    <row r="26" spans="1:34" s="51" customFormat="1" ht="13.9" customHeight="1" x14ac:dyDescent="0.2">
      <c r="A26" s="48">
        <v>506</v>
      </c>
      <c r="B26" s="48" t="s">
        <v>502</v>
      </c>
      <c r="C26" s="49">
        <v>1</v>
      </c>
      <c r="D26" s="49">
        <v>6.3033515026007843</v>
      </c>
      <c r="E26" s="49">
        <v>45.701088049164476</v>
      </c>
      <c r="F26" s="49" t="s">
        <v>39</v>
      </c>
      <c r="G26" s="49" t="s">
        <v>39</v>
      </c>
      <c r="H26" s="49" t="s">
        <v>39</v>
      </c>
      <c r="I26" s="49">
        <v>22.669933795848415</v>
      </c>
      <c r="J26" s="49">
        <v>8.6497987757330197</v>
      </c>
      <c r="K26" s="49" t="s">
        <v>39</v>
      </c>
      <c r="L26" s="49" t="s">
        <v>39</v>
      </c>
      <c r="M26" s="49" t="s">
        <v>39</v>
      </c>
      <c r="N26" s="50" t="s">
        <v>39</v>
      </c>
      <c r="O26" s="50" t="s">
        <v>39</v>
      </c>
      <c r="P26" s="50">
        <v>96.635856102144089</v>
      </c>
      <c r="Q26" s="50" t="s">
        <v>39</v>
      </c>
      <c r="R26" s="50">
        <v>129.10720310954162</v>
      </c>
      <c r="S26" s="50" t="s">
        <v>39</v>
      </c>
      <c r="T26" s="50" t="s">
        <v>39</v>
      </c>
      <c r="U26" s="50">
        <v>67.044660202533436</v>
      </c>
      <c r="V26" s="50" t="s">
        <v>39</v>
      </c>
      <c r="W26" s="50">
        <v>6.6845448565728569</v>
      </c>
      <c r="AH26" s="52"/>
    </row>
    <row r="27" spans="1:34" s="51" customFormat="1" ht="13.9" customHeight="1" x14ac:dyDescent="0.2">
      <c r="A27" s="48">
        <v>507</v>
      </c>
      <c r="B27" s="48" t="s">
        <v>503</v>
      </c>
      <c r="C27" s="49">
        <v>1</v>
      </c>
      <c r="D27" s="49">
        <v>15.539550298600529</v>
      </c>
      <c r="E27" s="49">
        <v>64.700494083230268</v>
      </c>
      <c r="F27" s="49" t="s">
        <v>39</v>
      </c>
      <c r="G27" s="49" t="s">
        <v>39</v>
      </c>
      <c r="H27" s="49">
        <v>13.080423917538965</v>
      </c>
      <c r="I27" s="49">
        <v>41.852810261396826</v>
      </c>
      <c r="J27" s="49">
        <v>9.4993506478855974</v>
      </c>
      <c r="K27" s="49" t="s">
        <v>39</v>
      </c>
      <c r="L27" s="49" t="s">
        <v>39</v>
      </c>
      <c r="M27" s="49" t="s">
        <v>39</v>
      </c>
      <c r="N27" s="50" t="s">
        <v>39</v>
      </c>
      <c r="O27" s="50" t="s">
        <v>39</v>
      </c>
      <c r="P27" s="50">
        <v>112.34154403389581</v>
      </c>
      <c r="Q27" s="50" t="s">
        <v>39</v>
      </c>
      <c r="R27" s="50">
        <v>125.63172433601841</v>
      </c>
      <c r="S27" s="50" t="s">
        <v>39</v>
      </c>
      <c r="T27" s="50" t="s">
        <v>39</v>
      </c>
      <c r="U27" s="50">
        <v>71.769035584949009</v>
      </c>
      <c r="V27" s="50" t="s">
        <v>39</v>
      </c>
      <c r="W27" s="50">
        <v>6.8358472017317089</v>
      </c>
      <c r="AH27" s="52"/>
    </row>
    <row r="28" spans="1:34" ht="13.9" customHeight="1" x14ac:dyDescent="0.2">
      <c r="A28" s="39">
        <v>32</v>
      </c>
      <c r="B28" s="39" t="s">
        <v>504</v>
      </c>
      <c r="C28" s="40">
        <v>1</v>
      </c>
      <c r="D28" s="40">
        <v>121.69333021472148</v>
      </c>
      <c r="E28" s="40">
        <v>264.37204224687378</v>
      </c>
      <c r="F28" s="40">
        <v>36.002527103791799</v>
      </c>
      <c r="G28" s="40">
        <v>10.477993012816349</v>
      </c>
      <c r="H28" s="40">
        <v>96.93387838495812</v>
      </c>
      <c r="I28" s="40">
        <v>392.87155077414741</v>
      </c>
      <c r="J28" s="40">
        <v>16.861130369425648</v>
      </c>
      <c r="K28" s="40">
        <v>29.072674807585262</v>
      </c>
      <c r="L28" s="40">
        <v>25.836334280487549</v>
      </c>
      <c r="M28" s="40">
        <v>41.343186724244973</v>
      </c>
      <c r="N28" s="47">
        <v>7.2628300758021318</v>
      </c>
      <c r="O28" s="47">
        <v>12.025299963559638</v>
      </c>
      <c r="P28" s="47">
        <v>405.25046825068256</v>
      </c>
      <c r="Q28" s="47">
        <v>29.362091251001946</v>
      </c>
      <c r="R28" s="47">
        <v>44.548091156290795</v>
      </c>
      <c r="S28" s="47">
        <v>61.386767053858748</v>
      </c>
      <c r="T28" s="47">
        <v>67.277727570938467</v>
      </c>
      <c r="U28" s="47">
        <v>181.63633892386824</v>
      </c>
      <c r="V28" s="47">
        <v>15.188368015999547</v>
      </c>
      <c r="W28" s="47">
        <v>39.551539979726158</v>
      </c>
      <c r="AH28" s="43"/>
    </row>
    <row r="29" spans="1:34" ht="13.9" customHeight="1" x14ac:dyDescent="0.2">
      <c r="A29" s="39">
        <v>33</v>
      </c>
      <c r="B29" s="39" t="s">
        <v>505</v>
      </c>
      <c r="C29" s="40">
        <v>1</v>
      </c>
      <c r="D29" s="40">
        <v>129.610362902915</v>
      </c>
      <c r="E29" s="40">
        <v>277.73176330592651</v>
      </c>
      <c r="F29" s="40">
        <v>37.962802635393743</v>
      </c>
      <c r="G29" s="40">
        <v>11.05624747831936</v>
      </c>
      <c r="H29" s="40">
        <v>102.90720592637017</v>
      </c>
      <c r="I29" s="40">
        <v>416.9215717149109</v>
      </c>
      <c r="J29" s="40">
        <v>15.08351660636097</v>
      </c>
      <c r="K29" s="40">
        <v>31.160549160333257</v>
      </c>
      <c r="L29" s="40">
        <v>27.340601998069996</v>
      </c>
      <c r="M29" s="40">
        <v>43.683167158447283</v>
      </c>
      <c r="N29" s="47">
        <v>7.1241492164171731</v>
      </c>
      <c r="O29" s="47">
        <v>13.848525969510822</v>
      </c>
      <c r="P29" s="47">
        <v>422.55425250885997</v>
      </c>
      <c r="Q29" s="47">
        <v>31.25873769576144</v>
      </c>
      <c r="R29" s="47">
        <v>46.098043568096642</v>
      </c>
      <c r="S29" s="47">
        <v>65.5047189043608</v>
      </c>
      <c r="T29" s="47">
        <v>71.925318004235322</v>
      </c>
      <c r="U29" s="47">
        <v>203.48176998018062</v>
      </c>
      <c r="V29" s="47">
        <v>16.058624943502437</v>
      </c>
      <c r="W29" s="47">
        <v>40.891917523203311</v>
      </c>
      <c r="AH29" s="43"/>
    </row>
    <row r="30" spans="1:34" ht="13.9" customHeight="1" x14ac:dyDescent="0.2">
      <c r="A30" s="39">
        <v>34</v>
      </c>
      <c r="B30" s="39" t="s">
        <v>506</v>
      </c>
      <c r="C30" s="40">
        <v>1</v>
      </c>
      <c r="D30" s="40">
        <v>132.68669167242277</v>
      </c>
      <c r="E30" s="40">
        <v>280.64924082899199</v>
      </c>
      <c r="F30" s="40">
        <v>38.949962225619807</v>
      </c>
      <c r="G30" s="40">
        <v>11.482207284546735</v>
      </c>
      <c r="H30" s="40">
        <v>105.56672567761403</v>
      </c>
      <c r="I30" s="40">
        <v>429.04031687589708</v>
      </c>
      <c r="J30" s="40">
        <v>19.308489678730176</v>
      </c>
      <c r="K30" s="40">
        <v>32.018777586034275</v>
      </c>
      <c r="L30" s="40">
        <v>28.915931152505358</v>
      </c>
      <c r="M30" s="40">
        <v>43.485633727384034</v>
      </c>
      <c r="N30" s="47">
        <v>7.3834798077852479</v>
      </c>
      <c r="O30" s="47">
        <v>11.382016272846215</v>
      </c>
      <c r="P30" s="47">
        <v>429.66378406468704</v>
      </c>
      <c r="Q30" s="47">
        <v>32.060364247690813</v>
      </c>
      <c r="R30" s="47">
        <v>37.551934358632558</v>
      </c>
      <c r="S30" s="47">
        <v>67.068040373002674</v>
      </c>
      <c r="T30" s="47">
        <v>73.788769213480663</v>
      </c>
      <c r="U30" s="47">
        <v>209.04358793200481</v>
      </c>
      <c r="V30" s="47">
        <v>16.342023016100256</v>
      </c>
      <c r="W30" s="47">
        <v>41.013191748123937</v>
      </c>
      <c r="AH30" s="43"/>
    </row>
    <row r="31" spans="1:34" ht="13.9" customHeight="1" x14ac:dyDescent="0.2">
      <c r="A31" s="39">
        <v>140</v>
      </c>
      <c r="B31" s="39" t="s">
        <v>507</v>
      </c>
      <c r="C31" s="40">
        <v>1</v>
      </c>
      <c r="D31" s="40">
        <v>138.81585885482522</v>
      </c>
      <c r="E31" s="40">
        <v>297.18241749469667</v>
      </c>
      <c r="F31" s="40">
        <v>38.359563927361648</v>
      </c>
      <c r="G31" s="40">
        <v>11.795746626966059</v>
      </c>
      <c r="H31" s="40">
        <v>109.17502440611385</v>
      </c>
      <c r="I31" s="40">
        <v>429.86831948748528</v>
      </c>
      <c r="J31" s="40">
        <v>8.5039291508510875</v>
      </c>
      <c r="K31" s="40">
        <v>31.294126213771619</v>
      </c>
      <c r="L31" s="40">
        <v>28.799969537544058</v>
      </c>
      <c r="M31" s="40">
        <v>41.492399717100703</v>
      </c>
      <c r="N31" s="47" t="s">
        <v>39</v>
      </c>
      <c r="O31" s="47">
        <v>9.3669591469112792</v>
      </c>
      <c r="P31" s="47">
        <v>426.00076218668272</v>
      </c>
      <c r="Q31" s="47">
        <v>33.229510656142658</v>
      </c>
      <c r="R31" s="47">
        <v>10.837680989270254</v>
      </c>
      <c r="S31" s="47">
        <v>67.070353540245506</v>
      </c>
      <c r="T31" s="47">
        <v>69.951269705173473</v>
      </c>
      <c r="U31" s="47">
        <v>203.16593554355995</v>
      </c>
      <c r="V31" s="47">
        <v>17.121669751541546</v>
      </c>
      <c r="W31" s="47">
        <v>40.660670917343758</v>
      </c>
      <c r="AH31" s="43"/>
    </row>
    <row r="32" spans="1:34" ht="13.9" customHeight="1" x14ac:dyDescent="0.2">
      <c r="A32" s="39">
        <v>141</v>
      </c>
      <c r="B32" s="39" t="s">
        <v>508</v>
      </c>
      <c r="C32" s="40">
        <v>1</v>
      </c>
      <c r="D32" s="40">
        <v>117.10959789191433</v>
      </c>
      <c r="E32" s="40">
        <v>216.9030788724429</v>
      </c>
      <c r="F32" s="40">
        <v>32.832037552315121</v>
      </c>
      <c r="G32" s="40">
        <v>9.8571036286163327</v>
      </c>
      <c r="H32" s="40">
        <v>92.703065507704224</v>
      </c>
      <c r="I32" s="40">
        <v>360.91363628922619</v>
      </c>
      <c r="J32" s="40">
        <v>18.519002104144409</v>
      </c>
      <c r="K32" s="40">
        <v>26.524591185801285</v>
      </c>
      <c r="L32" s="40">
        <v>23.432804042797255</v>
      </c>
      <c r="M32" s="40">
        <v>33.898131352463764</v>
      </c>
      <c r="N32" s="47" t="s">
        <v>39</v>
      </c>
      <c r="O32" s="47">
        <v>8.3130247618007367</v>
      </c>
      <c r="P32" s="47">
        <v>381.80000691222637</v>
      </c>
      <c r="Q32" s="47">
        <v>27.208590349955436</v>
      </c>
      <c r="R32" s="47">
        <v>29.757562653728833</v>
      </c>
      <c r="S32" s="47">
        <v>55.485046393895701</v>
      </c>
      <c r="T32" s="47">
        <v>56.123348431507722</v>
      </c>
      <c r="U32" s="47">
        <v>163.3748616036232</v>
      </c>
      <c r="V32" s="47">
        <v>14.348863643861577</v>
      </c>
      <c r="W32" s="47">
        <v>36.087948079171206</v>
      </c>
      <c r="AH32" s="43"/>
    </row>
    <row r="33" spans="1:34" ht="13.9" customHeight="1" x14ac:dyDescent="0.2">
      <c r="A33" s="39">
        <v>142</v>
      </c>
      <c r="B33" s="39" t="s">
        <v>509</v>
      </c>
      <c r="C33" s="40">
        <v>1</v>
      </c>
      <c r="D33" s="40">
        <v>120.1545449486339</v>
      </c>
      <c r="E33" s="40">
        <v>243.65418100917432</v>
      </c>
      <c r="F33" s="40">
        <v>33.867241875811899</v>
      </c>
      <c r="G33" s="40">
        <v>9.3558258311494402</v>
      </c>
      <c r="H33" s="40">
        <v>95.196085432336517</v>
      </c>
      <c r="I33" s="40">
        <v>371.94937943566902</v>
      </c>
      <c r="J33" s="40">
        <v>8.9489111881912642</v>
      </c>
      <c r="K33" s="40">
        <v>27.345759465230323</v>
      </c>
      <c r="L33" s="40">
        <v>24.072786505213028</v>
      </c>
      <c r="M33" s="40">
        <v>33.957581125211128</v>
      </c>
      <c r="N33" s="47" t="s">
        <v>39</v>
      </c>
      <c r="O33" s="47" t="s">
        <v>39</v>
      </c>
      <c r="P33" s="47">
        <v>388.93307133789682</v>
      </c>
      <c r="Q33" s="47">
        <v>28.065738531799678</v>
      </c>
      <c r="R33" s="47">
        <v>31.120344888479217</v>
      </c>
      <c r="S33" s="47">
        <v>57.409559303532568</v>
      </c>
      <c r="T33" s="47">
        <v>61.836985098401165</v>
      </c>
      <c r="U33" s="47">
        <v>167.76379812995998</v>
      </c>
      <c r="V33" s="47">
        <v>14.684585927390678</v>
      </c>
      <c r="W33" s="47">
        <v>36.181199959508284</v>
      </c>
      <c r="AH33" s="43"/>
    </row>
    <row r="34" spans="1:34" ht="13.9" customHeight="1" x14ac:dyDescent="0.2">
      <c r="A34" s="39">
        <v>290</v>
      </c>
      <c r="B34" s="39" t="s">
        <v>510</v>
      </c>
      <c r="C34" s="40">
        <v>1</v>
      </c>
      <c r="D34" s="40">
        <v>8.9713909325990304</v>
      </c>
      <c r="E34" s="40">
        <v>29.001560466248005</v>
      </c>
      <c r="F34" s="40" t="s">
        <v>39</v>
      </c>
      <c r="G34" s="40" t="s">
        <v>39</v>
      </c>
      <c r="H34" s="40" t="s">
        <v>39</v>
      </c>
      <c r="I34" s="40">
        <v>32.967501990061891</v>
      </c>
      <c r="J34" s="40">
        <v>2.5579436565017173</v>
      </c>
      <c r="K34" s="40">
        <v>4.6008892615120001</v>
      </c>
      <c r="L34" s="40">
        <v>2.8004502860069476</v>
      </c>
      <c r="M34" s="40">
        <v>2.560618275079658</v>
      </c>
      <c r="N34" s="47" t="s">
        <v>39</v>
      </c>
      <c r="O34" s="47" t="s">
        <v>39</v>
      </c>
      <c r="P34" s="47">
        <v>32.133590986630587</v>
      </c>
      <c r="Q34" s="47">
        <v>7.1994329439651779</v>
      </c>
      <c r="R34" s="47" t="s">
        <v>39</v>
      </c>
      <c r="S34" s="47">
        <v>4.9645503936681612</v>
      </c>
      <c r="T34" s="47" t="s">
        <v>39</v>
      </c>
      <c r="U34" s="47">
        <v>30.32628977240293</v>
      </c>
      <c r="V34" s="47" t="s">
        <v>39</v>
      </c>
      <c r="W34" s="47" t="s">
        <v>39</v>
      </c>
      <c r="AH34" s="43"/>
    </row>
    <row r="35" spans="1:34" ht="13.9" customHeight="1" x14ac:dyDescent="0.2">
      <c r="A35" s="39">
        <v>291</v>
      </c>
      <c r="B35" s="39" t="s">
        <v>511</v>
      </c>
      <c r="C35" s="40">
        <v>1</v>
      </c>
      <c r="D35" s="40">
        <v>113.14738613783246</v>
      </c>
      <c r="E35" s="40">
        <v>190.1034742610515</v>
      </c>
      <c r="F35" s="40">
        <v>22.685944561529304</v>
      </c>
      <c r="G35" s="40">
        <v>8.7605121327842514</v>
      </c>
      <c r="H35" s="40">
        <v>84.919399838975295</v>
      </c>
      <c r="I35" s="40">
        <v>252.23717098523053</v>
      </c>
      <c r="J35" s="40">
        <v>12.367502995744816</v>
      </c>
      <c r="K35" s="40">
        <v>15.85867076356498</v>
      </c>
      <c r="L35" s="40">
        <v>16.317011830598478</v>
      </c>
      <c r="M35" s="40">
        <v>13.032913666579798</v>
      </c>
      <c r="N35" s="47" t="s">
        <v>39</v>
      </c>
      <c r="O35" s="47" t="s">
        <v>39</v>
      </c>
      <c r="P35" s="47">
        <v>294.17176713797983</v>
      </c>
      <c r="Q35" s="47">
        <v>20.119416144784442</v>
      </c>
      <c r="R35" s="47">
        <v>70.019935736168208</v>
      </c>
      <c r="S35" s="47" t="s">
        <v>39</v>
      </c>
      <c r="T35" s="47">
        <v>35.214108048849489</v>
      </c>
      <c r="U35" s="47">
        <v>149.64785932292824</v>
      </c>
      <c r="V35" s="47">
        <v>13.494026995676457</v>
      </c>
      <c r="W35" s="47">
        <v>31.901561087322925</v>
      </c>
      <c r="AH35" s="43"/>
    </row>
    <row r="36" spans="1:34" ht="13.9" customHeight="1" x14ac:dyDescent="0.2">
      <c r="A36" s="39">
        <v>292</v>
      </c>
      <c r="B36" s="39" t="s">
        <v>512</v>
      </c>
      <c r="C36" s="40">
        <v>1</v>
      </c>
      <c r="D36" s="40">
        <v>115.61459823903704</v>
      </c>
      <c r="E36" s="40">
        <v>209.89756419238222</v>
      </c>
      <c r="F36" s="40">
        <v>26.812940542302726</v>
      </c>
      <c r="G36" s="40">
        <v>10.018221154877105</v>
      </c>
      <c r="H36" s="40">
        <v>90.682275665169939</v>
      </c>
      <c r="I36" s="40">
        <v>297.20335342907907</v>
      </c>
      <c r="J36" s="40">
        <v>12.251956336873597</v>
      </c>
      <c r="K36" s="40">
        <v>18.854268965418964</v>
      </c>
      <c r="L36" s="40">
        <v>18.709489066356699</v>
      </c>
      <c r="M36" s="40">
        <v>20.297304984914547</v>
      </c>
      <c r="N36" s="47" t="s">
        <v>39</v>
      </c>
      <c r="O36" s="47">
        <v>9.5134147076193845</v>
      </c>
      <c r="P36" s="47">
        <v>321.7147400658904</v>
      </c>
      <c r="Q36" s="47">
        <v>22.866383231286623</v>
      </c>
      <c r="R36" s="47">
        <v>64.987746250951417</v>
      </c>
      <c r="S36" s="47">
        <v>41.015830100443779</v>
      </c>
      <c r="T36" s="47">
        <v>43.242515039532343</v>
      </c>
      <c r="U36" s="47">
        <v>144.57143407255276</v>
      </c>
      <c r="V36" s="47">
        <v>14.387213792153526</v>
      </c>
      <c r="W36" s="47">
        <v>36.5434451400616</v>
      </c>
      <c r="AH36" s="43"/>
    </row>
    <row r="37" spans="1:34" s="51" customFormat="1" ht="13.9" customHeight="1" x14ac:dyDescent="0.2">
      <c r="A37" s="48">
        <v>42</v>
      </c>
      <c r="B37" s="48" t="s">
        <v>513</v>
      </c>
      <c r="C37" s="49">
        <v>1</v>
      </c>
      <c r="D37" s="49">
        <v>129.59790634761472</v>
      </c>
      <c r="E37" s="49">
        <v>266.52712407303068</v>
      </c>
      <c r="F37" s="49">
        <v>37.678306764304324</v>
      </c>
      <c r="G37" s="49">
        <v>11.027372357606923</v>
      </c>
      <c r="H37" s="49">
        <v>102.75797454497884</v>
      </c>
      <c r="I37" s="49">
        <v>415.89916229387637</v>
      </c>
      <c r="J37" s="49">
        <v>18.906999754157148</v>
      </c>
      <c r="K37" s="49">
        <v>31.126335362781205</v>
      </c>
      <c r="L37" s="49">
        <v>27.910160712850704</v>
      </c>
      <c r="M37" s="49">
        <v>44.91796015391224</v>
      </c>
      <c r="N37" s="50">
        <v>7.0951209383537455</v>
      </c>
      <c r="O37" s="50">
        <v>13.429238160759896</v>
      </c>
      <c r="P37" s="50">
        <v>419.1429685274374</v>
      </c>
      <c r="Q37" s="50">
        <v>31.559390565460944</v>
      </c>
      <c r="R37" s="50">
        <v>32.126212527010082</v>
      </c>
      <c r="S37" s="50">
        <v>65.950159411189404</v>
      </c>
      <c r="T37" s="50">
        <v>71.900580704810039</v>
      </c>
      <c r="U37" s="50">
        <v>199.44820907833932</v>
      </c>
      <c r="V37" s="50">
        <v>15.960781006208299</v>
      </c>
      <c r="W37" s="50">
        <v>40.70296904926024</v>
      </c>
      <c r="AH37" s="52"/>
    </row>
    <row r="38" spans="1:34" s="51" customFormat="1" ht="13.9" customHeight="1" x14ac:dyDescent="0.2">
      <c r="A38" s="48">
        <v>43</v>
      </c>
      <c r="B38" s="48" t="s">
        <v>514</v>
      </c>
      <c r="C38" s="49">
        <v>1</v>
      </c>
      <c r="D38" s="49">
        <v>139.41236517663236</v>
      </c>
      <c r="E38" s="49">
        <v>306.04737361812556</v>
      </c>
      <c r="F38" s="49">
        <v>40.721750621928251</v>
      </c>
      <c r="G38" s="49">
        <v>11.865526057812305</v>
      </c>
      <c r="H38" s="49">
        <v>110.4424917315102</v>
      </c>
      <c r="I38" s="49">
        <v>447.58240647811266</v>
      </c>
      <c r="J38" s="49">
        <v>20.204234466457439</v>
      </c>
      <c r="K38" s="49">
        <v>33.059530599310342</v>
      </c>
      <c r="L38" s="49">
        <v>31.517348954729385</v>
      </c>
      <c r="M38" s="49">
        <v>44.020458800227793</v>
      </c>
      <c r="N38" s="50">
        <v>7.9945488280441204</v>
      </c>
      <c r="O38" s="50">
        <v>14.381528589008004</v>
      </c>
      <c r="P38" s="50">
        <v>440.06929993840623</v>
      </c>
      <c r="Q38" s="50">
        <v>34.036178671751401</v>
      </c>
      <c r="R38" s="50">
        <v>27.866842249700394</v>
      </c>
      <c r="S38" s="50">
        <v>71.01797580655213</v>
      </c>
      <c r="T38" s="50">
        <v>75.818457578602732</v>
      </c>
      <c r="U38" s="50">
        <v>225.13469419913883</v>
      </c>
      <c r="V38" s="50">
        <v>17.128967748602403</v>
      </c>
      <c r="W38" s="50">
        <v>42.509786769855367</v>
      </c>
      <c r="AH38" s="52"/>
    </row>
    <row r="39" spans="1:34" s="51" customFormat="1" ht="13.9" customHeight="1" x14ac:dyDescent="0.2">
      <c r="A39" s="48">
        <v>44</v>
      </c>
      <c r="B39" s="48" t="s">
        <v>515</v>
      </c>
      <c r="C39" s="49">
        <v>1</v>
      </c>
      <c r="D39" s="49">
        <v>120.0296975188683</v>
      </c>
      <c r="E39" s="49">
        <v>247.72677336903078</v>
      </c>
      <c r="F39" s="49">
        <v>34.805041849413087</v>
      </c>
      <c r="G39" s="49">
        <v>10.325528337587706</v>
      </c>
      <c r="H39" s="49">
        <v>95.364727525885144</v>
      </c>
      <c r="I39" s="49">
        <v>386.77066122038713</v>
      </c>
      <c r="J39" s="49">
        <v>17.446735674805218</v>
      </c>
      <c r="K39" s="49">
        <v>28.873483505405883</v>
      </c>
      <c r="L39" s="49">
        <v>25.787129504303344</v>
      </c>
      <c r="M39" s="49">
        <v>40.037026490861848</v>
      </c>
      <c r="N39" s="50">
        <v>5.9125342156517977</v>
      </c>
      <c r="O39" s="50">
        <v>12.293281932594908</v>
      </c>
      <c r="P39" s="50">
        <v>398.89586874127053</v>
      </c>
      <c r="Q39" s="50">
        <v>29.066049723286945</v>
      </c>
      <c r="R39" s="50">
        <v>40.823780098309712</v>
      </c>
      <c r="S39" s="50">
        <v>61.352446416902445</v>
      </c>
      <c r="T39" s="50">
        <v>65.56450884337363</v>
      </c>
      <c r="U39" s="50">
        <v>181.11868633005128</v>
      </c>
      <c r="V39" s="50">
        <v>14.704144455600058</v>
      </c>
      <c r="W39" s="50">
        <v>37.584717487744683</v>
      </c>
      <c r="AH39" s="52"/>
    </row>
    <row r="40" spans="1:34" s="51" customFormat="1" ht="13.9" customHeight="1" x14ac:dyDescent="0.2">
      <c r="A40" s="48">
        <v>170</v>
      </c>
      <c r="B40" s="48" t="s">
        <v>516</v>
      </c>
      <c r="C40" s="49">
        <v>1</v>
      </c>
      <c r="D40" s="49">
        <v>117.14661300651773</v>
      </c>
      <c r="E40" s="49">
        <v>252.46354965561756</v>
      </c>
      <c r="F40" s="49">
        <v>32.475767243384624</v>
      </c>
      <c r="G40" s="49">
        <v>9.8873510408587517</v>
      </c>
      <c r="H40" s="49">
        <v>91.744445865543966</v>
      </c>
      <c r="I40" s="49">
        <v>360.5223843694223</v>
      </c>
      <c r="J40" s="49">
        <v>5.7475058389914366</v>
      </c>
      <c r="K40" s="49">
        <v>25.360086154558111</v>
      </c>
      <c r="L40" s="49">
        <v>23.16821002425521</v>
      </c>
      <c r="M40" s="49">
        <v>34.366778565113393</v>
      </c>
      <c r="N40" s="50" t="s">
        <v>39</v>
      </c>
      <c r="O40" s="50">
        <v>14.890809745433062</v>
      </c>
      <c r="P40" s="50">
        <v>377.49298180716966</v>
      </c>
      <c r="Q40" s="50">
        <v>27.350632140064732</v>
      </c>
      <c r="R40" s="50">
        <v>30.716789356128515</v>
      </c>
      <c r="S40" s="50">
        <v>56.023281601189993</v>
      </c>
      <c r="T40" s="50">
        <v>56.726369018281638</v>
      </c>
      <c r="U40" s="50">
        <v>162.67366964331828</v>
      </c>
      <c r="V40" s="50">
        <v>14.651021552458683</v>
      </c>
      <c r="W40" s="50">
        <v>34.515949456310267</v>
      </c>
      <c r="AH40" s="52"/>
    </row>
    <row r="41" spans="1:34" s="51" customFormat="1" ht="13.9" customHeight="1" x14ac:dyDescent="0.2">
      <c r="A41" s="48">
        <v>171</v>
      </c>
      <c r="B41" s="48" t="s">
        <v>517</v>
      </c>
      <c r="C41" s="49">
        <v>1</v>
      </c>
      <c r="D41" s="49">
        <v>120.44680861556306</v>
      </c>
      <c r="E41" s="49">
        <v>262.41468646858732</v>
      </c>
      <c r="F41" s="49">
        <v>34.003191123230152</v>
      </c>
      <c r="G41" s="49">
        <v>10.262152870110084</v>
      </c>
      <c r="H41" s="49">
        <v>95.476736032757913</v>
      </c>
      <c r="I41" s="49">
        <v>375.80053192024604</v>
      </c>
      <c r="J41" s="49">
        <v>5.9569603510612321</v>
      </c>
      <c r="K41" s="49">
        <v>26.773199159140354</v>
      </c>
      <c r="L41" s="49">
        <v>25.048391681870875</v>
      </c>
      <c r="M41" s="49">
        <v>36.738921649822352</v>
      </c>
      <c r="N41" s="50" t="s">
        <v>39</v>
      </c>
      <c r="O41" s="50">
        <v>14.927261003203006</v>
      </c>
      <c r="P41" s="50">
        <v>387.4801399782429</v>
      </c>
      <c r="Q41" s="50">
        <v>28.763209731699281</v>
      </c>
      <c r="R41" s="50">
        <v>26.926905940819829</v>
      </c>
      <c r="S41" s="50" t="s">
        <v>39</v>
      </c>
      <c r="T41" s="50">
        <v>60.18496635792004</v>
      </c>
      <c r="U41" s="50">
        <v>164.16690953445271</v>
      </c>
      <c r="V41" s="50">
        <v>15.059900099527995</v>
      </c>
      <c r="W41" s="50">
        <v>39.248620695925666</v>
      </c>
      <c r="AH41" s="52"/>
    </row>
    <row r="42" spans="1:34" s="51" customFormat="1" ht="13.9" customHeight="1" x14ac:dyDescent="0.2">
      <c r="A42" s="48">
        <v>172</v>
      </c>
      <c r="B42" s="48" t="s">
        <v>518</v>
      </c>
      <c r="C42" s="49">
        <v>1</v>
      </c>
      <c r="D42" s="49">
        <v>113.53916956540753</v>
      </c>
      <c r="E42" s="49">
        <v>227.52745370591134</v>
      </c>
      <c r="F42" s="49">
        <v>30.09874227633313</v>
      </c>
      <c r="G42" s="49">
        <v>9.6129736444236897</v>
      </c>
      <c r="H42" s="49">
        <v>88.452038389611715</v>
      </c>
      <c r="I42" s="49">
        <v>344.05956253838082</v>
      </c>
      <c r="J42" s="49">
        <v>6.2203787332242655</v>
      </c>
      <c r="K42" s="49">
        <v>23.824725687801472</v>
      </c>
      <c r="L42" s="49">
        <v>22.090424625329174</v>
      </c>
      <c r="M42" s="49" t="s">
        <v>39</v>
      </c>
      <c r="N42" s="50" t="s">
        <v>39</v>
      </c>
      <c r="O42" s="50">
        <v>10.644943916539326</v>
      </c>
      <c r="P42" s="50">
        <v>358.07017424268753</v>
      </c>
      <c r="Q42" s="50">
        <v>25.70986060786786</v>
      </c>
      <c r="R42" s="50">
        <v>54.463248475212339</v>
      </c>
      <c r="S42" s="50" t="s">
        <v>39</v>
      </c>
      <c r="T42" s="50">
        <v>52.220557025271418</v>
      </c>
      <c r="U42" s="50">
        <v>146.53998900221694</v>
      </c>
      <c r="V42" s="50">
        <v>13.991242455378</v>
      </c>
      <c r="W42" s="50">
        <v>38.291299029684787</v>
      </c>
      <c r="AH42" s="52"/>
    </row>
    <row r="43" spans="1:34" s="51" customFormat="1" ht="13.9" customHeight="1" x14ac:dyDescent="0.2">
      <c r="A43" s="48">
        <v>300</v>
      </c>
      <c r="B43" s="48" t="s">
        <v>519</v>
      </c>
      <c r="C43" s="49">
        <v>1</v>
      </c>
      <c r="D43" s="49">
        <v>103.16166209422397</v>
      </c>
      <c r="E43" s="49">
        <v>196.87287937007025</v>
      </c>
      <c r="F43" s="49">
        <v>19.067236631138719</v>
      </c>
      <c r="G43" s="49">
        <v>8.9714272179654966</v>
      </c>
      <c r="H43" s="49">
        <v>73.632016293089904</v>
      </c>
      <c r="I43" s="49">
        <v>249.46945291082048</v>
      </c>
      <c r="J43" s="49">
        <v>12.441379339977296</v>
      </c>
      <c r="K43" s="49">
        <v>14.983426083561003</v>
      </c>
      <c r="L43" s="49">
        <v>12.121267874683349</v>
      </c>
      <c r="M43" s="49">
        <v>9.2439268805209203</v>
      </c>
      <c r="N43" s="50" t="s">
        <v>39</v>
      </c>
      <c r="O43" s="50" t="s">
        <v>39</v>
      </c>
      <c r="P43" s="50">
        <v>281.88637866338308</v>
      </c>
      <c r="Q43" s="50">
        <v>17.420694543971088</v>
      </c>
      <c r="R43" s="50">
        <v>65.942185517525516</v>
      </c>
      <c r="S43" s="50">
        <v>29.369206788691585</v>
      </c>
      <c r="T43" s="50">
        <v>28.060334847060002</v>
      </c>
      <c r="U43" s="50">
        <v>126.66496080304771</v>
      </c>
      <c r="V43" s="50">
        <v>13.609991764716867</v>
      </c>
      <c r="W43" s="50">
        <v>30.13199307897608</v>
      </c>
      <c r="AH43" s="52"/>
    </row>
    <row r="44" spans="1:34" s="51" customFormat="1" ht="13.9" customHeight="1" x14ac:dyDescent="0.2">
      <c r="A44" s="48">
        <v>301</v>
      </c>
      <c r="B44" s="48" t="s">
        <v>520</v>
      </c>
      <c r="C44" s="49">
        <v>1</v>
      </c>
      <c r="D44" s="49">
        <v>126.43758866361705</v>
      </c>
      <c r="E44" s="49">
        <v>256.95174041911116</v>
      </c>
      <c r="F44" s="49">
        <v>27.325091077175347</v>
      </c>
      <c r="G44" s="49">
        <v>11.803982917274874</v>
      </c>
      <c r="H44" s="49">
        <v>94.494599950368951</v>
      </c>
      <c r="I44" s="49">
        <v>331.12334328937914</v>
      </c>
      <c r="J44" s="49">
        <v>14.228235970561423</v>
      </c>
      <c r="K44" s="49">
        <v>20.779514129686753</v>
      </c>
      <c r="L44" s="49">
        <v>18.443672904162675</v>
      </c>
      <c r="M44" s="49">
        <v>17.921305587556738</v>
      </c>
      <c r="N44" s="50" t="s">
        <v>39</v>
      </c>
      <c r="O44" s="50">
        <v>8.3136008162864741</v>
      </c>
      <c r="P44" s="50">
        <v>342.33214866705947</v>
      </c>
      <c r="Q44" s="50">
        <v>24.050754483979862</v>
      </c>
      <c r="R44" s="50">
        <v>28.625111828572912</v>
      </c>
      <c r="S44" s="50">
        <v>44.168219344890773</v>
      </c>
      <c r="T44" s="50">
        <v>41.999729019991094</v>
      </c>
      <c r="U44" s="50">
        <v>135.88994315955281</v>
      </c>
      <c r="V44" s="50">
        <v>16.352586229644903</v>
      </c>
      <c r="W44" s="50">
        <v>35.810497306593135</v>
      </c>
      <c r="AH44" s="52"/>
    </row>
    <row r="45" spans="1:34" s="51" customFormat="1" ht="13.9" customHeight="1" x14ac:dyDescent="0.2">
      <c r="A45" s="48">
        <v>302</v>
      </c>
      <c r="B45" s="48" t="s">
        <v>521</v>
      </c>
      <c r="C45" s="49">
        <v>1</v>
      </c>
      <c r="D45" s="49">
        <v>110.12804853515556</v>
      </c>
      <c r="E45" s="49">
        <v>194.23698794876211</v>
      </c>
      <c r="F45" s="49">
        <v>16.278896834265559</v>
      </c>
      <c r="G45" s="49">
        <v>9.5000512003395734</v>
      </c>
      <c r="H45" s="49">
        <v>77.87505767041911</v>
      </c>
      <c r="I45" s="49">
        <v>207.38066848726865</v>
      </c>
      <c r="J45" s="49">
        <v>13.9274741475255</v>
      </c>
      <c r="K45" s="49">
        <v>11.445211306583076</v>
      </c>
      <c r="L45" s="49">
        <v>9.2106543304517228</v>
      </c>
      <c r="M45" s="49" t="s">
        <v>39</v>
      </c>
      <c r="N45" s="50" t="s">
        <v>39</v>
      </c>
      <c r="O45" s="50" t="s">
        <v>39</v>
      </c>
      <c r="P45" s="50">
        <v>256.40604251480801</v>
      </c>
      <c r="Q45" s="50">
        <v>14.800462524616369</v>
      </c>
      <c r="R45" s="50">
        <v>50.065629508629804</v>
      </c>
      <c r="S45" s="50">
        <v>21.605592870307746</v>
      </c>
      <c r="T45" s="50">
        <v>20.156731217383612</v>
      </c>
      <c r="U45" s="50">
        <v>152.50891838889061</v>
      </c>
      <c r="V45" s="50">
        <v>13.341214418491353</v>
      </c>
      <c r="W45" s="50">
        <v>26.589326266892279</v>
      </c>
      <c r="AH45" s="52"/>
    </row>
    <row r="46" spans="1:34" ht="13.9" customHeight="1" x14ac:dyDescent="0.2">
      <c r="A46" s="39">
        <v>52</v>
      </c>
      <c r="B46" s="39" t="s">
        <v>522</v>
      </c>
      <c r="C46" s="40">
        <v>1</v>
      </c>
      <c r="D46" s="40">
        <v>118.53641434157343</v>
      </c>
      <c r="E46" s="40">
        <v>267.21168510782337</v>
      </c>
      <c r="F46" s="40">
        <v>35.337784226602871</v>
      </c>
      <c r="G46" s="40">
        <v>10.320994862734484</v>
      </c>
      <c r="H46" s="40">
        <v>94.976274188676157</v>
      </c>
      <c r="I46" s="40">
        <v>384.86461791048379</v>
      </c>
      <c r="J46" s="40">
        <v>14.028451479370112</v>
      </c>
      <c r="K46" s="40">
        <v>28.285651928172182</v>
      </c>
      <c r="L46" s="40">
        <v>25.884273621439185</v>
      </c>
      <c r="M46" s="40">
        <v>40.090127543272821</v>
      </c>
      <c r="N46" s="47">
        <v>7.2659239104010505</v>
      </c>
      <c r="O46" s="47">
        <v>13.584542956896234</v>
      </c>
      <c r="P46" s="47">
        <v>396.18464221081069</v>
      </c>
      <c r="Q46" s="47">
        <v>28.852904588034733</v>
      </c>
      <c r="R46" s="47">
        <v>51.02781394512904</v>
      </c>
      <c r="S46" s="47">
        <v>59.33438935734555</v>
      </c>
      <c r="T46" s="47">
        <v>64.970915022093479</v>
      </c>
      <c r="U46" s="47">
        <v>191.15192262958715</v>
      </c>
      <c r="V46" s="47">
        <v>14.812820521920326</v>
      </c>
      <c r="W46" s="47">
        <v>37.976577766998325</v>
      </c>
      <c r="AH46" s="43"/>
    </row>
    <row r="47" spans="1:34" ht="13.9" customHeight="1" x14ac:dyDescent="0.2">
      <c r="A47" s="39">
        <v>53</v>
      </c>
      <c r="B47" s="39" t="s">
        <v>523</v>
      </c>
      <c r="C47" s="40">
        <v>1</v>
      </c>
      <c r="D47" s="40">
        <v>116.21182098399426</v>
      </c>
      <c r="E47" s="40">
        <v>261.84142280169311</v>
      </c>
      <c r="F47" s="40">
        <v>34.589170796103517</v>
      </c>
      <c r="G47" s="40">
        <v>10.066048950758701</v>
      </c>
      <c r="H47" s="40">
        <v>93.151743280137424</v>
      </c>
      <c r="I47" s="40">
        <v>377.43133413528443</v>
      </c>
      <c r="J47" s="40">
        <v>13.77013095178993</v>
      </c>
      <c r="K47" s="40">
        <v>27.76895909224908</v>
      </c>
      <c r="L47" s="40">
        <v>25.349072639107632</v>
      </c>
      <c r="M47" s="40">
        <v>39.383862403917469</v>
      </c>
      <c r="N47" s="47">
        <v>6.8752517961200699</v>
      </c>
      <c r="O47" s="47">
        <v>12.898321968567279</v>
      </c>
      <c r="P47" s="47">
        <v>391.43166211525727</v>
      </c>
      <c r="Q47" s="47">
        <v>28.409259463782043</v>
      </c>
      <c r="R47" s="47">
        <v>50.154772496635772</v>
      </c>
      <c r="S47" s="47">
        <v>57.746108901242906</v>
      </c>
      <c r="T47" s="47">
        <v>63.368458318456817</v>
      </c>
      <c r="U47" s="47">
        <v>186.37194524491051</v>
      </c>
      <c r="V47" s="47">
        <v>14.437281347463699</v>
      </c>
      <c r="W47" s="47">
        <v>36.995984373688664</v>
      </c>
      <c r="AH47" s="43"/>
    </row>
    <row r="48" spans="1:34" ht="13.9" customHeight="1" x14ac:dyDescent="0.2">
      <c r="A48" s="39">
        <v>54</v>
      </c>
      <c r="B48" s="39" t="s">
        <v>524</v>
      </c>
      <c r="C48" s="40">
        <v>1</v>
      </c>
      <c r="D48" s="40">
        <v>108.65294789628618</v>
      </c>
      <c r="E48" s="40">
        <v>228.50123835822558</v>
      </c>
      <c r="F48" s="40">
        <v>32.333548929853009</v>
      </c>
      <c r="G48" s="40">
        <v>9.3209644819779296</v>
      </c>
      <c r="H48" s="40">
        <v>86.931330691449574</v>
      </c>
      <c r="I48" s="40">
        <v>352.87155730328232</v>
      </c>
      <c r="J48" s="40">
        <v>15.539216466794207</v>
      </c>
      <c r="K48" s="40">
        <v>26.557182566036481</v>
      </c>
      <c r="L48" s="40">
        <v>23.222314042166378</v>
      </c>
      <c r="M48" s="40">
        <v>36.597909848032856</v>
      </c>
      <c r="N48" s="47">
        <v>6.5263377248075392</v>
      </c>
      <c r="O48" s="47">
        <v>11.580690459075818</v>
      </c>
      <c r="P48" s="47">
        <v>373.57730132361337</v>
      </c>
      <c r="Q48" s="47">
        <v>26.293520158136804</v>
      </c>
      <c r="R48" s="47">
        <v>74.341463810026156</v>
      </c>
      <c r="S48" s="47">
        <v>54.972223604798337</v>
      </c>
      <c r="T48" s="47">
        <v>60.078857861920255</v>
      </c>
      <c r="U48" s="47">
        <v>167.56477259926865</v>
      </c>
      <c r="V48" s="47">
        <v>13.532349870611259</v>
      </c>
      <c r="W48" s="47">
        <v>36.291512682493106</v>
      </c>
      <c r="AH48" s="43"/>
    </row>
    <row r="49" spans="1:34" ht="13.9" customHeight="1" x14ac:dyDescent="0.2">
      <c r="A49" s="39">
        <v>150</v>
      </c>
      <c r="B49" s="39" t="s">
        <v>525</v>
      </c>
      <c r="C49" s="40">
        <v>1</v>
      </c>
      <c r="D49" s="40">
        <v>109.91428174727758</v>
      </c>
      <c r="E49" s="40">
        <v>226.9885493924196</v>
      </c>
      <c r="F49" s="40">
        <v>30.52143751407695</v>
      </c>
      <c r="G49" s="40">
        <v>9.1319002647244503</v>
      </c>
      <c r="H49" s="40">
        <v>88.093693717428138</v>
      </c>
      <c r="I49" s="40">
        <v>335.25744935525614</v>
      </c>
      <c r="J49" s="40">
        <v>11.488593036716882</v>
      </c>
      <c r="K49" s="40">
        <v>24.029219058484053</v>
      </c>
      <c r="L49" s="40">
        <v>21.974204903506347</v>
      </c>
      <c r="M49" s="40">
        <v>28.053160988461439</v>
      </c>
      <c r="N49" s="47" t="s">
        <v>39</v>
      </c>
      <c r="O49" s="47">
        <v>15.215857813641833</v>
      </c>
      <c r="P49" s="47">
        <v>359.60476395959836</v>
      </c>
      <c r="Q49" s="47">
        <v>25.713785419850524</v>
      </c>
      <c r="R49" s="47">
        <v>61.976620035069821</v>
      </c>
      <c r="S49" s="47">
        <v>51.861700573200778</v>
      </c>
      <c r="T49" s="47">
        <v>54.577381434274919</v>
      </c>
      <c r="U49" s="47">
        <v>169.61113038057198</v>
      </c>
      <c r="V49" s="47">
        <v>13.724021645712538</v>
      </c>
      <c r="W49" s="47">
        <v>32.347432758124818</v>
      </c>
      <c r="AH49" s="43"/>
    </row>
    <row r="50" spans="1:34" ht="13.9" customHeight="1" x14ac:dyDescent="0.2">
      <c r="A50" s="39">
        <v>151</v>
      </c>
      <c r="B50" s="39" t="s">
        <v>526</v>
      </c>
      <c r="C50" s="40">
        <v>1</v>
      </c>
      <c r="D50" s="40">
        <v>116.97238877581987</v>
      </c>
      <c r="E50" s="40">
        <v>246.48006970384503</v>
      </c>
      <c r="F50" s="40">
        <v>32.637989779172251</v>
      </c>
      <c r="G50" s="40">
        <v>9.8008695106204815</v>
      </c>
      <c r="H50" s="40">
        <v>94.037924348952671</v>
      </c>
      <c r="I50" s="40">
        <v>354.44158394951182</v>
      </c>
      <c r="J50" s="40">
        <v>12.248012116251592</v>
      </c>
      <c r="K50" s="40">
        <v>25.00707601848276</v>
      </c>
      <c r="L50" s="40">
        <v>24.936406112433957</v>
      </c>
      <c r="M50" s="40">
        <v>31.023844730729994</v>
      </c>
      <c r="N50" s="47" t="s">
        <v>39</v>
      </c>
      <c r="O50" s="47">
        <v>16.704354845373523</v>
      </c>
      <c r="P50" s="47">
        <v>378.49268107750396</v>
      </c>
      <c r="Q50" s="47">
        <v>29.995970029687825</v>
      </c>
      <c r="R50" s="47">
        <v>59.146729507625459</v>
      </c>
      <c r="S50" s="47">
        <v>54.552900072653401</v>
      </c>
      <c r="T50" s="47">
        <v>56.503196760986178</v>
      </c>
      <c r="U50" s="47">
        <v>182.36759344903535</v>
      </c>
      <c r="V50" s="47">
        <v>14.59992158888249</v>
      </c>
      <c r="W50" s="47">
        <v>34.335745943487673</v>
      </c>
      <c r="AH50" s="43"/>
    </row>
    <row r="51" spans="1:34" ht="13.9" customHeight="1" x14ac:dyDescent="0.2">
      <c r="A51" s="39">
        <v>152</v>
      </c>
      <c r="B51" s="39" t="s">
        <v>527</v>
      </c>
      <c r="C51" s="40">
        <v>1</v>
      </c>
      <c r="D51" s="40">
        <v>109.81088295394112</v>
      </c>
      <c r="E51" s="40">
        <v>226.6533154638723</v>
      </c>
      <c r="F51" s="40">
        <v>30.530160830413809</v>
      </c>
      <c r="G51" s="40">
        <v>9.2681305454532072</v>
      </c>
      <c r="H51" s="40">
        <v>88.262017946745431</v>
      </c>
      <c r="I51" s="40">
        <v>334.73477530100223</v>
      </c>
      <c r="J51" s="40">
        <v>11.418134128162723</v>
      </c>
      <c r="K51" s="40">
        <v>23.690764662180719</v>
      </c>
      <c r="L51" s="40">
        <v>22.038667366342292</v>
      </c>
      <c r="M51" s="40">
        <v>28.469372821926644</v>
      </c>
      <c r="N51" s="47" t="s">
        <v>39</v>
      </c>
      <c r="O51" s="47">
        <v>15.435620065171511</v>
      </c>
      <c r="P51" s="47">
        <v>355.32566812074191</v>
      </c>
      <c r="Q51" s="47">
        <v>25.828040905986516</v>
      </c>
      <c r="R51" s="47">
        <v>68.26655664609153</v>
      </c>
      <c r="S51" s="47">
        <v>51.467248648839757</v>
      </c>
      <c r="T51" s="47">
        <v>53.851920767170071</v>
      </c>
      <c r="U51" s="47">
        <v>167.9270105451005</v>
      </c>
      <c r="V51" s="47">
        <v>13.702647842665041</v>
      </c>
      <c r="W51" s="47">
        <v>32.536046066352881</v>
      </c>
      <c r="AH51" s="43"/>
    </row>
    <row r="52" spans="1:34" ht="13.9" customHeight="1" x14ac:dyDescent="0.2">
      <c r="A52" s="39">
        <v>267</v>
      </c>
      <c r="B52" s="39" t="s">
        <v>528</v>
      </c>
      <c r="C52" s="40">
        <v>1</v>
      </c>
      <c r="D52" s="40">
        <v>119.82604323169029</v>
      </c>
      <c r="E52" s="40">
        <v>190.96737514600935</v>
      </c>
      <c r="F52" s="40">
        <v>21.383610487740171</v>
      </c>
      <c r="G52" s="40">
        <v>10.814958649823746</v>
      </c>
      <c r="H52" s="40">
        <v>99.842714284419841</v>
      </c>
      <c r="I52" s="40">
        <v>220.74069749264365</v>
      </c>
      <c r="J52" s="40">
        <v>13.450542407386111</v>
      </c>
      <c r="K52" s="40">
        <v>12.92355583231631</v>
      </c>
      <c r="L52" s="40">
        <v>17.095569376895121</v>
      </c>
      <c r="M52" s="40">
        <v>11.781895125557982</v>
      </c>
      <c r="N52" s="47" t="s">
        <v>39</v>
      </c>
      <c r="O52" s="47" t="s">
        <v>39</v>
      </c>
      <c r="P52" s="47">
        <v>277.61333919152668</v>
      </c>
      <c r="Q52" s="47">
        <v>21.811516616429007</v>
      </c>
      <c r="R52" s="47">
        <v>77.391823449354249</v>
      </c>
      <c r="S52" s="47">
        <v>27.079084138323083</v>
      </c>
      <c r="T52" s="47">
        <v>24.420124361355761</v>
      </c>
      <c r="U52" s="47">
        <v>133.38114957408061</v>
      </c>
      <c r="V52" s="47">
        <v>14.268058464161038</v>
      </c>
      <c r="W52" s="47">
        <v>34.100561558122486</v>
      </c>
      <c r="AH52" s="43"/>
    </row>
    <row r="53" spans="1:34" ht="13.9" customHeight="1" x14ac:dyDescent="0.2">
      <c r="A53" s="39">
        <v>268</v>
      </c>
      <c r="B53" s="39" t="s">
        <v>529</v>
      </c>
      <c r="C53" s="40">
        <v>1</v>
      </c>
      <c r="D53" s="40">
        <v>119.05131907087215</v>
      </c>
      <c r="E53" s="40">
        <v>184.15054608266675</v>
      </c>
      <c r="F53" s="40">
        <v>20.478689762712193</v>
      </c>
      <c r="G53" s="40">
        <v>9.7671873012840518</v>
      </c>
      <c r="H53" s="40">
        <v>99.460796959982176</v>
      </c>
      <c r="I53" s="40">
        <v>211.87933216517101</v>
      </c>
      <c r="J53" s="40">
        <v>13.470111054625718</v>
      </c>
      <c r="K53" s="40">
        <v>12.125900078719337</v>
      </c>
      <c r="L53" s="40">
        <v>16.739205445073949</v>
      </c>
      <c r="M53" s="40">
        <v>11.094098063923635</v>
      </c>
      <c r="N53" s="47" t="s">
        <v>39</v>
      </c>
      <c r="O53" s="47" t="s">
        <v>39</v>
      </c>
      <c r="P53" s="47">
        <v>273.7467371057806</v>
      </c>
      <c r="Q53" s="47">
        <v>21.463005220637662</v>
      </c>
      <c r="R53" s="47">
        <v>62.486671730439681</v>
      </c>
      <c r="S53" s="47">
        <v>25.700175516592878</v>
      </c>
      <c r="T53" s="47">
        <v>22.709388660568134</v>
      </c>
      <c r="U53" s="47">
        <v>131.17610543616001</v>
      </c>
      <c r="V53" s="47">
        <v>14.039066115164818</v>
      </c>
      <c r="W53" s="47">
        <v>31.771351468332998</v>
      </c>
      <c r="AH53" s="43"/>
    </row>
    <row r="54" spans="1:34" ht="13.9" customHeight="1" x14ac:dyDescent="0.2">
      <c r="A54" s="39">
        <v>269</v>
      </c>
      <c r="B54" s="39" t="s">
        <v>530</v>
      </c>
      <c r="C54" s="40">
        <v>1</v>
      </c>
      <c r="D54" s="40">
        <v>115.11800875216119</v>
      </c>
      <c r="E54" s="40">
        <v>187.03404739575299</v>
      </c>
      <c r="F54" s="40">
        <v>21.671466937814404</v>
      </c>
      <c r="G54" s="40">
        <v>10.198096525529873</v>
      </c>
      <c r="H54" s="40">
        <v>94.956010230748618</v>
      </c>
      <c r="I54" s="40">
        <v>227.47586234888368</v>
      </c>
      <c r="J54" s="40">
        <v>12.48791036943728</v>
      </c>
      <c r="K54" s="40">
        <v>13.573090771836442</v>
      </c>
      <c r="L54" s="40">
        <v>17.285672115628863</v>
      </c>
      <c r="M54" s="40">
        <v>13.622246620915494</v>
      </c>
      <c r="N54" s="47" t="s">
        <v>39</v>
      </c>
      <c r="O54" s="47" t="s">
        <v>39</v>
      </c>
      <c r="P54" s="47">
        <v>277.63587394374929</v>
      </c>
      <c r="Q54" s="47">
        <v>21.794662005487364</v>
      </c>
      <c r="R54" s="47">
        <v>73.877576190444429</v>
      </c>
      <c r="S54" s="47">
        <v>28.748771416422827</v>
      </c>
      <c r="T54" s="47">
        <v>24.473330495312737</v>
      </c>
      <c r="U54" s="47">
        <v>120.791239976391</v>
      </c>
      <c r="V54" s="47">
        <v>13.657828425777069</v>
      </c>
      <c r="W54" s="47">
        <v>32.849119361877548</v>
      </c>
      <c r="AH54" s="43"/>
    </row>
    <row r="55" spans="1:34" s="51" customFormat="1" ht="13.9" customHeight="1" x14ac:dyDescent="0.2">
      <c r="A55" s="48">
        <v>62</v>
      </c>
      <c r="B55" s="48" t="s">
        <v>531</v>
      </c>
      <c r="C55" s="49">
        <v>1</v>
      </c>
      <c r="D55" s="49">
        <v>119.69498691028024</v>
      </c>
      <c r="E55" s="49">
        <v>256.77083914369882</v>
      </c>
      <c r="F55" s="49">
        <v>34.835422092209548</v>
      </c>
      <c r="G55" s="49">
        <v>10.179956387059313</v>
      </c>
      <c r="H55" s="49">
        <v>94.766570664495717</v>
      </c>
      <c r="I55" s="49">
        <v>383.75565640687756</v>
      </c>
      <c r="J55" s="49">
        <v>16.200548741948225</v>
      </c>
      <c r="K55" s="49">
        <v>28.382561494710735</v>
      </c>
      <c r="L55" s="49">
        <v>25.679429160332585</v>
      </c>
      <c r="M55" s="49">
        <v>39.741854908556654</v>
      </c>
      <c r="N55" s="50">
        <v>6.6299778648562953</v>
      </c>
      <c r="O55" s="50">
        <v>12.66189656527261</v>
      </c>
      <c r="P55" s="50">
        <v>394.95221533191074</v>
      </c>
      <c r="Q55" s="50">
        <v>28.966673260234799</v>
      </c>
      <c r="R55" s="50">
        <v>33.112867808502727</v>
      </c>
      <c r="S55" s="50">
        <v>60.787339785288502</v>
      </c>
      <c r="T55" s="50">
        <v>64.737915731027016</v>
      </c>
      <c r="U55" s="50">
        <v>188.85869263987979</v>
      </c>
      <c r="V55" s="50">
        <v>14.728710829152696</v>
      </c>
      <c r="W55" s="50">
        <v>36.480810274273288</v>
      </c>
      <c r="AH55" s="52"/>
    </row>
    <row r="56" spans="1:34" s="51" customFormat="1" ht="13.9" customHeight="1" x14ac:dyDescent="0.2">
      <c r="A56" s="48">
        <v>63</v>
      </c>
      <c r="B56" s="48" t="s">
        <v>532</v>
      </c>
      <c r="C56" s="49">
        <v>1</v>
      </c>
      <c r="D56" s="49">
        <v>118.41627997384622</v>
      </c>
      <c r="E56" s="49">
        <v>244.2429520430957</v>
      </c>
      <c r="F56" s="49">
        <v>34.228520246725836</v>
      </c>
      <c r="G56" s="49">
        <v>10.153469259362438</v>
      </c>
      <c r="H56" s="49">
        <v>93.709334557952289</v>
      </c>
      <c r="I56" s="49">
        <v>380.69378378798575</v>
      </c>
      <c r="J56" s="49">
        <v>17.365214036687576</v>
      </c>
      <c r="K56" s="49">
        <v>28.516146476113448</v>
      </c>
      <c r="L56" s="49">
        <v>25.400710192343166</v>
      </c>
      <c r="M56" s="49">
        <v>36.486606958080635</v>
      </c>
      <c r="N56" s="50">
        <v>6.5345406436917681</v>
      </c>
      <c r="O56" s="50">
        <v>10.578456101557766</v>
      </c>
      <c r="P56" s="50">
        <v>392.11828660764183</v>
      </c>
      <c r="Q56" s="50">
        <v>28.472436541901352</v>
      </c>
      <c r="R56" s="50">
        <v>46.099263699642869</v>
      </c>
      <c r="S56" s="50">
        <v>59.714660448363382</v>
      </c>
      <c r="T56" s="50">
        <v>64.536758064401468</v>
      </c>
      <c r="U56" s="50">
        <v>192.11893245045681</v>
      </c>
      <c r="V56" s="50">
        <v>14.544829048139652</v>
      </c>
      <c r="W56" s="50">
        <v>37.554455315454724</v>
      </c>
      <c r="AH56" s="52"/>
    </row>
    <row r="57" spans="1:34" s="51" customFormat="1" ht="13.9" customHeight="1" x14ac:dyDescent="0.2">
      <c r="A57" s="48">
        <v>64</v>
      </c>
      <c r="B57" s="48" t="s">
        <v>533</v>
      </c>
      <c r="C57" s="49">
        <v>1</v>
      </c>
      <c r="D57" s="49">
        <v>128.81669617292874</v>
      </c>
      <c r="E57" s="49">
        <v>281.06445709816592</v>
      </c>
      <c r="F57" s="49">
        <v>37.607858556387654</v>
      </c>
      <c r="G57" s="49">
        <v>10.957800674508452</v>
      </c>
      <c r="H57" s="49">
        <v>101.54437613781762</v>
      </c>
      <c r="I57" s="49">
        <v>413.27213742713292</v>
      </c>
      <c r="J57" s="49">
        <v>18.219126877974944</v>
      </c>
      <c r="K57" s="49">
        <v>30.475312041015712</v>
      </c>
      <c r="L57" s="49">
        <v>27.900170215732029</v>
      </c>
      <c r="M57" s="49">
        <v>42.883354464878565</v>
      </c>
      <c r="N57" s="50">
        <v>7.6897932364042507</v>
      </c>
      <c r="O57" s="50">
        <v>12.42821735671526</v>
      </c>
      <c r="P57" s="50">
        <v>413.99160915332482</v>
      </c>
      <c r="Q57" s="50">
        <v>31.23193207797593</v>
      </c>
      <c r="R57" s="50">
        <v>36.548802113188607</v>
      </c>
      <c r="S57" s="50">
        <v>65.879575159359547</v>
      </c>
      <c r="T57" s="50">
        <v>69.757688074237961</v>
      </c>
      <c r="U57" s="50">
        <v>199.86568156774138</v>
      </c>
      <c r="V57" s="50">
        <v>15.727544091492311</v>
      </c>
      <c r="W57" s="50">
        <v>40.173945763769112</v>
      </c>
      <c r="AH57" s="52"/>
    </row>
    <row r="58" spans="1:34" s="51" customFormat="1" ht="13.9" customHeight="1" x14ac:dyDescent="0.2">
      <c r="A58" s="48">
        <v>160</v>
      </c>
      <c r="B58" s="48" t="s">
        <v>534</v>
      </c>
      <c r="C58" s="49">
        <v>1</v>
      </c>
      <c r="D58" s="49">
        <v>109.84421342912478</v>
      </c>
      <c r="E58" s="49">
        <v>229.69707005372564</v>
      </c>
      <c r="F58" s="49">
        <v>30.631545287201984</v>
      </c>
      <c r="G58" s="49">
        <v>9.3071449872660139</v>
      </c>
      <c r="H58" s="49">
        <v>86.405711820279748</v>
      </c>
      <c r="I58" s="49">
        <v>335.76795321131277</v>
      </c>
      <c r="J58" s="49">
        <v>5.4919262509447222</v>
      </c>
      <c r="K58" s="49">
        <v>23.296506624964856</v>
      </c>
      <c r="L58" s="49">
        <v>21.517800668068695</v>
      </c>
      <c r="M58" s="49">
        <v>27.223622105718725</v>
      </c>
      <c r="N58" s="50" t="s">
        <v>39</v>
      </c>
      <c r="O58" s="50">
        <v>12.35030755602715</v>
      </c>
      <c r="P58" s="50">
        <v>356.29967150562806</v>
      </c>
      <c r="Q58" s="50">
        <v>25.636674564261689</v>
      </c>
      <c r="R58" s="50">
        <v>49.592693744587848</v>
      </c>
      <c r="S58" s="50">
        <v>50.655785542692904</v>
      </c>
      <c r="T58" s="50">
        <v>52.387597639644689</v>
      </c>
      <c r="U58" s="50">
        <v>161.55390994299736</v>
      </c>
      <c r="V58" s="50">
        <v>13.831933135306597</v>
      </c>
      <c r="W58" s="50">
        <v>37.341883828950458</v>
      </c>
      <c r="AH58" s="52"/>
    </row>
    <row r="59" spans="1:34" s="51" customFormat="1" ht="13.9" customHeight="1" x14ac:dyDescent="0.2">
      <c r="A59" s="48">
        <v>161</v>
      </c>
      <c r="B59" s="48" t="s">
        <v>535</v>
      </c>
      <c r="C59" s="49">
        <v>1</v>
      </c>
      <c r="D59" s="49">
        <v>114.83754141796038</v>
      </c>
      <c r="E59" s="49">
        <v>243.19670657122739</v>
      </c>
      <c r="F59" s="49">
        <v>31.959577969528944</v>
      </c>
      <c r="G59" s="49">
        <v>9.811939323847044</v>
      </c>
      <c r="H59" s="49">
        <v>89.587271581805837</v>
      </c>
      <c r="I59" s="49">
        <v>360.94752606720198</v>
      </c>
      <c r="J59" s="49" t="s">
        <v>39</v>
      </c>
      <c r="K59" s="49">
        <v>25.504402111840459</v>
      </c>
      <c r="L59" s="49">
        <v>23.344840841467477</v>
      </c>
      <c r="M59" s="49">
        <v>31.554918104483967</v>
      </c>
      <c r="N59" s="50" t="s">
        <v>39</v>
      </c>
      <c r="O59" s="50">
        <v>14.54495131959448</v>
      </c>
      <c r="P59" s="50">
        <v>375.47690519272038</v>
      </c>
      <c r="Q59" s="50">
        <v>27.371774709050491</v>
      </c>
      <c r="R59" s="50">
        <v>38.188137206766001</v>
      </c>
      <c r="S59" s="50">
        <v>55.86398911356634</v>
      </c>
      <c r="T59" s="50">
        <v>57.687111530073523</v>
      </c>
      <c r="U59" s="50">
        <v>183.37965087383822</v>
      </c>
      <c r="V59" s="50">
        <v>14.361687212651567</v>
      </c>
      <c r="W59" s="50">
        <v>37.971728180444735</v>
      </c>
      <c r="AH59" s="52"/>
    </row>
    <row r="60" spans="1:34" s="51" customFormat="1" ht="13.9" customHeight="1" x14ac:dyDescent="0.2">
      <c r="A60" s="48">
        <v>162</v>
      </c>
      <c r="B60" s="48" t="s">
        <v>536</v>
      </c>
      <c r="C60" s="49">
        <v>1</v>
      </c>
      <c r="D60" s="49">
        <v>109.50534517523727</v>
      </c>
      <c r="E60" s="49">
        <v>219.06758173146457</v>
      </c>
      <c r="F60" s="49">
        <v>30.862149374259204</v>
      </c>
      <c r="G60" s="49">
        <v>9.2422336477161693</v>
      </c>
      <c r="H60" s="49">
        <v>86.13695119545342</v>
      </c>
      <c r="I60" s="49">
        <v>335.14657146635238</v>
      </c>
      <c r="J60" s="49">
        <v>5.6124592980392602</v>
      </c>
      <c r="K60" s="49">
        <v>23.14756395256002</v>
      </c>
      <c r="L60" s="49">
        <v>21.492428342093422</v>
      </c>
      <c r="M60" s="49">
        <v>26.575956774108622</v>
      </c>
      <c r="N60" s="50" t="s">
        <v>39</v>
      </c>
      <c r="O60" s="50">
        <v>12.27398527444403</v>
      </c>
      <c r="P60" s="50">
        <v>354.63358731669211</v>
      </c>
      <c r="Q60" s="50">
        <v>25.418594058575046</v>
      </c>
      <c r="R60" s="50">
        <v>44.734137769938428</v>
      </c>
      <c r="S60" s="50">
        <v>50.282951237116905</v>
      </c>
      <c r="T60" s="50">
        <v>51.104295640687383</v>
      </c>
      <c r="U60" s="50">
        <v>160.76092987547165</v>
      </c>
      <c r="V60" s="50">
        <v>13.827404694740693</v>
      </c>
      <c r="W60" s="50">
        <v>32.087821715667246</v>
      </c>
      <c r="AH60" s="52"/>
    </row>
    <row r="61" spans="1:34" s="51" customFormat="1" ht="13.9" customHeight="1" x14ac:dyDescent="0.2">
      <c r="A61" s="48">
        <v>250</v>
      </c>
      <c r="B61" s="48" t="s">
        <v>537</v>
      </c>
      <c r="C61" s="49">
        <v>1</v>
      </c>
      <c r="D61" s="49">
        <v>85.977870529815505</v>
      </c>
      <c r="E61" s="49">
        <v>146.81037043652628</v>
      </c>
      <c r="F61" s="49">
        <v>10.839726301660114</v>
      </c>
      <c r="G61" s="49">
        <v>8.7882772546343055</v>
      </c>
      <c r="H61" s="49">
        <v>60.859268934699223</v>
      </c>
      <c r="I61" s="49">
        <v>142.78282742191317</v>
      </c>
      <c r="J61" s="49">
        <v>5.3387265929966548</v>
      </c>
      <c r="K61" s="49" t="s">
        <v>39</v>
      </c>
      <c r="L61" s="49" t="s">
        <v>39</v>
      </c>
      <c r="M61" s="49" t="s">
        <v>39</v>
      </c>
      <c r="N61" s="50" t="s">
        <v>39</v>
      </c>
      <c r="O61" s="50" t="s">
        <v>39</v>
      </c>
      <c r="P61" s="50">
        <v>197.69654991680594</v>
      </c>
      <c r="Q61" s="50" t="s">
        <v>39</v>
      </c>
      <c r="R61" s="50">
        <v>62.875565481421837</v>
      </c>
      <c r="S61" s="50">
        <v>13.518335091647756</v>
      </c>
      <c r="T61" s="50">
        <v>11.359074113746251</v>
      </c>
      <c r="U61" s="50">
        <v>91.03379735191433</v>
      </c>
      <c r="V61" s="50">
        <v>10.362311188119062</v>
      </c>
      <c r="W61" s="50">
        <v>19.390867762974018</v>
      </c>
      <c r="AH61" s="52"/>
    </row>
    <row r="62" spans="1:34" s="51" customFormat="1" ht="13.9" customHeight="1" x14ac:dyDescent="0.2">
      <c r="A62" s="48">
        <v>251</v>
      </c>
      <c r="B62" s="48" t="s">
        <v>538</v>
      </c>
      <c r="C62" s="49">
        <v>1</v>
      </c>
      <c r="D62" s="49">
        <v>72.712547216335025</v>
      </c>
      <c r="E62" s="49">
        <v>139.60402479172353</v>
      </c>
      <c r="F62" s="49" t="s">
        <v>39</v>
      </c>
      <c r="G62" s="49">
        <v>7.7077127616802485</v>
      </c>
      <c r="H62" s="49">
        <v>46.768324414026409</v>
      </c>
      <c r="I62" s="49">
        <v>93.792350283301417</v>
      </c>
      <c r="J62" s="49">
        <v>5.3010208059036401</v>
      </c>
      <c r="K62" s="49" t="s">
        <v>39</v>
      </c>
      <c r="L62" s="49" t="s">
        <v>39</v>
      </c>
      <c r="M62" s="49" t="s">
        <v>39</v>
      </c>
      <c r="N62" s="50" t="s">
        <v>39</v>
      </c>
      <c r="O62" s="50" t="s">
        <v>39</v>
      </c>
      <c r="P62" s="50">
        <v>129.06643846506969</v>
      </c>
      <c r="Q62" s="50" t="s">
        <v>39</v>
      </c>
      <c r="R62" s="50">
        <v>81.760121423017537</v>
      </c>
      <c r="S62" s="50">
        <v>8.2006859021308287</v>
      </c>
      <c r="T62" s="50">
        <v>7.8013435194702812</v>
      </c>
      <c r="U62" s="50">
        <v>75.296318609078682</v>
      </c>
      <c r="V62" s="50" t="s">
        <v>39</v>
      </c>
      <c r="W62" s="50" t="s">
        <v>39</v>
      </c>
      <c r="AH62" s="52"/>
    </row>
    <row r="63" spans="1:34" s="51" customFormat="1" ht="13.9" customHeight="1" x14ac:dyDescent="0.2">
      <c r="A63" s="48">
        <v>252</v>
      </c>
      <c r="B63" s="48" t="s">
        <v>539</v>
      </c>
      <c r="C63" s="49">
        <v>1</v>
      </c>
      <c r="D63" s="49">
        <v>64.068039157816045</v>
      </c>
      <c r="E63" s="49">
        <v>100.93469959493117</v>
      </c>
      <c r="F63" s="49" t="s">
        <v>39</v>
      </c>
      <c r="G63" s="49">
        <v>7.6099827037025598</v>
      </c>
      <c r="H63" s="49">
        <v>43.91426690694361</v>
      </c>
      <c r="I63" s="49">
        <v>80.463331178190359</v>
      </c>
      <c r="J63" s="49">
        <v>11.42233496978989</v>
      </c>
      <c r="K63" s="49" t="s">
        <v>39</v>
      </c>
      <c r="L63" s="49" t="s">
        <v>39</v>
      </c>
      <c r="M63" s="49" t="s">
        <v>39</v>
      </c>
      <c r="N63" s="50">
        <v>0.67416727198505189</v>
      </c>
      <c r="O63" s="50" t="s">
        <v>39</v>
      </c>
      <c r="P63" s="50">
        <v>119.92784896163954</v>
      </c>
      <c r="Q63" s="50" t="s">
        <v>39</v>
      </c>
      <c r="R63" s="50">
        <v>61.459810725915503</v>
      </c>
      <c r="S63" s="50">
        <v>5.7418482497058854</v>
      </c>
      <c r="T63" s="50" t="s">
        <v>39</v>
      </c>
      <c r="U63" s="50">
        <v>75.604824658131065</v>
      </c>
      <c r="V63" s="50" t="s">
        <v>39</v>
      </c>
      <c r="W63" s="50" t="s">
        <v>39</v>
      </c>
      <c r="AH63" s="52"/>
    </row>
    <row r="64" spans="1:34" ht="13.9" customHeight="1" x14ac:dyDescent="0.2">
      <c r="A64" s="39">
        <v>75</v>
      </c>
      <c r="B64" s="39" t="s">
        <v>540</v>
      </c>
      <c r="C64" s="40">
        <v>1</v>
      </c>
      <c r="D64" s="40">
        <v>139.73272177614598</v>
      </c>
      <c r="E64" s="40">
        <v>300.71197271202016</v>
      </c>
      <c r="F64" s="40">
        <v>39.867308406917786</v>
      </c>
      <c r="G64" s="40">
        <v>12.168322998652464</v>
      </c>
      <c r="H64" s="40">
        <v>109.43576246414109</v>
      </c>
      <c r="I64" s="40">
        <v>447.87314231681029</v>
      </c>
      <c r="J64" s="40">
        <v>15.246213268160627</v>
      </c>
      <c r="K64" s="40">
        <v>33.725421824641991</v>
      </c>
      <c r="L64" s="40">
        <v>29.805628424582565</v>
      </c>
      <c r="M64" s="40">
        <v>44.079676934461254</v>
      </c>
      <c r="N64" s="47">
        <v>8.3021203156000762</v>
      </c>
      <c r="O64" s="47">
        <v>10.643055302285298</v>
      </c>
      <c r="P64" s="47">
        <v>446.89759517038465</v>
      </c>
      <c r="Q64" s="47">
        <v>34.369670275956082</v>
      </c>
      <c r="R64" s="47">
        <v>19.368858632073533</v>
      </c>
      <c r="S64" s="47">
        <v>71.473733269318359</v>
      </c>
      <c r="T64" s="47">
        <v>74.561930686199744</v>
      </c>
      <c r="U64" s="47">
        <v>224.12846232419946</v>
      </c>
      <c r="V64" s="47">
        <v>17.035721274381242</v>
      </c>
      <c r="W64" s="47">
        <v>41.554139662570442</v>
      </c>
      <c r="AH64" s="43"/>
    </row>
    <row r="65" spans="1:34" ht="13.9" customHeight="1" x14ac:dyDescent="0.2">
      <c r="A65" s="39">
        <v>76</v>
      </c>
      <c r="B65" s="39" t="s">
        <v>541</v>
      </c>
      <c r="C65" s="40">
        <v>1</v>
      </c>
      <c r="D65" s="40">
        <v>116.1100355490685</v>
      </c>
      <c r="E65" s="40">
        <v>236.04192976775562</v>
      </c>
      <c r="F65" s="40">
        <v>33.267479740536352</v>
      </c>
      <c r="G65" s="40">
        <v>10.054531540428401</v>
      </c>
      <c r="H65" s="40">
        <v>92.080398892556701</v>
      </c>
      <c r="I65" s="40">
        <v>373.98112934962819</v>
      </c>
      <c r="J65" s="40">
        <v>12.775457208297178</v>
      </c>
      <c r="K65" s="40">
        <v>27.08584656007455</v>
      </c>
      <c r="L65" s="40">
        <v>24.489400021703794</v>
      </c>
      <c r="M65" s="40">
        <v>34.745664312541642</v>
      </c>
      <c r="N65" s="47">
        <v>6.5774368992735832</v>
      </c>
      <c r="O65" s="47">
        <v>9.0196012281624398</v>
      </c>
      <c r="P65" s="47">
        <v>394.40017058753415</v>
      </c>
      <c r="Q65" s="47">
        <v>28.366823423560948</v>
      </c>
      <c r="R65" s="47">
        <v>38.390432865279621</v>
      </c>
      <c r="S65" s="47">
        <v>59.45914862689969</v>
      </c>
      <c r="T65" s="47">
        <v>62.433888534458561</v>
      </c>
      <c r="U65" s="47">
        <v>187.88439644674395</v>
      </c>
      <c r="V65" s="47">
        <v>14.198567552406304</v>
      </c>
      <c r="W65" s="47">
        <v>36.08062437181399</v>
      </c>
      <c r="AH65" s="43"/>
    </row>
    <row r="66" spans="1:34" ht="13.9" customHeight="1" x14ac:dyDescent="0.2">
      <c r="A66" s="39">
        <v>77</v>
      </c>
      <c r="B66" s="39" t="s">
        <v>542</v>
      </c>
      <c r="C66" s="40">
        <v>1</v>
      </c>
      <c r="D66" s="40">
        <v>121.38614230686987</v>
      </c>
      <c r="E66" s="40">
        <v>248.87671551506787</v>
      </c>
      <c r="F66" s="40">
        <v>34.881314848694785</v>
      </c>
      <c r="G66" s="40">
        <v>10.553960112451863</v>
      </c>
      <c r="H66" s="40">
        <v>96.224996343417587</v>
      </c>
      <c r="I66" s="40">
        <v>391.26552216823382</v>
      </c>
      <c r="J66" s="40">
        <v>13.553512657173256</v>
      </c>
      <c r="K66" s="40">
        <v>29.107405327948783</v>
      </c>
      <c r="L66" s="40">
        <v>26.317826844263852</v>
      </c>
      <c r="M66" s="40">
        <v>36.617168258084227</v>
      </c>
      <c r="N66" s="47">
        <v>6.8836523945457113</v>
      </c>
      <c r="O66" s="47">
        <v>9.2431503119138778</v>
      </c>
      <c r="P66" s="47">
        <v>408.40300925018971</v>
      </c>
      <c r="Q66" s="47">
        <v>29.850976343624122</v>
      </c>
      <c r="R66" s="47">
        <v>35.7371917861268</v>
      </c>
      <c r="S66" s="47" t="s">
        <v>39</v>
      </c>
      <c r="T66" s="47">
        <v>65.131101050148544</v>
      </c>
      <c r="U66" s="47">
        <v>192.4861376984752</v>
      </c>
      <c r="V66" s="47">
        <v>14.867470578695274</v>
      </c>
      <c r="W66" s="47">
        <v>37.081061940084254</v>
      </c>
      <c r="AH66" s="43"/>
    </row>
    <row r="67" spans="1:34" ht="13.9" customHeight="1" x14ac:dyDescent="0.2">
      <c r="A67" s="39">
        <v>180</v>
      </c>
      <c r="B67" s="39" t="s">
        <v>543</v>
      </c>
      <c r="C67" s="40">
        <v>1</v>
      </c>
      <c r="D67" s="40">
        <v>110.00976517368859</v>
      </c>
      <c r="E67" s="40">
        <v>245.88341469037476</v>
      </c>
      <c r="F67" s="40">
        <v>30.897592224466333</v>
      </c>
      <c r="G67" s="40">
        <v>9.2579778541524771</v>
      </c>
      <c r="H67" s="40">
        <v>87.350798007963647</v>
      </c>
      <c r="I67" s="40">
        <v>336.66777602150165</v>
      </c>
      <c r="J67" s="40">
        <v>11.90394328839345</v>
      </c>
      <c r="K67" s="40">
        <v>24.723791111712323</v>
      </c>
      <c r="L67" s="40">
        <v>22.440677311639423</v>
      </c>
      <c r="M67" s="40">
        <v>28.946146026090847</v>
      </c>
      <c r="N67" s="47" t="s">
        <v>39</v>
      </c>
      <c r="O67" s="47">
        <v>14.719478802564678</v>
      </c>
      <c r="P67" s="47">
        <v>370.05770995872115</v>
      </c>
      <c r="Q67" s="47">
        <v>26.097340741013387</v>
      </c>
      <c r="R67" s="47">
        <v>55.628733504273981</v>
      </c>
      <c r="S67" s="47">
        <v>51.520664838355017</v>
      </c>
      <c r="T67" s="47">
        <v>55.15593269311519</v>
      </c>
      <c r="U67" s="47">
        <v>166.60641945702326</v>
      </c>
      <c r="V67" s="47">
        <v>13.805537953189294</v>
      </c>
      <c r="W67" s="47">
        <v>36.751989895875056</v>
      </c>
      <c r="AH67" s="43"/>
    </row>
    <row r="68" spans="1:34" ht="13.9" customHeight="1" x14ac:dyDescent="0.2">
      <c r="A68" s="39">
        <v>181</v>
      </c>
      <c r="B68" s="39" t="s">
        <v>544</v>
      </c>
      <c r="C68" s="40">
        <v>1</v>
      </c>
      <c r="D68" s="40">
        <v>119.28554086748561</v>
      </c>
      <c r="E68" s="40">
        <v>259.22809754012951</v>
      </c>
      <c r="F68" s="40">
        <v>33.457921492909158</v>
      </c>
      <c r="G68" s="40">
        <v>10.155245414218673</v>
      </c>
      <c r="H68" s="40">
        <v>94.518099595880457</v>
      </c>
      <c r="I68" s="40">
        <v>365.74631113282078</v>
      </c>
      <c r="J68" s="40">
        <v>12.73434543280228</v>
      </c>
      <c r="K68" s="40">
        <v>27.141736992381361</v>
      </c>
      <c r="L68" s="40">
        <v>24.687775517852582</v>
      </c>
      <c r="M68" s="40">
        <v>33.208763336727287</v>
      </c>
      <c r="N68" s="47" t="s">
        <v>39</v>
      </c>
      <c r="O68" s="47">
        <v>16.486972338381644</v>
      </c>
      <c r="P68" s="47">
        <v>393.31602338433061</v>
      </c>
      <c r="Q68" s="47">
        <v>31.901039368273533</v>
      </c>
      <c r="R68" s="47">
        <v>59.862412886059573</v>
      </c>
      <c r="S68" s="47">
        <v>56.487966015609921</v>
      </c>
      <c r="T68" s="47">
        <v>60.800039663250054</v>
      </c>
      <c r="U68" s="47">
        <v>189.87958770017713</v>
      </c>
      <c r="V68" s="47">
        <v>14.860075594264298</v>
      </c>
      <c r="W68" s="47">
        <v>34.192995996789961</v>
      </c>
      <c r="AH68" s="43"/>
    </row>
    <row r="69" spans="1:34" ht="13.9" customHeight="1" x14ac:dyDescent="0.2">
      <c r="A69" s="39">
        <v>182</v>
      </c>
      <c r="B69" s="39" t="s">
        <v>545</v>
      </c>
      <c r="C69" s="40">
        <v>1</v>
      </c>
      <c r="D69" s="40">
        <v>131.39170628008242</v>
      </c>
      <c r="E69" s="40">
        <v>306.65255217390376</v>
      </c>
      <c r="F69" s="40">
        <v>38.511276872159975</v>
      </c>
      <c r="G69" s="40">
        <v>11.099378669153142</v>
      </c>
      <c r="H69" s="40">
        <v>104.36205871744072</v>
      </c>
      <c r="I69" s="40">
        <v>411.62150727950649</v>
      </c>
      <c r="J69" s="40">
        <v>14.037247529017733</v>
      </c>
      <c r="K69" s="40">
        <v>30.496239249371392</v>
      </c>
      <c r="L69" s="40">
        <v>27.896720802150963</v>
      </c>
      <c r="M69" s="40">
        <v>37.677356013572286</v>
      </c>
      <c r="N69" s="47" t="s">
        <v>39</v>
      </c>
      <c r="O69" s="47">
        <v>19.785206623527998</v>
      </c>
      <c r="P69" s="47">
        <v>419.31555208543023</v>
      </c>
      <c r="Q69" s="47">
        <v>31.911921824355893</v>
      </c>
      <c r="R69" s="47">
        <v>27.380282141335762</v>
      </c>
      <c r="S69" s="47" t="s">
        <v>39</v>
      </c>
      <c r="T69" s="47">
        <v>68.19314909228261</v>
      </c>
      <c r="U69" s="47">
        <v>203.85180145321709</v>
      </c>
      <c r="V69" s="47">
        <v>16.472577235310613</v>
      </c>
      <c r="W69" s="47">
        <v>42.095301693910628</v>
      </c>
      <c r="AH69" s="43"/>
    </row>
    <row r="70" spans="1:34" ht="13.9" customHeight="1" x14ac:dyDescent="0.2">
      <c r="A70" s="39">
        <v>220</v>
      </c>
      <c r="B70" s="39" t="s">
        <v>546</v>
      </c>
      <c r="C70" s="40">
        <v>1</v>
      </c>
      <c r="D70" s="40">
        <v>133.51185349386566</v>
      </c>
      <c r="E70" s="40">
        <v>273.56618680551941</v>
      </c>
      <c r="F70" s="40">
        <v>31.669352798319096</v>
      </c>
      <c r="G70" s="40">
        <v>11.909601268794571</v>
      </c>
      <c r="H70" s="40">
        <v>101.60727941147789</v>
      </c>
      <c r="I70" s="40">
        <v>353.27199797068613</v>
      </c>
      <c r="J70" s="40">
        <v>17.2417954307572</v>
      </c>
      <c r="K70" s="40">
        <v>23.68616461974209</v>
      </c>
      <c r="L70" s="40">
        <v>23.709550520618322</v>
      </c>
      <c r="M70" s="40">
        <v>28.04481798461152</v>
      </c>
      <c r="N70" s="47" t="s">
        <v>39</v>
      </c>
      <c r="O70" s="47">
        <v>15.612235778823358</v>
      </c>
      <c r="P70" s="47">
        <v>368.49694071829219</v>
      </c>
      <c r="Q70" s="47">
        <v>28.047777178222969</v>
      </c>
      <c r="R70" s="47">
        <v>29.196358193262064</v>
      </c>
      <c r="S70" s="47" t="s">
        <v>39</v>
      </c>
      <c r="T70" s="47">
        <v>50.469766071955469</v>
      </c>
      <c r="U70" s="47">
        <v>187.63839964625052</v>
      </c>
      <c r="V70" s="47">
        <v>15.822951413961984</v>
      </c>
      <c r="W70" s="47">
        <v>37.305861996724907</v>
      </c>
      <c r="AH70" s="43"/>
    </row>
    <row r="71" spans="1:34" ht="13.9" customHeight="1" x14ac:dyDescent="0.2">
      <c r="A71" s="39">
        <v>221</v>
      </c>
      <c r="B71" s="39" t="s">
        <v>547</v>
      </c>
      <c r="C71" s="40">
        <v>1</v>
      </c>
      <c r="D71" s="40">
        <v>109.86844237095769</v>
      </c>
      <c r="E71" s="40">
        <v>207.53806441441475</v>
      </c>
      <c r="F71" s="40">
        <v>22.641705541416098</v>
      </c>
      <c r="G71" s="40">
        <v>10.41819703977823</v>
      </c>
      <c r="H71" s="40">
        <v>82.364485825022228</v>
      </c>
      <c r="I71" s="40">
        <v>241.43735026558309</v>
      </c>
      <c r="J71" s="40">
        <v>14.391541491283581</v>
      </c>
      <c r="K71" s="40">
        <v>15.223151035032155</v>
      </c>
      <c r="L71" s="40">
        <v>15.156239102545497</v>
      </c>
      <c r="M71" s="40">
        <v>15.11387009594481</v>
      </c>
      <c r="N71" s="47" t="s">
        <v>39</v>
      </c>
      <c r="O71" s="47" t="s">
        <v>39</v>
      </c>
      <c r="P71" s="47">
        <v>302.5545022625243</v>
      </c>
      <c r="Q71" s="47">
        <v>20.158371084142441</v>
      </c>
      <c r="R71" s="47">
        <v>75.649123905341824</v>
      </c>
      <c r="S71" s="47">
        <v>31.450827523521411</v>
      </c>
      <c r="T71" s="47">
        <v>29.579364518718407</v>
      </c>
      <c r="U71" s="47">
        <v>173.62645563237291</v>
      </c>
      <c r="V71" s="47">
        <v>12.774373266363284</v>
      </c>
      <c r="W71" s="47">
        <v>30.364018110133639</v>
      </c>
      <c r="AH71" s="43"/>
    </row>
    <row r="72" spans="1:34" ht="13.9" customHeight="1" x14ac:dyDescent="0.2">
      <c r="A72" s="39">
        <v>222</v>
      </c>
      <c r="B72" s="39" t="s">
        <v>548</v>
      </c>
      <c r="C72" s="40">
        <v>1</v>
      </c>
      <c r="D72" s="40">
        <v>113.64606424292431</v>
      </c>
      <c r="E72" s="40">
        <v>227.27942992387463</v>
      </c>
      <c r="F72" s="40">
        <v>24.390610768836531</v>
      </c>
      <c r="G72" s="40">
        <v>10.650290442499625</v>
      </c>
      <c r="H72" s="40">
        <v>86.007975895959348</v>
      </c>
      <c r="I72" s="40">
        <v>262.59419896457956</v>
      </c>
      <c r="J72" s="40">
        <v>15.366044354899303</v>
      </c>
      <c r="K72" s="40">
        <v>17.26554258009401</v>
      </c>
      <c r="L72" s="40">
        <v>16.905420916074572</v>
      </c>
      <c r="M72" s="40" t="s">
        <v>39</v>
      </c>
      <c r="N72" s="47" t="s">
        <v>39</v>
      </c>
      <c r="O72" s="47">
        <v>9.6829188132232016</v>
      </c>
      <c r="P72" s="47">
        <v>318.29995408466186</v>
      </c>
      <c r="Q72" s="47">
        <v>21.750874873435883</v>
      </c>
      <c r="R72" s="47">
        <v>48.480290498187003</v>
      </c>
      <c r="S72" s="47">
        <v>35.147385355696059</v>
      </c>
      <c r="T72" s="47">
        <v>33.797097947332674</v>
      </c>
      <c r="U72" s="47">
        <v>165.34676435487995</v>
      </c>
      <c r="V72" s="47">
        <v>13.270686968989882</v>
      </c>
      <c r="W72" s="47">
        <v>31.841519007420125</v>
      </c>
      <c r="AH72" s="43"/>
    </row>
    <row r="73" spans="1:34" s="51" customFormat="1" ht="13.9" customHeight="1" x14ac:dyDescent="0.2">
      <c r="A73" s="48">
        <v>84</v>
      </c>
      <c r="B73" s="48" t="s">
        <v>549</v>
      </c>
      <c r="C73" s="49">
        <v>1</v>
      </c>
      <c r="D73" s="49">
        <v>142.60888806283941</v>
      </c>
      <c r="E73" s="49">
        <v>318.08513451898057</v>
      </c>
      <c r="F73" s="49">
        <v>41.546794779983244</v>
      </c>
      <c r="G73" s="49">
        <v>12.355259994486298</v>
      </c>
      <c r="H73" s="49">
        <v>112.19912560622336</v>
      </c>
      <c r="I73" s="49" t="s">
        <v>39</v>
      </c>
      <c r="J73" s="49">
        <v>19.162107836727028</v>
      </c>
      <c r="K73" s="49">
        <v>33.381832332845114</v>
      </c>
      <c r="L73" s="49">
        <v>31.414910208540697</v>
      </c>
      <c r="M73" s="49">
        <v>44.970011931703979</v>
      </c>
      <c r="N73" s="50">
        <v>8.4919679274476021</v>
      </c>
      <c r="O73" s="50">
        <v>14.044996294421344</v>
      </c>
      <c r="P73" s="50">
        <v>449.8229943048558</v>
      </c>
      <c r="Q73" s="50">
        <v>36.054613055816986</v>
      </c>
      <c r="R73" s="50">
        <v>21.015780966382728</v>
      </c>
      <c r="S73" s="50">
        <v>72.984870708055212</v>
      </c>
      <c r="T73" s="50">
        <v>75.076083918984622</v>
      </c>
      <c r="U73" s="50">
        <v>232.50116151890899</v>
      </c>
      <c r="V73" s="50">
        <v>17.443888610986665</v>
      </c>
      <c r="W73" s="50">
        <v>42.275658323898696</v>
      </c>
      <c r="AH73" s="52"/>
    </row>
    <row r="74" spans="1:34" s="51" customFormat="1" ht="13.9" customHeight="1" x14ac:dyDescent="0.2">
      <c r="A74" s="48">
        <v>85</v>
      </c>
      <c r="B74" s="48" t="s">
        <v>550</v>
      </c>
      <c r="C74" s="49">
        <v>1</v>
      </c>
      <c r="D74" s="49">
        <v>43.545359410982712</v>
      </c>
      <c r="E74" s="49">
        <v>89.285648780360617</v>
      </c>
      <c r="F74" s="49">
        <v>13.568996803371368</v>
      </c>
      <c r="G74" s="49" t="s">
        <v>39</v>
      </c>
      <c r="H74" s="49">
        <v>37.111628065799863</v>
      </c>
      <c r="I74" s="49">
        <v>154.17946450641719</v>
      </c>
      <c r="J74" s="49" t="s">
        <v>39</v>
      </c>
      <c r="K74" s="49">
        <v>11.320724901250804</v>
      </c>
      <c r="L74" s="49">
        <v>9.5819380768022082</v>
      </c>
      <c r="M74" s="49">
        <v>13.932580008076444</v>
      </c>
      <c r="N74" s="50" t="s">
        <v>39</v>
      </c>
      <c r="O74" s="50" t="s">
        <v>39</v>
      </c>
      <c r="P74" s="50">
        <v>175.67021941461354</v>
      </c>
      <c r="Q74" s="50">
        <v>11.161588642960522</v>
      </c>
      <c r="R74" s="50">
        <v>34.192989654056511</v>
      </c>
      <c r="S74" s="50">
        <v>23.434861105105156</v>
      </c>
      <c r="T74" s="50">
        <v>24.5746237978449</v>
      </c>
      <c r="U74" s="50">
        <v>68.165576746536743</v>
      </c>
      <c r="V74" s="50" t="s">
        <v>39</v>
      </c>
      <c r="W74" s="50">
        <v>14.563675826222918</v>
      </c>
      <c r="AH74" s="52"/>
    </row>
    <row r="75" spans="1:34" s="51" customFormat="1" ht="13.9" customHeight="1" x14ac:dyDescent="0.2">
      <c r="A75" s="48">
        <v>86</v>
      </c>
      <c r="B75" s="48" t="s">
        <v>551</v>
      </c>
      <c r="C75" s="49">
        <v>1</v>
      </c>
      <c r="D75" s="49">
        <v>138.94000012569862</v>
      </c>
      <c r="E75" s="49">
        <v>313.99699662957755</v>
      </c>
      <c r="F75" s="49">
        <v>40.226315499975563</v>
      </c>
      <c r="G75" s="49">
        <v>12.094871418272049</v>
      </c>
      <c r="H75" s="49">
        <v>108.94940141110708</v>
      </c>
      <c r="I75" s="49">
        <v>452.93834539959278</v>
      </c>
      <c r="J75" s="49">
        <v>6.8347280449192196</v>
      </c>
      <c r="K75" s="49">
        <v>32.203654317612639</v>
      </c>
      <c r="L75" s="49">
        <v>30.416895367343226</v>
      </c>
      <c r="M75" s="49">
        <v>44.318372433663619</v>
      </c>
      <c r="N75" s="50">
        <v>8.3246473461964339</v>
      </c>
      <c r="O75" s="50">
        <v>11.584563607613486</v>
      </c>
      <c r="P75" s="50">
        <v>441.77756891862737</v>
      </c>
      <c r="Q75" s="50">
        <v>34.197599788331033</v>
      </c>
      <c r="R75" s="50">
        <v>19.51450108707315</v>
      </c>
      <c r="S75" s="50">
        <v>71.409718614468716</v>
      </c>
      <c r="T75" s="50">
        <v>74.470069694222218</v>
      </c>
      <c r="U75" s="50">
        <v>223.64788271455282</v>
      </c>
      <c r="V75" s="50">
        <v>16.963858106471186</v>
      </c>
      <c r="W75" s="50">
        <v>40.949743258286553</v>
      </c>
      <c r="AH75" s="52"/>
    </row>
    <row r="76" spans="1:34" s="51" customFormat="1" ht="13.9" customHeight="1" x14ac:dyDescent="0.2">
      <c r="A76" s="48">
        <v>190</v>
      </c>
      <c r="B76" s="48" t="s">
        <v>552</v>
      </c>
      <c r="C76" s="49">
        <v>1</v>
      </c>
      <c r="D76" s="49">
        <v>132.52422214468092</v>
      </c>
      <c r="E76" s="49">
        <v>301.41028725368659</v>
      </c>
      <c r="F76" s="49">
        <v>38.203154979819438</v>
      </c>
      <c r="G76" s="49">
        <v>11.163284561341664</v>
      </c>
      <c r="H76" s="49">
        <v>104.34188524217016</v>
      </c>
      <c r="I76" s="49">
        <v>420.12884834037681</v>
      </c>
      <c r="J76" s="49">
        <v>13.968434728923146</v>
      </c>
      <c r="K76" s="49">
        <v>30.569538316137969</v>
      </c>
      <c r="L76" s="49">
        <v>27.694274637878795</v>
      </c>
      <c r="M76" s="49">
        <v>38.228810163737307</v>
      </c>
      <c r="N76" s="50" t="s">
        <v>39</v>
      </c>
      <c r="O76" s="50">
        <v>17.98796655555152</v>
      </c>
      <c r="P76" s="50">
        <v>418.24477862594262</v>
      </c>
      <c r="Q76" s="50">
        <v>31.801261394135292</v>
      </c>
      <c r="R76" s="50">
        <v>37.125842187695199</v>
      </c>
      <c r="S76" s="50" t="s">
        <v>39</v>
      </c>
      <c r="T76" s="50">
        <v>68.736162852311168</v>
      </c>
      <c r="U76" s="50">
        <v>198.28006629929328</v>
      </c>
      <c r="V76" s="50">
        <v>16.435699182373046</v>
      </c>
      <c r="W76" s="50">
        <v>41.607280334303894</v>
      </c>
      <c r="AH76" s="52"/>
    </row>
    <row r="77" spans="1:34" s="51" customFormat="1" ht="13.9" customHeight="1" x14ac:dyDescent="0.2">
      <c r="A77" s="48">
        <v>191</v>
      </c>
      <c r="B77" s="48" t="s">
        <v>553</v>
      </c>
      <c r="C77" s="49">
        <v>1</v>
      </c>
      <c r="D77" s="49">
        <v>134.28595055279999</v>
      </c>
      <c r="E77" s="49">
        <v>310.56873618763041</v>
      </c>
      <c r="F77" s="49">
        <v>39.113182332555233</v>
      </c>
      <c r="G77" s="49">
        <v>11.489948627709124</v>
      </c>
      <c r="H77" s="49">
        <v>106.54640895082348</v>
      </c>
      <c r="I77" s="49">
        <v>429.50278638461776</v>
      </c>
      <c r="J77" s="49">
        <v>14.346463979579099</v>
      </c>
      <c r="K77" s="49">
        <v>31.436208381788724</v>
      </c>
      <c r="L77" s="49">
        <v>29.868651946879183</v>
      </c>
      <c r="M77" s="49">
        <v>40.247719135531263</v>
      </c>
      <c r="N77" s="50">
        <v>4.4252099191194727</v>
      </c>
      <c r="O77" s="50">
        <v>18.731309461326347</v>
      </c>
      <c r="P77" s="50">
        <v>427.27702711366265</v>
      </c>
      <c r="Q77" s="50">
        <v>37.235443770305615</v>
      </c>
      <c r="R77" s="50">
        <v>37.75209948942895</v>
      </c>
      <c r="S77" s="50" t="s">
        <v>39</v>
      </c>
      <c r="T77" s="50">
        <v>70.321245705470076</v>
      </c>
      <c r="U77" s="50">
        <v>207.6686598276095</v>
      </c>
      <c r="V77" s="50">
        <v>16.775265424647035</v>
      </c>
      <c r="W77" s="50">
        <v>41.840991011191974</v>
      </c>
      <c r="AH77" s="52"/>
    </row>
    <row r="78" spans="1:34" s="51" customFormat="1" ht="13.9" customHeight="1" x14ac:dyDescent="0.2">
      <c r="A78" s="48">
        <v>192</v>
      </c>
      <c r="B78" s="48" t="s">
        <v>554</v>
      </c>
      <c r="C78" s="49">
        <v>1</v>
      </c>
      <c r="D78" s="49">
        <v>111.1629597822773</v>
      </c>
      <c r="E78" s="49">
        <v>248.94079446298676</v>
      </c>
      <c r="F78" s="49">
        <v>32.164904507089865</v>
      </c>
      <c r="G78" s="49">
        <v>9.463917992843891</v>
      </c>
      <c r="H78" s="49">
        <v>87.879702173072275</v>
      </c>
      <c r="I78" s="49">
        <v>354.07182159616696</v>
      </c>
      <c r="J78" s="49">
        <v>11.537436286259425</v>
      </c>
      <c r="K78" s="49">
        <v>25.907618154097705</v>
      </c>
      <c r="L78" s="49">
        <v>23.734223088148685</v>
      </c>
      <c r="M78" s="49">
        <v>32.592084052615711</v>
      </c>
      <c r="N78" s="50" t="s">
        <v>39</v>
      </c>
      <c r="O78" s="50">
        <v>14.655536363644424</v>
      </c>
      <c r="P78" s="50">
        <v>371.24860512157244</v>
      </c>
      <c r="Q78" s="50">
        <v>27.15418648873575</v>
      </c>
      <c r="R78" s="50">
        <v>57.504821643107498</v>
      </c>
      <c r="S78" s="50" t="s">
        <v>39</v>
      </c>
      <c r="T78" s="50">
        <v>58.021624493484445</v>
      </c>
      <c r="U78" s="50">
        <v>166.94948196791165</v>
      </c>
      <c r="V78" s="50">
        <v>13.781605665877528</v>
      </c>
      <c r="W78" s="50">
        <v>32.35433921540055</v>
      </c>
      <c r="AH78" s="52"/>
    </row>
    <row r="79" spans="1:34" s="51" customFormat="1" ht="13.9" customHeight="1" x14ac:dyDescent="0.2">
      <c r="A79" s="48">
        <v>230</v>
      </c>
      <c r="B79" s="48" t="s">
        <v>555</v>
      </c>
      <c r="C79" s="49">
        <v>1</v>
      </c>
      <c r="D79" s="49">
        <v>123.62126815673336</v>
      </c>
      <c r="E79" s="49">
        <v>266.3238315478809</v>
      </c>
      <c r="F79" s="49">
        <v>30.171687479434887</v>
      </c>
      <c r="G79" s="49">
        <v>11.54774728091405</v>
      </c>
      <c r="H79" s="49">
        <v>93.755027809828192</v>
      </c>
      <c r="I79" s="49">
        <v>26.169506196348152</v>
      </c>
      <c r="J79" s="49">
        <v>17.724022789038713</v>
      </c>
      <c r="K79" s="49" t="s">
        <v>39</v>
      </c>
      <c r="L79" s="49">
        <v>23.258110166875422</v>
      </c>
      <c r="M79" s="49">
        <v>26.419595251211152</v>
      </c>
      <c r="N79" s="50" t="s">
        <v>39</v>
      </c>
      <c r="O79" s="50">
        <v>13.109743736261393</v>
      </c>
      <c r="P79" s="50">
        <v>355.97410585455867</v>
      </c>
      <c r="Q79" s="50">
        <v>27.105305732882965</v>
      </c>
      <c r="R79" s="50">
        <v>27.117625428105448</v>
      </c>
      <c r="S79" s="50" t="s">
        <v>39</v>
      </c>
      <c r="T79" s="50">
        <v>51.239527661102066</v>
      </c>
      <c r="U79" s="50">
        <v>158.1790164394524</v>
      </c>
      <c r="V79" s="50">
        <v>15.201386258406915</v>
      </c>
      <c r="W79" s="50">
        <v>34.895932334053846</v>
      </c>
      <c r="AH79" s="52"/>
    </row>
    <row r="80" spans="1:34" s="51" customFormat="1" ht="13.9" customHeight="1" x14ac:dyDescent="0.2">
      <c r="A80" s="48">
        <v>231</v>
      </c>
      <c r="B80" s="48" t="s">
        <v>556</v>
      </c>
      <c r="C80" s="49">
        <v>1</v>
      </c>
      <c r="D80" s="49">
        <v>140.68440952835721</v>
      </c>
      <c r="E80" s="49">
        <v>271.03484987609187</v>
      </c>
      <c r="F80" s="49">
        <v>32.768175358614883</v>
      </c>
      <c r="G80" s="49">
        <v>11.829745797936546</v>
      </c>
      <c r="H80" s="49">
        <v>96.587416897552515</v>
      </c>
      <c r="I80" s="49">
        <v>26.414691082210396</v>
      </c>
      <c r="J80" s="49">
        <v>17.813202948862045</v>
      </c>
      <c r="K80" s="49" t="s">
        <v>39</v>
      </c>
      <c r="L80" s="49">
        <v>24.441879510271466</v>
      </c>
      <c r="M80" s="49">
        <v>28.836271364786068</v>
      </c>
      <c r="N80" s="50" t="s">
        <v>39</v>
      </c>
      <c r="O80" s="50">
        <v>15.181420958248879</v>
      </c>
      <c r="P80" s="50">
        <v>353.36106392049936</v>
      </c>
      <c r="Q80" s="50">
        <v>32.10625018109225</v>
      </c>
      <c r="R80" s="50">
        <v>19.845435018289393</v>
      </c>
      <c r="S80" s="50" t="s">
        <v>39</v>
      </c>
      <c r="T80" s="50">
        <v>52.082151108350381</v>
      </c>
      <c r="U80" s="50">
        <v>164.23207693062292</v>
      </c>
      <c r="V80" s="50">
        <v>15.73697729901877</v>
      </c>
      <c r="W80" s="50">
        <v>38.746948156903329</v>
      </c>
      <c r="AH80" s="52"/>
    </row>
    <row r="81" spans="1:34" s="51" customFormat="1" ht="13.9" customHeight="1" x14ac:dyDescent="0.2">
      <c r="A81" s="48">
        <v>232</v>
      </c>
      <c r="B81" s="48" t="s">
        <v>557</v>
      </c>
      <c r="C81" s="49">
        <v>1</v>
      </c>
      <c r="D81" s="49">
        <v>134.48597945420443</v>
      </c>
      <c r="E81" s="49">
        <v>287.24207278997301</v>
      </c>
      <c r="F81" s="49">
        <v>32.629780783282705</v>
      </c>
      <c r="G81" s="49">
        <v>12.161439790173484</v>
      </c>
      <c r="H81" s="49">
        <v>99.905082195479849</v>
      </c>
      <c r="I81" s="49">
        <v>27.449531807688658</v>
      </c>
      <c r="J81" s="49">
        <v>15.801605610000989</v>
      </c>
      <c r="K81" s="49" t="s">
        <v>39</v>
      </c>
      <c r="L81" s="49">
        <v>24.444412613489625</v>
      </c>
      <c r="M81" s="49">
        <v>28.237320726221729</v>
      </c>
      <c r="N81" s="50" t="s">
        <v>39</v>
      </c>
      <c r="O81" s="50">
        <v>14.685524789465257</v>
      </c>
      <c r="P81" s="50">
        <v>369.93472200358298</v>
      </c>
      <c r="Q81" s="50">
        <v>28.904227930105293</v>
      </c>
      <c r="R81" s="50">
        <v>17.280859762694398</v>
      </c>
      <c r="S81" s="50" t="s">
        <v>39</v>
      </c>
      <c r="T81" s="50">
        <v>53.723388291903625</v>
      </c>
      <c r="U81" s="50">
        <v>167.91953391284989</v>
      </c>
      <c r="V81" s="50">
        <v>16.235475009308679</v>
      </c>
      <c r="W81" s="50">
        <v>37.690230000560561</v>
      </c>
      <c r="AH81" s="52"/>
    </row>
    <row r="82" spans="1:34" ht="13.9" customHeight="1" x14ac:dyDescent="0.2">
      <c r="A82" s="39">
        <v>93</v>
      </c>
      <c r="B82" s="39" t="s">
        <v>558</v>
      </c>
      <c r="C82" s="40">
        <v>1</v>
      </c>
      <c r="D82" s="40">
        <v>117.01619725423933</v>
      </c>
      <c r="E82" s="40">
        <v>251.00697487815523</v>
      </c>
      <c r="F82" s="40" t="s">
        <v>39</v>
      </c>
      <c r="G82" s="40">
        <v>9.137825231277251</v>
      </c>
      <c r="H82" s="40">
        <v>91.907182314943583</v>
      </c>
      <c r="I82" s="40">
        <v>368.89524932902032</v>
      </c>
      <c r="J82" s="40">
        <v>8.248283019343063</v>
      </c>
      <c r="K82" s="40">
        <v>27.551303148905781</v>
      </c>
      <c r="L82" s="40">
        <v>25.446253927485284</v>
      </c>
      <c r="M82" s="40">
        <v>37.457256338739427</v>
      </c>
      <c r="N82" s="47">
        <v>6.459825177722168</v>
      </c>
      <c r="O82" s="47" t="s">
        <v>39</v>
      </c>
      <c r="P82" s="47">
        <v>394.91119969999824</v>
      </c>
      <c r="Q82" s="47">
        <v>28.659582160080181</v>
      </c>
      <c r="R82" s="47">
        <v>33.327601162093664</v>
      </c>
      <c r="S82" s="47">
        <v>59.285630897752256</v>
      </c>
      <c r="T82" s="47">
        <v>62.723998905251143</v>
      </c>
      <c r="U82" s="47">
        <v>174.84719356381484</v>
      </c>
      <c r="V82" s="47">
        <v>14.159145335115696</v>
      </c>
      <c r="W82" s="47">
        <v>35.416622082792152</v>
      </c>
      <c r="AH82" s="43"/>
    </row>
    <row r="83" spans="1:34" ht="13.9" customHeight="1" x14ac:dyDescent="0.2">
      <c r="A83" s="39">
        <v>94</v>
      </c>
      <c r="B83" s="39" t="s">
        <v>559</v>
      </c>
      <c r="C83" s="40">
        <v>1</v>
      </c>
      <c r="D83" s="40">
        <v>116.40855262887625</v>
      </c>
      <c r="E83" s="40">
        <v>246.73893980417503</v>
      </c>
      <c r="F83" s="40">
        <v>33.47613715373236</v>
      </c>
      <c r="G83" s="40">
        <v>9.1496435812833639</v>
      </c>
      <c r="H83" s="40">
        <v>92.25196891604385</v>
      </c>
      <c r="I83" s="40">
        <v>369.38669196656235</v>
      </c>
      <c r="J83" s="40">
        <v>8.2560867260978394</v>
      </c>
      <c r="K83" s="40">
        <v>27.791238155589369</v>
      </c>
      <c r="L83" s="40">
        <v>25.211731449923327</v>
      </c>
      <c r="M83" s="40">
        <v>35.275042081981773</v>
      </c>
      <c r="N83" s="47">
        <v>6.3243370805139687</v>
      </c>
      <c r="O83" s="47" t="s">
        <v>39</v>
      </c>
      <c r="P83" s="47">
        <v>396.86190490333792</v>
      </c>
      <c r="Q83" s="47">
        <v>28.59071997005406</v>
      </c>
      <c r="R83" s="47">
        <v>43.087230748937202</v>
      </c>
      <c r="S83" s="47">
        <v>59.402757422686179</v>
      </c>
      <c r="T83" s="47">
        <v>62.189437791869757</v>
      </c>
      <c r="U83" s="47">
        <v>178.32582139588925</v>
      </c>
      <c r="V83" s="47">
        <v>14.194492423406405</v>
      </c>
      <c r="W83" s="47">
        <v>36.104900572387471</v>
      </c>
      <c r="AH83" s="43"/>
    </row>
    <row r="84" spans="1:34" ht="13.9" customHeight="1" x14ac:dyDescent="0.2">
      <c r="A84" s="39">
        <v>95</v>
      </c>
      <c r="B84" s="39" t="s">
        <v>560</v>
      </c>
      <c r="C84" s="40">
        <v>1</v>
      </c>
      <c r="D84" s="40">
        <v>121.78272717001224</v>
      </c>
      <c r="E84" s="40">
        <v>253.82823278788604</v>
      </c>
      <c r="F84" s="40">
        <v>34.335478344784256</v>
      </c>
      <c r="G84" s="40">
        <v>10.501244295175765</v>
      </c>
      <c r="H84" s="40">
        <v>95.130121140575383</v>
      </c>
      <c r="I84" s="40">
        <v>386.9634708792409</v>
      </c>
      <c r="J84" s="40">
        <v>8.3246260292925438</v>
      </c>
      <c r="K84" s="40">
        <v>28.840442191611242</v>
      </c>
      <c r="L84" s="40">
        <v>26.364414223176794</v>
      </c>
      <c r="M84" s="40">
        <v>37.60596397632375</v>
      </c>
      <c r="N84" s="47">
        <v>6.5345106066849521</v>
      </c>
      <c r="O84" s="47">
        <v>7.7907339244442761</v>
      </c>
      <c r="P84" s="47">
        <v>406.38882237114308</v>
      </c>
      <c r="Q84" s="47">
        <v>29.451645055953119</v>
      </c>
      <c r="R84" s="47">
        <v>44.599325779288222</v>
      </c>
      <c r="S84" s="47">
        <v>60.98633952511566</v>
      </c>
      <c r="T84" s="47">
        <v>64.95275566139442</v>
      </c>
      <c r="U84" s="47">
        <v>181.95306097378412</v>
      </c>
      <c r="V84" s="47">
        <v>14.615802201141282</v>
      </c>
      <c r="W84" s="47">
        <v>37.484543730425194</v>
      </c>
      <c r="AH84" s="43"/>
    </row>
    <row r="85" spans="1:34" ht="13.9" customHeight="1" x14ac:dyDescent="0.2">
      <c r="A85" s="39">
        <v>200</v>
      </c>
      <c r="B85" s="39" t="s">
        <v>561</v>
      </c>
      <c r="C85" s="40">
        <v>1</v>
      </c>
      <c r="D85" s="40">
        <v>149.40332214114588</v>
      </c>
      <c r="E85" s="40">
        <v>296.95077523731635</v>
      </c>
      <c r="F85" s="40">
        <v>39.867549309457424</v>
      </c>
      <c r="G85" s="40">
        <v>13.386656129683697</v>
      </c>
      <c r="H85" s="40">
        <v>117.04062517685331</v>
      </c>
      <c r="I85" s="40">
        <v>424.68698487010204</v>
      </c>
      <c r="J85" s="40">
        <v>17.137285453899725</v>
      </c>
      <c r="K85" s="40">
        <v>32.202002025431334</v>
      </c>
      <c r="L85" s="40">
        <v>26.455482794997938</v>
      </c>
      <c r="M85" s="40">
        <v>34.325501215884856</v>
      </c>
      <c r="N85" s="47" t="s">
        <v>39</v>
      </c>
      <c r="O85" s="47">
        <v>13.052089983552381</v>
      </c>
      <c r="P85" s="47">
        <v>431.64579461209701</v>
      </c>
      <c r="Q85" s="47">
        <v>31.667071541133843</v>
      </c>
      <c r="R85" s="47">
        <v>71.114183057928017</v>
      </c>
      <c r="S85" s="47">
        <v>66.485621491441563</v>
      </c>
      <c r="T85" s="47">
        <v>64.792073939924762</v>
      </c>
      <c r="U85" s="47">
        <v>213.54243455306795</v>
      </c>
      <c r="V85" s="47">
        <v>17.859495963302081</v>
      </c>
      <c r="W85" s="47">
        <v>41.786488017227981</v>
      </c>
      <c r="AH85" s="43"/>
    </row>
    <row r="86" spans="1:34" ht="13.9" customHeight="1" x14ac:dyDescent="0.2">
      <c r="A86" s="39">
        <v>201</v>
      </c>
      <c r="B86" s="39" t="s">
        <v>562</v>
      </c>
      <c r="C86" s="40">
        <v>1</v>
      </c>
      <c r="D86" s="40">
        <v>117.74531900075213</v>
      </c>
      <c r="E86" s="40">
        <v>247.3654252882414</v>
      </c>
      <c r="F86" s="40">
        <v>32.089383141083495</v>
      </c>
      <c r="G86" s="40">
        <v>9.927675151745742</v>
      </c>
      <c r="H86" s="40">
        <v>93.061738838063633</v>
      </c>
      <c r="I86" s="40">
        <v>339.36546144567615</v>
      </c>
      <c r="J86" s="40">
        <v>12.277804058684405</v>
      </c>
      <c r="K86" s="40">
        <v>26.013549771518051</v>
      </c>
      <c r="L86" s="40">
        <v>22.068214611656309</v>
      </c>
      <c r="M86" s="40">
        <v>29.613589224688031</v>
      </c>
      <c r="N86" s="47" t="s">
        <v>39</v>
      </c>
      <c r="O86" s="47">
        <v>11.697872561600681</v>
      </c>
      <c r="P86" s="47">
        <v>370.39547983697526</v>
      </c>
      <c r="Q86" s="47">
        <v>25.97072670771319</v>
      </c>
      <c r="R86" s="47">
        <v>34.883539552632968</v>
      </c>
      <c r="S86" s="47">
        <v>53.842755567011849</v>
      </c>
      <c r="T86" s="47">
        <v>53.738133165271471</v>
      </c>
      <c r="U86" s="47">
        <v>160.37821795425634</v>
      </c>
      <c r="V86" s="47">
        <v>14.274780569727097</v>
      </c>
      <c r="W86" s="47">
        <v>36.660355936201427</v>
      </c>
      <c r="AH86" s="43"/>
    </row>
    <row r="87" spans="1:34" ht="13.9" customHeight="1" x14ac:dyDescent="0.2">
      <c r="A87" s="39">
        <v>202</v>
      </c>
      <c r="B87" s="39" t="s">
        <v>563</v>
      </c>
      <c r="C87" s="40">
        <v>1</v>
      </c>
      <c r="D87" s="40">
        <v>122.82491090819587</v>
      </c>
      <c r="E87" s="40">
        <v>252.96238913407012</v>
      </c>
      <c r="F87" s="40">
        <v>33.607242279289039</v>
      </c>
      <c r="G87" s="40">
        <v>10.221743199817022</v>
      </c>
      <c r="H87" s="40">
        <v>96.908576536108839</v>
      </c>
      <c r="I87" s="40">
        <v>361.62883532989696</v>
      </c>
      <c r="J87" s="40">
        <v>12.761851072494135</v>
      </c>
      <c r="K87" s="40">
        <v>27.244566946139088</v>
      </c>
      <c r="L87" s="40">
        <v>23.456471524196328</v>
      </c>
      <c r="M87" s="40">
        <v>31.341664064437506</v>
      </c>
      <c r="N87" s="47" t="s">
        <v>39</v>
      </c>
      <c r="O87" s="47">
        <v>12.348413367303449</v>
      </c>
      <c r="P87" s="47">
        <v>381.7431538884573</v>
      </c>
      <c r="Q87" s="47">
        <v>27.288727487097113</v>
      </c>
      <c r="R87" s="47">
        <v>41.293727080725596</v>
      </c>
      <c r="S87" s="47">
        <v>56.688100105224002</v>
      </c>
      <c r="T87" s="47">
        <v>57.059095287997842</v>
      </c>
      <c r="U87" s="47">
        <v>165.3542835228518</v>
      </c>
      <c r="V87" s="47">
        <v>14.996612551307873</v>
      </c>
      <c r="W87" s="47">
        <v>39.013280564194005</v>
      </c>
      <c r="AH87" s="43"/>
    </row>
    <row r="88" spans="1:34" ht="13.9" customHeight="1" x14ac:dyDescent="0.2">
      <c r="A88" s="39">
        <v>277</v>
      </c>
      <c r="B88" s="39" t="s">
        <v>564</v>
      </c>
      <c r="C88" s="40">
        <v>1</v>
      </c>
      <c r="D88" s="40">
        <v>123.30705240177237</v>
      </c>
      <c r="E88" s="40">
        <v>201.20098889457631</v>
      </c>
      <c r="F88" s="40">
        <v>19.433111762571997</v>
      </c>
      <c r="G88" s="40">
        <v>10.622867275274288</v>
      </c>
      <c r="H88" s="40">
        <v>90.091259960018149</v>
      </c>
      <c r="I88" s="40">
        <v>167.79899884331329</v>
      </c>
      <c r="J88" s="40">
        <v>14.290190674816298</v>
      </c>
      <c r="K88" s="40" t="s">
        <v>39</v>
      </c>
      <c r="L88" s="40" t="s">
        <v>39</v>
      </c>
      <c r="M88" s="40" t="s">
        <v>39</v>
      </c>
      <c r="N88" s="47" t="s">
        <v>39</v>
      </c>
      <c r="O88" s="47" t="s">
        <v>39</v>
      </c>
      <c r="P88" s="47">
        <v>241.8577351049417</v>
      </c>
      <c r="Q88" s="47" t="s">
        <v>39</v>
      </c>
      <c r="R88" s="47">
        <v>64.066798231554557</v>
      </c>
      <c r="S88" s="47">
        <v>25.827863496136189</v>
      </c>
      <c r="T88" s="47">
        <v>18.861694505332348</v>
      </c>
      <c r="U88" s="47">
        <v>139.70282777700262</v>
      </c>
      <c r="V88" s="47">
        <v>11.671046108901669</v>
      </c>
      <c r="W88" s="47">
        <v>23.094448825800221</v>
      </c>
      <c r="AH88" s="43"/>
    </row>
    <row r="89" spans="1:34" ht="13.9" customHeight="1" x14ac:dyDescent="0.2">
      <c r="A89" s="39">
        <v>278</v>
      </c>
      <c r="B89" s="39" t="s">
        <v>565</v>
      </c>
      <c r="C89" s="40">
        <v>1</v>
      </c>
      <c r="D89" s="40">
        <v>105.61694214224583</v>
      </c>
      <c r="E89" s="40">
        <v>171.29807697619873</v>
      </c>
      <c r="F89" s="40">
        <v>15.618330027820273</v>
      </c>
      <c r="G89" s="40">
        <v>8.8181538855027171</v>
      </c>
      <c r="H89" s="40">
        <v>77.94599750910649</v>
      </c>
      <c r="I89" s="40">
        <v>131.51589733923322</v>
      </c>
      <c r="J89" s="40">
        <v>12.193119056621104</v>
      </c>
      <c r="K89" s="40" t="s">
        <v>39</v>
      </c>
      <c r="L89" s="40" t="s">
        <v>39</v>
      </c>
      <c r="M89" s="40" t="s">
        <v>39</v>
      </c>
      <c r="N89" s="47" t="s">
        <v>39</v>
      </c>
      <c r="O89" s="47" t="s">
        <v>39</v>
      </c>
      <c r="P89" s="47">
        <v>203.51589808600841</v>
      </c>
      <c r="Q89" s="47" t="s">
        <v>39</v>
      </c>
      <c r="R89" s="47">
        <v>68.992981843794581</v>
      </c>
      <c r="S89" s="47">
        <v>20.412384915916846</v>
      </c>
      <c r="T89" s="47">
        <v>14.391322476537589</v>
      </c>
      <c r="U89" s="47">
        <v>115.32293889105713</v>
      </c>
      <c r="V89" s="47">
        <v>9.6360426983219796</v>
      </c>
      <c r="W89" s="47">
        <v>17.604590098898949</v>
      </c>
      <c r="AH89" s="43"/>
    </row>
    <row r="90" spans="1:34" ht="13.9" customHeight="1" x14ac:dyDescent="0.2">
      <c r="A90" s="39">
        <v>279</v>
      </c>
      <c r="B90" s="39" t="s">
        <v>566</v>
      </c>
      <c r="C90" s="40">
        <v>1</v>
      </c>
      <c r="D90" s="40">
        <v>109.90262068689619</v>
      </c>
      <c r="E90" s="40">
        <v>186.44074099506696</v>
      </c>
      <c r="F90" s="40">
        <v>17.062371879266095</v>
      </c>
      <c r="G90" s="40">
        <v>9.1029039777445231</v>
      </c>
      <c r="H90" s="40">
        <v>80.373843540361364</v>
      </c>
      <c r="I90" s="40">
        <v>135.69733327356298</v>
      </c>
      <c r="J90" s="40">
        <v>17.436097661106615</v>
      </c>
      <c r="K90" s="40" t="s">
        <v>39</v>
      </c>
      <c r="L90" s="40" t="s">
        <v>39</v>
      </c>
      <c r="M90" s="40" t="s">
        <v>39</v>
      </c>
      <c r="N90" s="47" t="s">
        <v>39</v>
      </c>
      <c r="O90" s="47" t="s">
        <v>39</v>
      </c>
      <c r="P90" s="47">
        <v>208.55528440644548</v>
      </c>
      <c r="Q90" s="47" t="s">
        <v>39</v>
      </c>
      <c r="R90" s="47">
        <v>63.0424858122256</v>
      </c>
      <c r="S90" s="47">
        <v>21.009414050997506</v>
      </c>
      <c r="T90" s="47">
        <v>15.19386585401465</v>
      </c>
      <c r="U90" s="47">
        <v>114.00864005502326</v>
      </c>
      <c r="V90" s="47">
        <v>10.00634928404347</v>
      </c>
      <c r="W90" s="47">
        <v>17.951248381504868</v>
      </c>
      <c r="AH90" s="43"/>
    </row>
    <row r="91" spans="1:34" s="51" customFormat="1" ht="13.9" customHeight="1" x14ac:dyDescent="0.2">
      <c r="A91" s="48">
        <v>120</v>
      </c>
      <c r="B91" s="48" t="s">
        <v>567</v>
      </c>
      <c r="C91" s="49">
        <v>1</v>
      </c>
      <c r="D91" s="49">
        <v>115.01955244626643</v>
      </c>
      <c r="E91" s="49">
        <v>262.44029150238077</v>
      </c>
      <c r="F91" s="49">
        <v>33.121553694613397</v>
      </c>
      <c r="G91" s="49">
        <v>9.792897080322291</v>
      </c>
      <c r="H91" s="49">
        <v>91.543119994305499</v>
      </c>
      <c r="I91" s="49">
        <v>372.50388936029992</v>
      </c>
      <c r="J91" s="49">
        <v>12.811438111626593</v>
      </c>
      <c r="K91" s="49">
        <v>27.713974458673558</v>
      </c>
      <c r="L91" s="49">
        <v>24.659630555045137</v>
      </c>
      <c r="M91" s="49">
        <v>35.210276630962738</v>
      </c>
      <c r="N91" s="50">
        <v>6.0696760361913142</v>
      </c>
      <c r="O91" s="50">
        <v>11.008363164790822</v>
      </c>
      <c r="P91" s="50">
        <v>390.2914944162942</v>
      </c>
      <c r="Q91" s="50">
        <v>28.533056749743576</v>
      </c>
      <c r="R91" s="50">
        <v>37.103969348072646</v>
      </c>
      <c r="S91" s="50">
        <v>58.482912632198939</v>
      </c>
      <c r="T91" s="50">
        <v>70.689351441079623</v>
      </c>
      <c r="U91" s="50">
        <v>196.27373750417698</v>
      </c>
      <c r="V91" s="50">
        <v>14.374754906526178</v>
      </c>
      <c r="W91" s="50">
        <v>36.239712745384345</v>
      </c>
      <c r="AH91" s="52"/>
    </row>
    <row r="92" spans="1:34" s="51" customFormat="1" ht="13.9" customHeight="1" x14ac:dyDescent="0.2">
      <c r="A92" s="48">
        <v>121</v>
      </c>
      <c r="B92" s="48" t="s">
        <v>568</v>
      </c>
      <c r="C92" s="49">
        <v>1</v>
      </c>
      <c r="D92" s="49">
        <v>121.92552225181656</v>
      </c>
      <c r="E92" s="49">
        <v>270.57936257310473</v>
      </c>
      <c r="F92" s="49">
        <v>35.038111640908944</v>
      </c>
      <c r="G92" s="49">
        <v>10.358278380493319</v>
      </c>
      <c r="H92" s="49">
        <v>96.769979553304736</v>
      </c>
      <c r="I92" s="49">
        <v>392.31403143511494</v>
      </c>
      <c r="J92" s="49">
        <v>12.559272273356791</v>
      </c>
      <c r="K92" s="49">
        <v>29.053741213513071</v>
      </c>
      <c r="L92" s="49">
        <v>26.441204713151784</v>
      </c>
      <c r="M92" s="49">
        <v>35.993120375072195</v>
      </c>
      <c r="N92" s="50">
        <v>6.3298536382093262</v>
      </c>
      <c r="O92" s="50">
        <v>13.52466037299107</v>
      </c>
      <c r="P92" s="50">
        <v>402.41796644702947</v>
      </c>
      <c r="Q92" s="50">
        <v>30.03613327222866</v>
      </c>
      <c r="R92" s="50">
        <v>32.805278842416506</v>
      </c>
      <c r="S92" s="50">
        <v>62.3681676576008</v>
      </c>
      <c r="T92" s="50">
        <v>65.871307810466561</v>
      </c>
      <c r="U92" s="50">
        <v>212.75005110802735</v>
      </c>
      <c r="V92" s="50">
        <v>15.190028990660428</v>
      </c>
      <c r="W92" s="50">
        <v>36.854881146035744</v>
      </c>
      <c r="AH92" s="52"/>
    </row>
    <row r="93" spans="1:34" s="51" customFormat="1" ht="13.9" customHeight="1" x14ac:dyDescent="0.2">
      <c r="A93" s="48">
        <v>122</v>
      </c>
      <c r="B93" s="48" t="s">
        <v>569</v>
      </c>
      <c r="C93" s="49">
        <v>1</v>
      </c>
      <c r="D93" s="49">
        <v>125.53411214739268</v>
      </c>
      <c r="E93" s="49">
        <v>288.41707973485836</v>
      </c>
      <c r="F93" s="49">
        <v>36.618439252073529</v>
      </c>
      <c r="G93" s="49">
        <v>10.634072329028509</v>
      </c>
      <c r="H93" s="49">
        <v>99.836346831064063</v>
      </c>
      <c r="I93" s="49">
        <v>407.20597662303618</v>
      </c>
      <c r="J93" s="49">
        <v>14.042871179798169</v>
      </c>
      <c r="K93" s="49">
        <v>30.097865741879325</v>
      </c>
      <c r="L93" s="49">
        <v>27.016686968040165</v>
      </c>
      <c r="M93" s="49">
        <v>38.266232875359911</v>
      </c>
      <c r="N93" s="50">
        <v>6.6088826226333968</v>
      </c>
      <c r="O93" s="50">
        <v>11.880976304812478</v>
      </c>
      <c r="P93" s="50">
        <v>409.28134064733428</v>
      </c>
      <c r="Q93" s="50">
        <v>32.161847742245953</v>
      </c>
      <c r="R93" s="50">
        <v>20.42407733630429</v>
      </c>
      <c r="S93" s="50">
        <v>64.222741183712287</v>
      </c>
      <c r="T93" s="50">
        <v>68.989441235966737</v>
      </c>
      <c r="U93" s="50">
        <v>209.03192901723298</v>
      </c>
      <c r="V93" s="50">
        <v>15.726266721164963</v>
      </c>
      <c r="W93" s="50">
        <v>37.824823463123622</v>
      </c>
      <c r="AH93" s="52"/>
    </row>
    <row r="94" spans="1:34" s="51" customFormat="1" ht="13.9" customHeight="1" x14ac:dyDescent="0.2">
      <c r="A94" s="48">
        <v>210</v>
      </c>
      <c r="B94" s="48" t="s">
        <v>570</v>
      </c>
      <c r="C94" s="49">
        <v>1</v>
      </c>
      <c r="D94" s="49">
        <v>116.1343113488084</v>
      </c>
      <c r="E94" s="49">
        <v>239.48583043759612</v>
      </c>
      <c r="F94" s="49">
        <v>29.620113956256422</v>
      </c>
      <c r="G94" s="49">
        <v>10.133112841162207</v>
      </c>
      <c r="H94" s="49">
        <v>89.348747956694822</v>
      </c>
      <c r="I94" s="49">
        <v>338.98721190856565</v>
      </c>
      <c r="J94" s="49">
        <v>17.349837570019471</v>
      </c>
      <c r="K94" s="49">
        <v>24.766032487590497</v>
      </c>
      <c r="L94" s="49">
        <v>20.779179656011117</v>
      </c>
      <c r="M94" s="49">
        <v>23.568624533563217</v>
      </c>
      <c r="N94" s="50" t="s">
        <v>39</v>
      </c>
      <c r="O94" s="50">
        <v>9.952495993983975</v>
      </c>
      <c r="P94" s="50">
        <v>360.24404272426904</v>
      </c>
      <c r="Q94" s="50">
        <v>25.184009688772971</v>
      </c>
      <c r="R94" s="50">
        <v>22.493312230059242</v>
      </c>
      <c r="S94" s="50" t="s">
        <v>39</v>
      </c>
      <c r="T94" s="50">
        <v>52.815443861271646</v>
      </c>
      <c r="U94" s="50">
        <v>167.44745133548446</v>
      </c>
      <c r="V94" s="50">
        <v>14.457915581235872</v>
      </c>
      <c r="W94" s="50">
        <v>34.924318797655054</v>
      </c>
      <c r="AH94" s="52"/>
    </row>
    <row r="95" spans="1:34" s="51" customFormat="1" ht="13.9" customHeight="1" x14ac:dyDescent="0.2">
      <c r="A95" s="48">
        <v>211</v>
      </c>
      <c r="B95" s="48" t="s">
        <v>571</v>
      </c>
      <c r="C95" s="49">
        <v>1</v>
      </c>
      <c r="D95" s="49">
        <v>121.53977783284141</v>
      </c>
      <c r="E95" s="49">
        <v>245.6203011602866</v>
      </c>
      <c r="F95" s="49">
        <v>30.377116340637237</v>
      </c>
      <c r="G95" s="49">
        <v>10.670530153015969</v>
      </c>
      <c r="H95" s="49">
        <v>93.158793951945427</v>
      </c>
      <c r="I95" s="49">
        <v>349.7965753883729</v>
      </c>
      <c r="J95" s="49">
        <v>12.985291996962365</v>
      </c>
      <c r="K95" s="49">
        <v>25.401765730302245</v>
      </c>
      <c r="L95" s="49">
        <v>21.675380474312327</v>
      </c>
      <c r="M95" s="49">
        <v>23.60247993943895</v>
      </c>
      <c r="N95" s="50" t="s">
        <v>39</v>
      </c>
      <c r="O95" s="50">
        <v>9.7234393285311427</v>
      </c>
      <c r="P95" s="50">
        <v>372.35089059913065</v>
      </c>
      <c r="Q95" s="50">
        <v>26.262103671729434</v>
      </c>
      <c r="R95" s="50">
        <v>31.797490795537989</v>
      </c>
      <c r="S95" s="50">
        <v>52.386685560409425</v>
      </c>
      <c r="T95" s="50">
        <v>52.81994602914088</v>
      </c>
      <c r="U95" s="50">
        <v>179.10807462269074</v>
      </c>
      <c r="V95" s="50">
        <v>15.17362549437776</v>
      </c>
      <c r="W95" s="50">
        <v>39.119280811264545</v>
      </c>
      <c r="AH95" s="52"/>
    </row>
    <row r="96" spans="1:34" s="51" customFormat="1" ht="13.9" customHeight="1" x14ac:dyDescent="0.2">
      <c r="A96" s="48">
        <v>212</v>
      </c>
      <c r="B96" s="48" t="s">
        <v>572</v>
      </c>
      <c r="C96" s="49">
        <v>1</v>
      </c>
      <c r="D96" s="49">
        <v>106.56452683341139</v>
      </c>
      <c r="E96" s="49">
        <v>213.36177100129919</v>
      </c>
      <c r="F96" s="49">
        <v>26.550271522181163</v>
      </c>
      <c r="G96" s="49">
        <v>9.2347184439935663</v>
      </c>
      <c r="H96" s="49">
        <v>81.463879966156924</v>
      </c>
      <c r="I96" s="49">
        <v>303.70789545243224</v>
      </c>
      <c r="J96" s="49">
        <v>11.466592754010033</v>
      </c>
      <c r="K96" s="49">
        <v>22.42193519745685</v>
      </c>
      <c r="L96" s="49">
        <v>19.06247020449845</v>
      </c>
      <c r="M96" s="49">
        <v>20.733825470996067</v>
      </c>
      <c r="N96" s="50" t="s">
        <v>39</v>
      </c>
      <c r="O96" s="50">
        <v>7.9614303034101823</v>
      </c>
      <c r="P96" s="50">
        <v>336.4597083683538</v>
      </c>
      <c r="Q96" s="50">
        <v>22.821250960760196</v>
      </c>
      <c r="R96" s="50">
        <v>35.886302052078662</v>
      </c>
      <c r="S96" s="50" t="s">
        <v>39</v>
      </c>
      <c r="T96" s="50">
        <v>46.143889052817414</v>
      </c>
      <c r="U96" s="50">
        <v>148.01305750135003</v>
      </c>
      <c r="V96" s="50">
        <v>13.296564698893167</v>
      </c>
      <c r="W96" s="50">
        <v>33.354855487526457</v>
      </c>
      <c r="AH96" s="52"/>
    </row>
    <row r="97" spans="1:36" s="51" customFormat="1" ht="13.9" customHeight="1" x14ac:dyDescent="0.2">
      <c r="A97" s="48">
        <v>240</v>
      </c>
      <c r="B97" s="48" t="s">
        <v>573</v>
      </c>
      <c r="C97" s="49">
        <v>1</v>
      </c>
      <c r="D97" s="49">
        <v>77.158433298286496</v>
      </c>
      <c r="E97" s="49">
        <v>136.34473665905571</v>
      </c>
      <c r="F97" s="49">
        <v>9.2745264770109994</v>
      </c>
      <c r="G97" s="49">
        <v>7.0954219650669668</v>
      </c>
      <c r="H97" s="49">
        <v>50.599072700441447</v>
      </c>
      <c r="I97" s="49">
        <v>115.14248458878637</v>
      </c>
      <c r="J97" s="49">
        <v>16.582846237434111</v>
      </c>
      <c r="K97" s="49" t="s">
        <v>39</v>
      </c>
      <c r="L97" s="49" t="s">
        <v>39</v>
      </c>
      <c r="M97" s="49" t="s">
        <v>39</v>
      </c>
      <c r="N97" s="50" t="s">
        <v>39</v>
      </c>
      <c r="O97" s="50" t="s">
        <v>39</v>
      </c>
      <c r="P97" s="50">
        <v>157.12715805632206</v>
      </c>
      <c r="Q97" s="50" t="s">
        <v>39</v>
      </c>
      <c r="R97" s="50">
        <v>56.797503642887307</v>
      </c>
      <c r="S97" s="50">
        <v>11.723746970930575</v>
      </c>
      <c r="T97" s="50">
        <v>11.683190388154227</v>
      </c>
      <c r="U97" s="50">
        <v>82.678048605203188</v>
      </c>
      <c r="V97" s="50" t="s">
        <v>39</v>
      </c>
      <c r="W97" s="50" t="s">
        <v>39</v>
      </c>
      <c r="AH97" s="52"/>
    </row>
    <row r="98" spans="1:36" s="51" customFormat="1" ht="13.9" customHeight="1" x14ac:dyDescent="0.2">
      <c r="A98" s="48">
        <v>241</v>
      </c>
      <c r="B98" s="48" t="s">
        <v>574</v>
      </c>
      <c r="C98" s="49">
        <v>1</v>
      </c>
      <c r="D98" s="49">
        <v>72.30174726965555</v>
      </c>
      <c r="E98" s="49">
        <v>137.67996465130477</v>
      </c>
      <c r="F98" s="49" t="s">
        <v>39</v>
      </c>
      <c r="G98" s="49">
        <v>7.9382320314379005</v>
      </c>
      <c r="H98" s="49">
        <v>41.790471550133098</v>
      </c>
      <c r="I98" s="49">
        <v>129.003614102776</v>
      </c>
      <c r="J98" s="49">
        <v>17.793948150504175</v>
      </c>
      <c r="K98" s="49" t="s">
        <v>39</v>
      </c>
      <c r="L98" s="49" t="s">
        <v>39</v>
      </c>
      <c r="M98" s="49" t="s">
        <v>39</v>
      </c>
      <c r="N98" s="50" t="s">
        <v>39</v>
      </c>
      <c r="O98" s="50" t="s">
        <v>39</v>
      </c>
      <c r="P98" s="50">
        <v>166.3403444742325</v>
      </c>
      <c r="Q98" s="50" t="s">
        <v>39</v>
      </c>
      <c r="R98" s="50">
        <v>74.545959125803819</v>
      </c>
      <c r="S98" s="50">
        <v>11.254410924325743</v>
      </c>
      <c r="T98" s="50">
        <v>12.043741009591114</v>
      </c>
      <c r="U98" s="50">
        <v>80.053669317069279</v>
      </c>
      <c r="V98" s="50" t="s">
        <v>39</v>
      </c>
      <c r="W98" s="50" t="s">
        <v>39</v>
      </c>
      <c r="AH98" s="52"/>
    </row>
    <row r="99" spans="1:36" s="51" customFormat="1" ht="13.9" customHeight="1" x14ac:dyDescent="0.2">
      <c r="A99" s="48">
        <v>242</v>
      </c>
      <c r="B99" s="48" t="s">
        <v>575</v>
      </c>
      <c r="C99" s="49">
        <v>1</v>
      </c>
      <c r="D99" s="49">
        <v>70.822367633119313</v>
      </c>
      <c r="E99" s="49">
        <v>128.4234285543489</v>
      </c>
      <c r="F99" s="49" t="s">
        <v>39</v>
      </c>
      <c r="G99" s="49">
        <v>8.8120906637862291</v>
      </c>
      <c r="H99" s="49">
        <v>43.768320191859019</v>
      </c>
      <c r="I99" s="49">
        <v>83.031426278157383</v>
      </c>
      <c r="J99" s="49">
        <v>17.863638166596655</v>
      </c>
      <c r="K99" s="49" t="s">
        <v>39</v>
      </c>
      <c r="L99" s="49" t="s">
        <v>39</v>
      </c>
      <c r="M99" s="49" t="s">
        <v>39</v>
      </c>
      <c r="N99" s="50">
        <v>0.75862976351831479</v>
      </c>
      <c r="O99" s="50" t="s">
        <v>39</v>
      </c>
      <c r="P99" s="50">
        <v>125.13329896876877</v>
      </c>
      <c r="Q99" s="50" t="s">
        <v>39</v>
      </c>
      <c r="R99" s="50">
        <v>67.748957091105439</v>
      </c>
      <c r="S99" s="50">
        <v>7.0477776061891593</v>
      </c>
      <c r="T99" s="50">
        <v>7.823178785538083</v>
      </c>
      <c r="U99" s="50">
        <v>85.870594803114784</v>
      </c>
      <c r="V99" s="50" t="s">
        <v>39</v>
      </c>
      <c r="W99" s="50">
        <v>9.3193685670342905</v>
      </c>
      <c r="AH99" s="52"/>
    </row>
    <row r="100" spans="1:36" ht="13.9" customHeight="1" x14ac:dyDescent="0.2">
      <c r="A100" s="39">
        <v>348</v>
      </c>
      <c r="B100" s="39" t="s">
        <v>576</v>
      </c>
      <c r="C100" s="40">
        <v>1</v>
      </c>
      <c r="D100" s="40">
        <v>90.039619760479965</v>
      </c>
      <c r="E100" s="40">
        <v>172.592284254166</v>
      </c>
      <c r="F100" s="40">
        <v>29.778157682323062</v>
      </c>
      <c r="G100" s="40">
        <v>7.6326922248913167</v>
      </c>
      <c r="H100" s="40">
        <v>67.346898136311651</v>
      </c>
      <c r="I100" s="40">
        <v>305.01177682013804</v>
      </c>
      <c r="J100" s="40">
        <v>9.0505444819180845</v>
      </c>
      <c r="K100" s="40">
        <v>20.315172926249403</v>
      </c>
      <c r="L100" s="40">
        <v>17.64323299929967</v>
      </c>
      <c r="M100" s="40">
        <v>24.443937228726849</v>
      </c>
      <c r="N100" s="47" t="s">
        <v>39</v>
      </c>
      <c r="O100" s="47">
        <v>9.9371729413164438</v>
      </c>
      <c r="P100" s="47">
        <v>295.31691600656296</v>
      </c>
      <c r="Q100" s="47">
        <v>20.379965802345531</v>
      </c>
      <c r="R100" s="47">
        <v>81.719220076549647</v>
      </c>
      <c r="S100" s="47">
        <v>42.17098300179272</v>
      </c>
      <c r="T100" s="47">
        <v>46.801043374481573</v>
      </c>
      <c r="U100" s="47">
        <v>144.67949040951595</v>
      </c>
      <c r="V100" s="47">
        <v>10.817942070440155</v>
      </c>
      <c r="W100" s="47">
        <v>25.81248300405155</v>
      </c>
      <c r="AH100" s="43"/>
    </row>
    <row r="101" spans="1:36" ht="13.9" customHeight="1" x14ac:dyDescent="0.2">
      <c r="A101" s="39">
        <v>349</v>
      </c>
      <c r="B101" s="39" t="s">
        <v>577</v>
      </c>
      <c r="C101" s="40">
        <v>1</v>
      </c>
      <c r="D101" s="40">
        <v>89.437730477103969</v>
      </c>
      <c r="E101" s="40">
        <v>163.10753095706073</v>
      </c>
      <c r="F101" s="40">
        <v>28.609890228454645</v>
      </c>
      <c r="G101" s="40">
        <v>7.6056726767528975</v>
      </c>
      <c r="H101" s="40">
        <v>66.739801618473876</v>
      </c>
      <c r="I101" s="40">
        <v>298.80688888027538</v>
      </c>
      <c r="J101" s="40">
        <v>8.8495876386006387</v>
      </c>
      <c r="K101" s="40">
        <v>20.210367038678449</v>
      </c>
      <c r="L101" s="40">
        <v>17.505904782058327</v>
      </c>
      <c r="M101" s="40">
        <v>23.862345444953785</v>
      </c>
      <c r="N101" s="47" t="s">
        <v>39</v>
      </c>
      <c r="O101" s="47">
        <v>8.9109059419819516</v>
      </c>
      <c r="P101" s="47">
        <v>294.32561855725595</v>
      </c>
      <c r="Q101" s="47">
        <v>20.080943723882005</v>
      </c>
      <c r="R101" s="47">
        <v>62.608482593389716</v>
      </c>
      <c r="S101" s="47" t="s">
        <v>39</v>
      </c>
      <c r="T101" s="47">
        <v>45.394255597438203</v>
      </c>
      <c r="U101" s="47">
        <v>137.79136937282706</v>
      </c>
      <c r="V101" s="47">
        <v>10.795296201948704</v>
      </c>
      <c r="W101" s="47">
        <v>24.863994063356994</v>
      </c>
      <c r="AH101" s="43"/>
    </row>
    <row r="102" spans="1:36" ht="13.9" customHeight="1" x14ac:dyDescent="0.2">
      <c r="A102" s="39">
        <v>350</v>
      </c>
      <c r="B102" s="39" t="s">
        <v>578</v>
      </c>
      <c r="C102" s="40">
        <v>1</v>
      </c>
      <c r="D102" s="40">
        <v>83.945601295899181</v>
      </c>
      <c r="E102" s="40">
        <v>143.62861198908658</v>
      </c>
      <c r="F102" s="40">
        <v>22.940973366759501</v>
      </c>
      <c r="G102" s="40">
        <v>7.1420424267967402</v>
      </c>
      <c r="H102" s="40">
        <v>62.770379724930685</v>
      </c>
      <c r="I102" s="40">
        <v>283.63365295541445</v>
      </c>
      <c r="J102" s="40">
        <v>8.437755397222487</v>
      </c>
      <c r="K102" s="40">
        <v>19.203774299844628</v>
      </c>
      <c r="L102" s="40">
        <v>17.297058144984874</v>
      </c>
      <c r="M102" s="40">
        <v>23.635001814149145</v>
      </c>
      <c r="N102" s="47" t="s">
        <v>39</v>
      </c>
      <c r="O102" s="47">
        <v>9.0210704585295503</v>
      </c>
      <c r="P102" s="47">
        <v>281.13098803280383</v>
      </c>
      <c r="Q102" s="47">
        <v>20.855006930551255</v>
      </c>
      <c r="R102" s="47">
        <v>78.208742522318261</v>
      </c>
      <c r="S102" s="47">
        <v>39.399655931361735</v>
      </c>
      <c r="T102" s="47">
        <v>41.175381218352648</v>
      </c>
      <c r="U102" s="47">
        <v>135.72453909403862</v>
      </c>
      <c r="V102" s="47">
        <v>10.007686758996021</v>
      </c>
      <c r="W102" s="47">
        <v>28.946502733969243</v>
      </c>
      <c r="AH102" s="43"/>
    </row>
    <row r="103" spans="1:36" ht="13.9" customHeight="1" x14ac:dyDescent="0.2">
      <c r="A103" s="39">
        <v>443</v>
      </c>
      <c r="B103" s="39" t="s">
        <v>498</v>
      </c>
      <c r="C103" s="40">
        <v>1</v>
      </c>
      <c r="D103" s="40">
        <v>76.968871839293413</v>
      </c>
      <c r="E103" s="40">
        <v>135.99872518444903</v>
      </c>
      <c r="F103" s="40">
        <v>19.722029206259833</v>
      </c>
      <c r="G103" s="40">
        <v>7.9904844383883189</v>
      </c>
      <c r="H103" s="40">
        <v>55.649518148009101</v>
      </c>
      <c r="I103" s="40">
        <v>251.16586076142426</v>
      </c>
      <c r="J103" s="40">
        <v>8.6479202304058997</v>
      </c>
      <c r="K103" s="40">
        <v>15.897843209571725</v>
      </c>
      <c r="L103" s="40">
        <v>12.93732610176348</v>
      </c>
      <c r="M103" s="40">
        <v>13.937435977393932</v>
      </c>
      <c r="N103" s="47" t="s">
        <v>39</v>
      </c>
      <c r="O103" s="47" t="s">
        <v>39</v>
      </c>
      <c r="P103" s="47">
        <v>257.54755119668317</v>
      </c>
      <c r="Q103" s="47">
        <v>16.433054194910468</v>
      </c>
      <c r="R103" s="47">
        <v>98.086260608057344</v>
      </c>
      <c r="S103" s="47">
        <v>28.649554638651836</v>
      </c>
      <c r="T103" s="47">
        <v>30.549530328911327</v>
      </c>
      <c r="U103" s="47">
        <v>113.84047008772863</v>
      </c>
      <c r="V103" s="47" t="s">
        <v>39</v>
      </c>
      <c r="W103" s="47">
        <v>26.259710688825884</v>
      </c>
      <c r="X103" s="47" t="s">
        <v>39</v>
      </c>
      <c r="Y103" s="47" t="s">
        <v>39</v>
      </c>
      <c r="AJ103" s="43"/>
    </row>
    <row r="104" spans="1:36" ht="13.9" customHeight="1" x14ac:dyDescent="0.2">
      <c r="A104" s="39">
        <v>445</v>
      </c>
      <c r="B104" s="39" t="s">
        <v>499</v>
      </c>
      <c r="C104" s="40">
        <v>1</v>
      </c>
      <c r="D104" s="40">
        <v>73.053380837132536</v>
      </c>
      <c r="E104" s="40">
        <v>145.0714388440108</v>
      </c>
      <c r="F104" s="40">
        <v>17.359276083112082</v>
      </c>
      <c r="G104" s="40">
        <v>9.0451774866782717</v>
      </c>
      <c r="H104" s="40">
        <v>53.549427408791196</v>
      </c>
      <c r="I104" s="40">
        <v>235.46604497895066</v>
      </c>
      <c r="J104" s="40">
        <v>11.813477900377181</v>
      </c>
      <c r="K104" s="40">
        <v>14.492685754501895</v>
      </c>
      <c r="L104" s="40">
        <v>12.180113244220321</v>
      </c>
      <c r="M104" s="40">
        <v>13.063208004825739</v>
      </c>
      <c r="N104" s="47" t="s">
        <v>39</v>
      </c>
      <c r="O104" s="47" t="s">
        <v>39</v>
      </c>
      <c r="P104" s="47">
        <v>247.07753038171924</v>
      </c>
      <c r="Q104" s="47">
        <v>15.766338142321864</v>
      </c>
      <c r="R104" s="47">
        <v>108.98967265168243</v>
      </c>
      <c r="S104" s="47">
        <v>27.084132903934929</v>
      </c>
      <c r="T104" s="47">
        <v>28.143959013170374</v>
      </c>
      <c r="U104" s="47">
        <v>108.5893888321781</v>
      </c>
      <c r="V104" s="47" t="s">
        <v>39</v>
      </c>
      <c r="W104" s="47">
        <v>28.97106387371494</v>
      </c>
      <c r="X104" s="47" t="s">
        <v>39</v>
      </c>
      <c r="Y104" s="47" t="s">
        <v>39</v>
      </c>
      <c r="AJ104" s="43"/>
    </row>
    <row r="105" spans="1:36" ht="13.9" customHeight="1" x14ac:dyDescent="0.2">
      <c r="A105" s="39">
        <v>446</v>
      </c>
      <c r="B105" s="39" t="s">
        <v>500</v>
      </c>
      <c r="C105" s="40">
        <v>1</v>
      </c>
      <c r="D105" s="40">
        <v>70.589836875005929</v>
      </c>
      <c r="E105" s="40">
        <v>138.81080524820661</v>
      </c>
      <c r="F105" s="40">
        <v>17.416921916298268</v>
      </c>
      <c r="G105" s="40">
        <v>6.7667176130782618</v>
      </c>
      <c r="H105" s="40">
        <v>51.982466098271047</v>
      </c>
      <c r="I105" s="40">
        <v>229.13739584964131</v>
      </c>
      <c r="J105" s="40">
        <v>11.206270891434368</v>
      </c>
      <c r="K105" s="40">
        <v>14.343010455495918</v>
      </c>
      <c r="L105" s="40">
        <v>12.388063781655051</v>
      </c>
      <c r="M105" s="40">
        <v>13.726404897607992</v>
      </c>
      <c r="N105" s="47" t="s">
        <v>39</v>
      </c>
      <c r="O105" s="47" t="s">
        <v>39</v>
      </c>
      <c r="P105" s="47">
        <v>238.24816388301895</v>
      </c>
      <c r="Q105" s="47">
        <v>15.321527149452306</v>
      </c>
      <c r="R105" s="47">
        <v>88.063802375722361</v>
      </c>
      <c r="S105" s="47">
        <v>27.124061791331386</v>
      </c>
      <c r="T105" s="47">
        <v>27.563892784968377</v>
      </c>
      <c r="U105" s="47">
        <v>102.85968539590728</v>
      </c>
      <c r="V105" s="47" t="s">
        <v>39</v>
      </c>
      <c r="W105" s="47">
        <v>22.168425139717574</v>
      </c>
      <c r="X105" s="47" t="s">
        <v>39</v>
      </c>
      <c r="Y105" s="47" t="s">
        <v>39</v>
      </c>
      <c r="AJ105" s="43"/>
    </row>
    <row r="106" spans="1:36" ht="13.9" customHeight="1" x14ac:dyDescent="0.2">
      <c r="A106" s="39">
        <v>505</v>
      </c>
      <c r="B106" s="39" t="s">
        <v>501</v>
      </c>
      <c r="C106" s="40">
        <v>1</v>
      </c>
      <c r="D106" s="40">
        <v>11.337723199002372</v>
      </c>
      <c r="E106" s="40">
        <v>54.437416879671645</v>
      </c>
      <c r="F106" s="40" t="s">
        <v>39</v>
      </c>
      <c r="G106" s="40" t="s">
        <v>39</v>
      </c>
      <c r="H106" s="40" t="s">
        <v>39</v>
      </c>
      <c r="I106" s="40">
        <v>33.273359574320551</v>
      </c>
      <c r="J106" s="40">
        <v>9.9775702139590106</v>
      </c>
      <c r="K106" s="40" t="s">
        <v>39</v>
      </c>
      <c r="L106" s="40" t="s">
        <v>39</v>
      </c>
      <c r="M106" s="40" t="s">
        <v>39</v>
      </c>
      <c r="N106" s="47" t="s">
        <v>39</v>
      </c>
      <c r="O106" s="47" t="s">
        <v>39</v>
      </c>
      <c r="P106" s="47">
        <v>101.38279508334807</v>
      </c>
      <c r="Q106" s="47" t="s">
        <v>39</v>
      </c>
      <c r="R106" s="47">
        <v>123.86722192619312</v>
      </c>
      <c r="S106" s="47" t="s">
        <v>39</v>
      </c>
      <c r="T106" s="47" t="s">
        <v>39</v>
      </c>
      <c r="U106" s="47">
        <v>66.552318253727123</v>
      </c>
      <c r="V106" s="47" t="s">
        <v>39</v>
      </c>
      <c r="W106" s="47">
        <v>5.9778874859297115</v>
      </c>
      <c r="X106" s="47" t="s">
        <v>39</v>
      </c>
      <c r="Y106" s="47" t="s">
        <v>39</v>
      </c>
      <c r="AJ106" s="43"/>
    </row>
    <row r="107" spans="1:36" ht="13.9" customHeight="1" x14ac:dyDescent="0.2">
      <c r="A107" s="39">
        <v>506</v>
      </c>
      <c r="B107" s="39" t="s">
        <v>502</v>
      </c>
      <c r="C107" s="40">
        <v>1</v>
      </c>
      <c r="D107" s="40">
        <v>6.3033515026007843</v>
      </c>
      <c r="E107" s="40">
        <v>45.701088049164476</v>
      </c>
      <c r="F107" s="40" t="s">
        <v>39</v>
      </c>
      <c r="G107" s="40" t="s">
        <v>39</v>
      </c>
      <c r="H107" s="40" t="s">
        <v>39</v>
      </c>
      <c r="I107" s="40">
        <v>22.669933795848415</v>
      </c>
      <c r="J107" s="40">
        <v>8.6497987757330197</v>
      </c>
      <c r="K107" s="40" t="s">
        <v>39</v>
      </c>
      <c r="L107" s="40" t="s">
        <v>39</v>
      </c>
      <c r="M107" s="40" t="s">
        <v>39</v>
      </c>
      <c r="N107" s="47" t="s">
        <v>39</v>
      </c>
      <c r="O107" s="47" t="s">
        <v>39</v>
      </c>
      <c r="P107" s="47">
        <v>96.635856102144089</v>
      </c>
      <c r="Q107" s="47" t="s">
        <v>39</v>
      </c>
      <c r="R107" s="47">
        <v>129.10720310954162</v>
      </c>
      <c r="S107" s="47" t="s">
        <v>39</v>
      </c>
      <c r="T107" s="47" t="s">
        <v>39</v>
      </c>
      <c r="U107" s="47">
        <v>67.044660202533436</v>
      </c>
      <c r="V107" s="47" t="s">
        <v>39</v>
      </c>
      <c r="W107" s="47">
        <v>6.6845448565728569</v>
      </c>
      <c r="X107" s="47" t="s">
        <v>39</v>
      </c>
      <c r="Y107" s="47" t="s">
        <v>39</v>
      </c>
      <c r="AJ107" s="43"/>
    </row>
    <row r="108" spans="1:36" ht="13.9" customHeight="1" x14ac:dyDescent="0.2">
      <c r="A108" s="39">
        <v>507</v>
      </c>
      <c r="B108" s="39" t="s">
        <v>503</v>
      </c>
      <c r="C108" s="40">
        <v>1</v>
      </c>
      <c r="D108" s="40">
        <v>15.539550298600529</v>
      </c>
      <c r="E108" s="40">
        <v>64.700494083230268</v>
      </c>
      <c r="F108" s="40" t="s">
        <v>39</v>
      </c>
      <c r="G108" s="40" t="s">
        <v>39</v>
      </c>
      <c r="H108" s="40">
        <v>13.080423917538965</v>
      </c>
      <c r="I108" s="40">
        <v>41.852810261396826</v>
      </c>
      <c r="J108" s="40">
        <v>9.4993506478855974</v>
      </c>
      <c r="K108" s="40" t="s">
        <v>39</v>
      </c>
      <c r="L108" s="40" t="s">
        <v>39</v>
      </c>
      <c r="M108" s="40" t="s">
        <v>39</v>
      </c>
      <c r="N108" s="47" t="s">
        <v>39</v>
      </c>
      <c r="O108" s="47" t="s">
        <v>39</v>
      </c>
      <c r="P108" s="47">
        <v>112.34154403389581</v>
      </c>
      <c r="Q108" s="47" t="s">
        <v>39</v>
      </c>
      <c r="R108" s="47">
        <v>125.63172433601841</v>
      </c>
      <c r="S108" s="47" t="s">
        <v>39</v>
      </c>
      <c r="T108" s="47" t="s">
        <v>39</v>
      </c>
      <c r="U108" s="47">
        <v>71.769035584949009</v>
      </c>
      <c r="V108" s="47" t="s">
        <v>39</v>
      </c>
      <c r="W108" s="47">
        <v>6.8358472017317089</v>
      </c>
      <c r="X108" s="47" t="s">
        <v>39</v>
      </c>
      <c r="Y108" s="47" t="s">
        <v>39</v>
      </c>
      <c r="AJ108" s="43"/>
    </row>
    <row r="109" spans="1:36" ht="13.9" customHeight="1" x14ac:dyDescent="0.2">
      <c r="A109" s="39">
        <v>310</v>
      </c>
      <c r="B109" s="39" t="s">
        <v>579</v>
      </c>
      <c r="C109" s="40">
        <v>1</v>
      </c>
      <c r="D109" s="40">
        <v>76.126936975035974</v>
      </c>
      <c r="E109" s="40">
        <v>149.2557841780438</v>
      </c>
      <c r="F109" s="40">
        <v>23.337994180422708</v>
      </c>
      <c r="G109" s="40">
        <v>7.0738284782101442</v>
      </c>
      <c r="H109" s="40">
        <v>58.56136604356373</v>
      </c>
      <c r="I109" s="40">
        <v>269.11185186068838</v>
      </c>
      <c r="J109" s="40">
        <v>7.5788683078636616</v>
      </c>
      <c r="K109" s="40">
        <v>19.203466239994803</v>
      </c>
      <c r="L109" s="40">
        <v>16.839986800110996</v>
      </c>
      <c r="M109" s="40">
        <v>23.110162762390008</v>
      </c>
      <c r="N109" s="47" t="s">
        <v>39</v>
      </c>
      <c r="O109" s="47" t="s">
        <v>39</v>
      </c>
      <c r="P109" s="47">
        <v>267.29452449407597</v>
      </c>
      <c r="Q109" s="47">
        <v>21.405677963224122</v>
      </c>
      <c r="R109" s="47">
        <v>101.74858909079325</v>
      </c>
      <c r="S109" s="47">
        <v>37.976675648323166</v>
      </c>
      <c r="T109" s="47">
        <v>41.017424576687127</v>
      </c>
      <c r="U109" s="47">
        <v>122.51537723031066</v>
      </c>
      <c r="V109" s="47" t="s">
        <v>39</v>
      </c>
      <c r="W109" s="47">
        <v>28.137090144666033</v>
      </c>
      <c r="AH109" s="43"/>
    </row>
    <row r="110" spans="1:36" ht="13.9" customHeight="1" x14ac:dyDescent="0.2">
      <c r="A110" s="39">
        <v>311</v>
      </c>
      <c r="B110" s="39" t="s">
        <v>580</v>
      </c>
      <c r="C110" s="40">
        <v>1</v>
      </c>
      <c r="D110" s="40">
        <v>74.0952981062551</v>
      </c>
      <c r="E110" s="40">
        <v>155.42063197300385</v>
      </c>
      <c r="F110" s="40">
        <v>24.010424034474116</v>
      </c>
      <c r="G110" s="40">
        <v>6.7332667288721177</v>
      </c>
      <c r="H110" s="40">
        <v>57.143230892360137</v>
      </c>
      <c r="I110" s="40">
        <v>262.47184258676515</v>
      </c>
      <c r="J110" s="40">
        <v>8.4839272018640202</v>
      </c>
      <c r="K110" s="40">
        <v>17.802444686972468</v>
      </c>
      <c r="L110" s="40">
        <v>16.249597500214975</v>
      </c>
      <c r="M110" s="40">
        <v>22.540812859513444</v>
      </c>
      <c r="N110" s="47" t="s">
        <v>39</v>
      </c>
      <c r="O110" s="47" t="s">
        <v>39</v>
      </c>
      <c r="P110" s="47">
        <v>258.60183000584897</v>
      </c>
      <c r="Q110" s="47">
        <v>20.525562491222949</v>
      </c>
      <c r="R110" s="47">
        <v>90.20595984137357</v>
      </c>
      <c r="S110" s="47">
        <v>36.846869347923544</v>
      </c>
      <c r="T110" s="47">
        <v>39.350982486217049</v>
      </c>
      <c r="U110" s="47">
        <v>118.17569851013096</v>
      </c>
      <c r="V110" s="47" t="s">
        <v>39</v>
      </c>
      <c r="W110" s="47">
        <v>21.96364624910823</v>
      </c>
      <c r="AH110" s="43"/>
    </row>
    <row r="111" spans="1:36" ht="13.9" customHeight="1" x14ac:dyDescent="0.2">
      <c r="A111" s="39">
        <v>312</v>
      </c>
      <c r="B111" s="39" t="s">
        <v>581</v>
      </c>
      <c r="C111" s="40">
        <v>1</v>
      </c>
      <c r="D111" s="40">
        <v>79.580556678545108</v>
      </c>
      <c r="E111" s="40">
        <v>159.4014532044485</v>
      </c>
      <c r="F111" s="40">
        <v>25.567988333052217</v>
      </c>
      <c r="G111" s="40">
        <v>7.2461784358926842</v>
      </c>
      <c r="H111" s="40">
        <v>60.902265837597561</v>
      </c>
      <c r="I111" s="40">
        <v>269.21618428211195</v>
      </c>
      <c r="J111" s="40">
        <v>7.9358479959044947</v>
      </c>
      <c r="K111" s="40">
        <v>18.373607583272836</v>
      </c>
      <c r="L111" s="40">
        <v>16.767247321061788</v>
      </c>
      <c r="M111" s="40">
        <v>22.555471688353045</v>
      </c>
      <c r="N111" s="47" t="s">
        <v>39</v>
      </c>
      <c r="O111" s="47" t="s">
        <v>39</v>
      </c>
      <c r="P111" s="47">
        <v>270.98967175286106</v>
      </c>
      <c r="Q111" s="47">
        <v>21.584253764450576</v>
      </c>
      <c r="R111" s="47">
        <v>95.700190017351787</v>
      </c>
      <c r="S111" s="47" t="s">
        <v>39</v>
      </c>
      <c r="T111" s="47">
        <v>39.472273662550194</v>
      </c>
      <c r="U111" s="47">
        <v>122.54717175019793</v>
      </c>
      <c r="V111" s="47">
        <v>9.6014837753994744</v>
      </c>
      <c r="W111" s="47">
        <v>23.065705395008486</v>
      </c>
      <c r="AH111" s="43"/>
    </row>
    <row r="112" spans="1:36" ht="13.9" customHeight="1" x14ac:dyDescent="0.2">
      <c r="A112" s="39">
        <v>411</v>
      </c>
      <c r="B112" s="39" t="s">
        <v>582</v>
      </c>
      <c r="C112" s="40">
        <v>1</v>
      </c>
      <c r="D112" s="40">
        <v>83.545183374271261</v>
      </c>
      <c r="E112" s="40">
        <v>138.16538869996526</v>
      </c>
      <c r="F112" s="40">
        <v>28.091122053908489</v>
      </c>
      <c r="G112" s="40">
        <v>7.746985604452516</v>
      </c>
      <c r="H112" s="40">
        <v>61.940069913747138</v>
      </c>
      <c r="I112" s="40">
        <v>286.50718215577365</v>
      </c>
      <c r="J112" s="40">
        <v>8.7156280140447944</v>
      </c>
      <c r="K112" s="40">
        <v>19.685206175795788</v>
      </c>
      <c r="L112" s="40">
        <v>16.427872445008639</v>
      </c>
      <c r="M112" s="40">
        <v>19.776738520294504</v>
      </c>
      <c r="N112" s="47" t="s">
        <v>39</v>
      </c>
      <c r="O112" s="47" t="s">
        <v>39</v>
      </c>
      <c r="P112" s="47">
        <v>274.48680606450034</v>
      </c>
      <c r="Q112" s="47">
        <v>18.505398122876478</v>
      </c>
      <c r="R112" s="47">
        <v>81.532292224340793</v>
      </c>
      <c r="S112" s="47">
        <v>38.550100663864001</v>
      </c>
      <c r="T112" s="47">
        <v>41.645743563300563</v>
      </c>
      <c r="U112" s="47">
        <v>111.20865786359032</v>
      </c>
      <c r="V112" s="47">
        <v>9.7747753723244006</v>
      </c>
      <c r="W112" s="47">
        <v>29.10872013796951</v>
      </c>
      <c r="AH112" s="43"/>
    </row>
    <row r="113" spans="1:34" ht="13.9" customHeight="1" x14ac:dyDescent="0.2">
      <c r="A113" s="39">
        <v>412</v>
      </c>
      <c r="B113" s="39" t="s">
        <v>583</v>
      </c>
      <c r="C113" s="40">
        <v>1</v>
      </c>
      <c r="D113" s="40">
        <v>86.161413950953872</v>
      </c>
      <c r="E113" s="40">
        <v>154.30260430460748</v>
      </c>
      <c r="F113" s="40">
        <v>25.135675438049113</v>
      </c>
      <c r="G113" s="40">
        <v>6.6420942631381292</v>
      </c>
      <c r="H113" s="40">
        <v>63.882365158758027</v>
      </c>
      <c r="I113" s="40">
        <v>295.63565441096534</v>
      </c>
      <c r="J113" s="40">
        <v>8.8730144148913972</v>
      </c>
      <c r="K113" s="40">
        <v>20.03682027204918</v>
      </c>
      <c r="L113" s="40">
        <v>16.997241986126678</v>
      </c>
      <c r="M113" s="40">
        <v>20.479710877952787</v>
      </c>
      <c r="N113" s="47" t="s">
        <v>39</v>
      </c>
      <c r="O113" s="47" t="s">
        <v>39</v>
      </c>
      <c r="P113" s="47">
        <v>277.35218059221637</v>
      </c>
      <c r="Q113" s="47">
        <v>18.942385516087818</v>
      </c>
      <c r="R113" s="47">
        <v>81.772653781143063</v>
      </c>
      <c r="S113" s="47">
        <v>39.836077830408286</v>
      </c>
      <c r="T113" s="47">
        <v>44.220584445557733</v>
      </c>
      <c r="U113" s="47">
        <v>112.55623700054079</v>
      </c>
      <c r="V113" s="47">
        <v>10.063234470807791</v>
      </c>
      <c r="W113" s="47">
        <v>28.598410118360672</v>
      </c>
      <c r="AH113" s="43"/>
    </row>
    <row r="114" spans="1:34" ht="13.9" customHeight="1" x14ac:dyDescent="0.2">
      <c r="A114" s="39">
        <v>413</v>
      </c>
      <c r="B114" s="39" t="s">
        <v>584</v>
      </c>
      <c r="C114" s="40">
        <v>1</v>
      </c>
      <c r="D114" s="40">
        <v>79.215705579397294</v>
      </c>
      <c r="E114" s="40">
        <v>127.14067510773064</v>
      </c>
      <c r="F114" s="40">
        <v>24.347785742172935</v>
      </c>
      <c r="G114" s="40">
        <v>8.4505755557149609</v>
      </c>
      <c r="H114" s="40">
        <v>58.682030715324565</v>
      </c>
      <c r="I114" s="40">
        <v>240.18893320633995</v>
      </c>
      <c r="J114" s="40">
        <v>12.111987324139228</v>
      </c>
      <c r="K114" s="40">
        <v>14.973527069301859</v>
      </c>
      <c r="L114" s="40">
        <v>13.793101740372579</v>
      </c>
      <c r="M114" s="40">
        <v>15.072812984074043</v>
      </c>
      <c r="N114" s="47" t="s">
        <v>39</v>
      </c>
      <c r="O114" s="47" t="s">
        <v>39</v>
      </c>
      <c r="P114" s="47">
        <v>248.77568123868218</v>
      </c>
      <c r="Q114" s="47">
        <v>16.606158573663507</v>
      </c>
      <c r="R114" s="47">
        <v>89.328162871313708</v>
      </c>
      <c r="S114" s="47">
        <v>28.5648253177079</v>
      </c>
      <c r="T114" s="47">
        <v>28.652035616815994</v>
      </c>
      <c r="U114" s="47">
        <v>113.48622184373745</v>
      </c>
      <c r="V114" s="47" t="s">
        <v>39</v>
      </c>
      <c r="W114" s="47">
        <v>26.599883667630774</v>
      </c>
      <c r="AH114" s="43"/>
    </row>
    <row r="115" spans="1:34" ht="13.9" customHeight="1" x14ac:dyDescent="0.2">
      <c r="A115" s="39">
        <v>593</v>
      </c>
      <c r="B115" s="39" t="s">
        <v>585</v>
      </c>
      <c r="C115" s="40">
        <v>1</v>
      </c>
      <c r="D115" s="40">
        <v>76.456316986889604</v>
      </c>
      <c r="E115" s="40">
        <v>109.89209355101588</v>
      </c>
      <c r="F115" s="40">
        <v>16.177753367545815</v>
      </c>
      <c r="G115" s="40">
        <v>6.270989113668473</v>
      </c>
      <c r="H115" s="40">
        <v>44.139118747761792</v>
      </c>
      <c r="I115" s="40">
        <v>230.05442964533177</v>
      </c>
      <c r="J115" s="40">
        <v>11.296133268931948</v>
      </c>
      <c r="K115" s="40">
        <v>11.745505138862841</v>
      </c>
      <c r="L115" s="40">
        <v>11.472794185355671</v>
      </c>
      <c r="M115" s="40">
        <v>8.5650217849189314</v>
      </c>
      <c r="N115" s="47" t="s">
        <v>39</v>
      </c>
      <c r="O115" s="47" t="s">
        <v>39</v>
      </c>
      <c r="P115" s="47">
        <v>221.32608005865848</v>
      </c>
      <c r="Q115" s="47">
        <v>14.25232204051909</v>
      </c>
      <c r="R115" s="47">
        <v>85.287671162978199</v>
      </c>
      <c r="S115" s="47">
        <v>22.56220815239466</v>
      </c>
      <c r="T115" s="47">
        <v>25.690417654628217</v>
      </c>
      <c r="U115" s="47">
        <v>104.39775134629575</v>
      </c>
      <c r="V115" s="47" t="s">
        <v>39</v>
      </c>
      <c r="W115" s="47">
        <v>22.410622553798948</v>
      </c>
      <c r="AH115" s="43"/>
    </row>
    <row r="116" spans="1:34" ht="13.9" customHeight="1" x14ac:dyDescent="0.2">
      <c r="A116" s="39">
        <v>594</v>
      </c>
      <c r="B116" s="39" t="s">
        <v>586</v>
      </c>
      <c r="C116" s="40">
        <v>1</v>
      </c>
      <c r="D116" s="40">
        <v>73.265204558490908</v>
      </c>
      <c r="E116" s="40">
        <v>100.72719793210835</v>
      </c>
      <c r="F116" s="40">
        <v>15.282210922309565</v>
      </c>
      <c r="G116" s="40">
        <v>6.0621430274167265</v>
      </c>
      <c r="H116" s="40">
        <v>41.879774742907927</v>
      </c>
      <c r="I116" s="40">
        <v>222.05759521947078</v>
      </c>
      <c r="J116" s="40">
        <v>11.343599879106051</v>
      </c>
      <c r="K116" s="40">
        <v>11.366715557983227</v>
      </c>
      <c r="L116" s="40">
        <v>10.907823312841865</v>
      </c>
      <c r="M116" s="40">
        <v>7.7583604364681511</v>
      </c>
      <c r="N116" s="47" t="s">
        <v>39</v>
      </c>
      <c r="O116" s="47" t="s">
        <v>39</v>
      </c>
      <c r="P116" s="47">
        <v>208.75215203985405</v>
      </c>
      <c r="Q116" s="47">
        <v>13.368940084353399</v>
      </c>
      <c r="R116" s="47">
        <v>84.354232568249984</v>
      </c>
      <c r="S116" s="47">
        <v>22.375245928443604</v>
      </c>
      <c r="T116" s="47">
        <v>24.561409742428978</v>
      </c>
      <c r="U116" s="47">
        <v>94.363973117020748</v>
      </c>
      <c r="V116" s="47" t="s">
        <v>39</v>
      </c>
      <c r="W116" s="47">
        <v>20.853411132286165</v>
      </c>
      <c r="AH116" s="43"/>
    </row>
    <row r="117" spans="1:34" ht="13.9" customHeight="1" x14ac:dyDescent="0.2">
      <c r="A117" s="39">
        <v>595</v>
      </c>
      <c r="B117" s="39" t="s">
        <v>587</v>
      </c>
      <c r="C117" s="40">
        <v>1</v>
      </c>
      <c r="D117" s="40">
        <v>65.789286621744566</v>
      </c>
      <c r="E117" s="40">
        <v>83.728172346914718</v>
      </c>
      <c r="F117" s="40">
        <v>8.3609612977287444</v>
      </c>
      <c r="G117" s="40">
        <v>5.9657791563569544</v>
      </c>
      <c r="H117" s="40">
        <v>39.918047560134568</v>
      </c>
      <c r="I117" s="40">
        <v>110.86955768858348</v>
      </c>
      <c r="J117" s="40">
        <v>7.2215004108035261</v>
      </c>
      <c r="K117" s="40" t="s">
        <v>39</v>
      </c>
      <c r="L117" s="40" t="s">
        <v>39</v>
      </c>
      <c r="M117" s="40" t="s">
        <v>39</v>
      </c>
      <c r="N117" s="47" t="s">
        <v>39</v>
      </c>
      <c r="O117" s="47" t="s">
        <v>39</v>
      </c>
      <c r="P117" s="47">
        <v>159.83255106074952</v>
      </c>
      <c r="Q117" s="47" t="s">
        <v>39</v>
      </c>
      <c r="R117" s="47">
        <v>90.151632778521858</v>
      </c>
      <c r="S117" s="47">
        <v>6.7392643296825092</v>
      </c>
      <c r="T117" s="47">
        <v>7.3560378708205008</v>
      </c>
      <c r="U117" s="47">
        <v>92.794149898814254</v>
      </c>
      <c r="V117" s="47" t="s">
        <v>39</v>
      </c>
      <c r="W117" s="47">
        <v>14.459619651483401</v>
      </c>
      <c r="AH117" s="43"/>
    </row>
    <row r="118" spans="1:34" ht="13.9" customHeight="1" x14ac:dyDescent="0.2">
      <c r="A118" s="39">
        <v>363</v>
      </c>
      <c r="B118" s="39" t="s">
        <v>588</v>
      </c>
      <c r="C118" s="40">
        <v>1</v>
      </c>
      <c r="D118" s="40">
        <v>81.304651534808514</v>
      </c>
      <c r="E118" s="40">
        <v>137.19723938756101</v>
      </c>
      <c r="F118" s="40">
        <v>25.864635500507585</v>
      </c>
      <c r="G118" s="40">
        <v>7.3502924319128731</v>
      </c>
      <c r="H118" s="40">
        <v>66.182252092230243</v>
      </c>
      <c r="I118" s="40">
        <v>306.59428796245174</v>
      </c>
      <c r="J118" s="40">
        <v>11.792352467405388</v>
      </c>
      <c r="K118" s="40">
        <v>22.908761818741468</v>
      </c>
      <c r="L118" s="40">
        <v>17.678369918968873</v>
      </c>
      <c r="M118" s="40">
        <v>27.06721420060158</v>
      </c>
      <c r="N118" s="47">
        <v>4.5493369238703192</v>
      </c>
      <c r="O118" s="47">
        <v>12.056680514482567</v>
      </c>
      <c r="P118" s="47">
        <v>274.6086984085544</v>
      </c>
      <c r="Q118" s="47">
        <v>19.915910720940161</v>
      </c>
      <c r="R118" s="47">
        <v>83.985213797891376</v>
      </c>
      <c r="S118" s="47">
        <v>42.674695378397914</v>
      </c>
      <c r="T118" s="47">
        <v>48.805395579933879</v>
      </c>
      <c r="U118" s="47">
        <v>136.27693485217065</v>
      </c>
      <c r="V118" s="47">
        <v>10.615868376428953</v>
      </c>
      <c r="W118" s="47">
        <v>29.417088269108287</v>
      </c>
      <c r="AH118" s="43"/>
    </row>
    <row r="119" spans="1:34" ht="13.9" customHeight="1" x14ac:dyDescent="0.2">
      <c r="A119" s="39">
        <v>364</v>
      </c>
      <c r="B119" s="39" t="s">
        <v>589</v>
      </c>
      <c r="C119" s="40">
        <v>1</v>
      </c>
      <c r="D119" s="40">
        <v>78.935798353556251</v>
      </c>
      <c r="E119" s="40">
        <v>141.52251434694506</v>
      </c>
      <c r="F119" s="40">
        <v>25.18256911689625</v>
      </c>
      <c r="G119" s="40">
        <v>6.6567876500835208</v>
      </c>
      <c r="H119" s="40">
        <v>61.852317515220705</v>
      </c>
      <c r="I119" s="40">
        <v>286.8234687389845</v>
      </c>
      <c r="J119" s="40">
        <v>10.823055901461773</v>
      </c>
      <c r="K119" s="40">
        <v>20.109313205142548</v>
      </c>
      <c r="L119" s="40">
        <v>16.56418042583185</v>
      </c>
      <c r="M119" s="40">
        <v>24.875834986972386</v>
      </c>
      <c r="N119" s="47">
        <v>4.3417560314407968</v>
      </c>
      <c r="O119" s="47">
        <v>11.661293185725878</v>
      </c>
      <c r="P119" s="47">
        <v>258.98887092404868</v>
      </c>
      <c r="Q119" s="47">
        <v>18.753448299212938</v>
      </c>
      <c r="R119" s="47">
        <v>90.854155056837442</v>
      </c>
      <c r="S119" s="47">
        <v>39.793247826223848</v>
      </c>
      <c r="T119" s="47">
        <v>46.43964948531395</v>
      </c>
      <c r="U119" s="47">
        <v>130.97315056094391</v>
      </c>
      <c r="V119" s="47">
        <v>9.9521416918384062</v>
      </c>
      <c r="W119" s="47">
        <v>27.613939534022546</v>
      </c>
      <c r="AH119" s="43"/>
    </row>
    <row r="120" spans="1:34" ht="13.9" customHeight="1" x14ac:dyDescent="0.2">
      <c r="A120" s="39">
        <v>365</v>
      </c>
      <c r="B120" s="39" t="s">
        <v>590</v>
      </c>
      <c r="C120" s="40">
        <v>1</v>
      </c>
      <c r="D120" s="40">
        <v>89.161042286261974</v>
      </c>
      <c r="E120" s="40">
        <v>161.81393486056854</v>
      </c>
      <c r="F120" s="40">
        <v>27.076201785277373</v>
      </c>
      <c r="G120" s="40">
        <v>7.3815914118890014</v>
      </c>
      <c r="H120" s="40">
        <v>67.652881059531992</v>
      </c>
      <c r="I120" s="40">
        <v>312.2327338711155</v>
      </c>
      <c r="J120" s="40">
        <v>10.477338824349602</v>
      </c>
      <c r="K120" s="40">
        <v>21.49167628512394</v>
      </c>
      <c r="L120" s="40">
        <v>18.20546308721196</v>
      </c>
      <c r="M120" s="40">
        <v>27.47178766065938</v>
      </c>
      <c r="N120" s="47">
        <v>4.759126082719833</v>
      </c>
      <c r="O120" s="47">
        <v>12.467004336645019</v>
      </c>
      <c r="P120" s="47">
        <v>280.13211590335328</v>
      </c>
      <c r="Q120" s="47">
        <v>20.714044654333247</v>
      </c>
      <c r="R120" s="47">
        <v>103.63755336579794</v>
      </c>
      <c r="S120" s="47">
        <v>43.402331224768261</v>
      </c>
      <c r="T120" s="47">
        <v>49.177755327544119</v>
      </c>
      <c r="U120" s="47">
        <v>142.2061254271436</v>
      </c>
      <c r="V120" s="47">
        <v>10.981525599324014</v>
      </c>
      <c r="W120" s="47">
        <v>24.957588801748663</v>
      </c>
      <c r="AH120" s="43"/>
    </row>
    <row r="121" spans="1:34" ht="13.9" customHeight="1" x14ac:dyDescent="0.2">
      <c r="A121" s="39">
        <v>433</v>
      </c>
      <c r="B121" s="39" t="s">
        <v>591</v>
      </c>
      <c r="C121" s="40">
        <v>1</v>
      </c>
      <c r="D121" s="40">
        <v>80.842530787319092</v>
      </c>
      <c r="E121" s="40">
        <v>143.43983460072405</v>
      </c>
      <c r="F121" s="40">
        <v>23.792883994409628</v>
      </c>
      <c r="G121" s="40">
        <v>7.0381074493278248</v>
      </c>
      <c r="H121" s="40">
        <v>60.00021474827512</v>
      </c>
      <c r="I121" s="40">
        <v>274.15308072360824</v>
      </c>
      <c r="J121" s="40">
        <v>8.7196863167882945</v>
      </c>
      <c r="K121" s="40">
        <v>18.160545765695748</v>
      </c>
      <c r="L121" s="40">
        <v>15.624200066020972</v>
      </c>
      <c r="M121" s="40">
        <v>19.203586500297831</v>
      </c>
      <c r="N121" s="47" t="s">
        <v>39</v>
      </c>
      <c r="O121" s="47">
        <v>8.9059475536165529</v>
      </c>
      <c r="P121" s="47">
        <v>266.30715308817344</v>
      </c>
      <c r="Q121" s="47">
        <v>17.840235330737961</v>
      </c>
      <c r="R121" s="47">
        <v>94.834477765977539</v>
      </c>
      <c r="S121" s="47">
        <v>36.529839910587995</v>
      </c>
      <c r="T121" s="47">
        <v>38.314659910241282</v>
      </c>
      <c r="U121" s="47">
        <v>102.42560107309845</v>
      </c>
      <c r="V121" s="47">
        <v>9.7645937001640597</v>
      </c>
      <c r="W121" s="47">
        <v>26.62625317402712</v>
      </c>
      <c r="AH121" s="43"/>
    </row>
    <row r="122" spans="1:34" ht="13.9" customHeight="1" x14ac:dyDescent="0.2">
      <c r="A122" s="39">
        <v>435</v>
      </c>
      <c r="B122" s="39" t="s">
        <v>592</v>
      </c>
      <c r="C122" s="40">
        <v>1</v>
      </c>
      <c r="D122" s="40">
        <v>82.877114821395381</v>
      </c>
      <c r="E122" s="40">
        <v>153.00818914435951</v>
      </c>
      <c r="F122" s="40">
        <v>24.008884884574453</v>
      </c>
      <c r="G122" s="40">
        <v>7.2390082828910725</v>
      </c>
      <c r="H122" s="40">
        <v>61.83043132222064</v>
      </c>
      <c r="I122" s="40">
        <v>284.460894743121</v>
      </c>
      <c r="J122" s="40">
        <v>8.6208690702870587</v>
      </c>
      <c r="K122" s="40">
        <v>18.630040971307814</v>
      </c>
      <c r="L122" s="40">
        <v>16.330797845765332</v>
      </c>
      <c r="M122" s="40">
        <v>19.863430617256313</v>
      </c>
      <c r="N122" s="47" t="s">
        <v>39</v>
      </c>
      <c r="O122" s="47">
        <v>8.8120041879627333</v>
      </c>
      <c r="P122" s="47">
        <v>272.79187117456297</v>
      </c>
      <c r="Q122" s="47">
        <v>18.47027535175906</v>
      </c>
      <c r="R122" s="47">
        <v>106.0977912268709</v>
      </c>
      <c r="S122" s="47">
        <v>37.43979509918718</v>
      </c>
      <c r="T122" s="47">
        <v>41.507955198964964</v>
      </c>
      <c r="U122" s="47">
        <v>105.68850650678718</v>
      </c>
      <c r="V122" s="47">
        <v>10.061158424111547</v>
      </c>
      <c r="W122" s="47">
        <v>28.911029380194297</v>
      </c>
      <c r="AH122" s="43"/>
    </row>
    <row r="123" spans="1:34" ht="13.9" customHeight="1" x14ac:dyDescent="0.2">
      <c r="A123" s="39">
        <v>436</v>
      </c>
      <c r="B123" s="39" t="s">
        <v>593</v>
      </c>
      <c r="C123" s="40">
        <v>1</v>
      </c>
      <c r="D123" s="40">
        <v>78.444059156531935</v>
      </c>
      <c r="E123" s="40">
        <v>139.9230790120545</v>
      </c>
      <c r="F123" s="40">
        <v>25.973342853614639</v>
      </c>
      <c r="G123" s="40">
        <v>6.8454676602542746</v>
      </c>
      <c r="H123" s="40">
        <v>58.47227851116326</v>
      </c>
      <c r="I123" s="40">
        <v>269.77239740900313</v>
      </c>
      <c r="J123" s="40">
        <v>8.5301426797951461</v>
      </c>
      <c r="K123" s="40">
        <v>17.937865743699991</v>
      </c>
      <c r="L123" s="40">
        <v>15.374505799202593</v>
      </c>
      <c r="M123" s="40">
        <v>18.510995007103197</v>
      </c>
      <c r="N123" s="47" t="s">
        <v>39</v>
      </c>
      <c r="O123" s="47">
        <v>8.1955337027673441</v>
      </c>
      <c r="P123" s="47">
        <v>260.25668638231667</v>
      </c>
      <c r="Q123" s="47">
        <v>17.488475190366593</v>
      </c>
      <c r="R123" s="47">
        <v>104.46491036245475</v>
      </c>
      <c r="S123" s="47">
        <v>35.616565803121262</v>
      </c>
      <c r="T123" s="47">
        <v>40.555768485045135</v>
      </c>
      <c r="U123" s="47">
        <v>101.48665154845042</v>
      </c>
      <c r="V123" s="47" t="s">
        <v>39</v>
      </c>
      <c r="W123" s="47">
        <v>27.185760671659047</v>
      </c>
      <c r="AH123" s="43"/>
    </row>
    <row r="124" spans="1:34" ht="13.9" customHeight="1" x14ac:dyDescent="0.2">
      <c r="A124" s="39">
        <v>603</v>
      </c>
      <c r="B124" s="39" t="s">
        <v>594</v>
      </c>
      <c r="C124" s="40">
        <v>1</v>
      </c>
      <c r="D124" s="40">
        <v>59.271325848444292</v>
      </c>
      <c r="E124" s="40">
        <v>95.529265382161583</v>
      </c>
      <c r="F124" s="40">
        <v>8.9813784546901356</v>
      </c>
      <c r="G124" s="40">
        <v>5.8707015155418105</v>
      </c>
      <c r="H124" s="40">
        <v>31.261385353409363</v>
      </c>
      <c r="I124" s="40">
        <v>165.23181203085431</v>
      </c>
      <c r="J124" s="40">
        <v>6.3372815057632481</v>
      </c>
      <c r="K124" s="40" t="s">
        <v>39</v>
      </c>
      <c r="L124" s="40">
        <v>25.249033246488437</v>
      </c>
      <c r="M124" s="40" t="s">
        <v>39</v>
      </c>
      <c r="N124" s="47" t="s">
        <v>39</v>
      </c>
      <c r="O124" s="47" t="s">
        <v>39</v>
      </c>
      <c r="P124" s="47">
        <v>180.5643822020258</v>
      </c>
      <c r="Q124" s="47" t="s">
        <v>39</v>
      </c>
      <c r="R124" s="47">
        <v>74.536554003860203</v>
      </c>
      <c r="S124" s="47">
        <v>11.850332752151019</v>
      </c>
      <c r="T124" s="47">
        <v>13.212613608402791</v>
      </c>
      <c r="U124" s="47" t="s">
        <v>39</v>
      </c>
      <c r="V124" s="47" t="s">
        <v>39</v>
      </c>
      <c r="W124" s="47">
        <v>15.587102553864529</v>
      </c>
    </row>
    <row r="125" spans="1:34" ht="13.9" customHeight="1" x14ac:dyDescent="0.2">
      <c r="A125" s="39">
        <v>604</v>
      </c>
      <c r="B125" s="39" t="s">
        <v>595</v>
      </c>
      <c r="C125" s="40">
        <v>1</v>
      </c>
      <c r="D125" s="40">
        <v>62.525212699167668</v>
      </c>
      <c r="E125" s="40">
        <v>100.71129251795844</v>
      </c>
      <c r="F125" s="40">
        <v>9.4690285705768193</v>
      </c>
      <c r="G125" s="40">
        <v>6.1713399163229861</v>
      </c>
      <c r="H125" s="40">
        <v>33.263067717711749</v>
      </c>
      <c r="I125" s="40">
        <v>177.07326624516222</v>
      </c>
      <c r="J125" s="40">
        <v>6.537966221507955</v>
      </c>
      <c r="K125" s="40" t="s">
        <v>39</v>
      </c>
      <c r="L125" s="40">
        <v>25.430566903520511</v>
      </c>
      <c r="M125" s="40" t="s">
        <v>39</v>
      </c>
      <c r="N125" s="47" t="s">
        <v>39</v>
      </c>
      <c r="O125" s="47" t="s">
        <v>39</v>
      </c>
      <c r="P125" s="47">
        <v>188.17158822618899</v>
      </c>
      <c r="Q125" s="47" t="s">
        <v>39</v>
      </c>
      <c r="R125" s="47">
        <v>76.65244962009325</v>
      </c>
      <c r="S125" s="47">
        <v>12.941084667551804</v>
      </c>
      <c r="T125" s="47">
        <v>14.412380315831378</v>
      </c>
      <c r="U125" s="47" t="s">
        <v>39</v>
      </c>
      <c r="V125" s="47" t="s">
        <v>39</v>
      </c>
      <c r="W125" s="47">
        <v>16.073536554921962</v>
      </c>
    </row>
    <row r="126" spans="1:34" ht="13.9" customHeight="1" x14ac:dyDescent="0.2">
      <c r="A126" s="39">
        <v>605</v>
      </c>
      <c r="B126" s="39" t="s">
        <v>596</v>
      </c>
      <c r="C126" s="40">
        <v>1</v>
      </c>
      <c r="D126" s="40">
        <v>60.863374821905246</v>
      </c>
      <c r="E126" s="40">
        <v>97.996525546926847</v>
      </c>
      <c r="F126" s="40">
        <v>8.959259772211718</v>
      </c>
      <c r="G126" s="40">
        <v>6.0895991839033528</v>
      </c>
      <c r="H126" s="40">
        <v>32.461889487019498</v>
      </c>
      <c r="I126" s="40">
        <v>172.22451789457094</v>
      </c>
      <c r="J126" s="40">
        <v>8.7278320068652047</v>
      </c>
      <c r="K126" s="40" t="s">
        <v>39</v>
      </c>
      <c r="L126" s="40">
        <v>29.425959387645289</v>
      </c>
      <c r="M126" s="40" t="s">
        <v>39</v>
      </c>
      <c r="N126" s="47" t="s">
        <v>39</v>
      </c>
      <c r="O126" s="47" t="s">
        <v>39</v>
      </c>
      <c r="P126" s="47">
        <v>190.38291766210861</v>
      </c>
      <c r="Q126" s="47" t="s">
        <v>39</v>
      </c>
      <c r="R126" s="47">
        <v>71.908470187490991</v>
      </c>
      <c r="S126" s="47">
        <v>12.274080128269032</v>
      </c>
      <c r="T126" s="47">
        <v>13.633821139754584</v>
      </c>
      <c r="U126" s="47" t="s">
        <v>39</v>
      </c>
      <c r="V126" s="47" t="s">
        <v>39</v>
      </c>
      <c r="W126" s="47">
        <v>15.368935284625532</v>
      </c>
    </row>
    <row r="127" spans="1:34" ht="13.9" customHeight="1" x14ac:dyDescent="0.2">
      <c r="A127" s="39">
        <v>338</v>
      </c>
      <c r="B127" s="39" t="s">
        <v>597</v>
      </c>
      <c r="C127" s="40">
        <v>1</v>
      </c>
      <c r="D127" s="40">
        <v>67.012078789902688</v>
      </c>
      <c r="E127" s="40">
        <v>120.77729557269103</v>
      </c>
      <c r="F127" s="40">
        <v>19.825847202085104</v>
      </c>
      <c r="G127" s="40">
        <v>5.691994403949594</v>
      </c>
      <c r="H127" s="40">
        <v>51.591343547515024</v>
      </c>
      <c r="I127" s="40">
        <v>234.75806021694459</v>
      </c>
      <c r="J127" s="40">
        <v>9.22834048803937</v>
      </c>
      <c r="K127" s="40">
        <v>16.105422030994234</v>
      </c>
      <c r="L127" s="40">
        <v>13.299754578540208</v>
      </c>
      <c r="M127" s="40">
        <v>20.757665984951654</v>
      </c>
      <c r="N127" s="47" t="s">
        <v>39</v>
      </c>
      <c r="O127" s="47">
        <v>9.1238333432198306</v>
      </c>
      <c r="P127" s="47">
        <v>237.11044224071924</v>
      </c>
      <c r="Q127" s="47">
        <v>15.318442652626869</v>
      </c>
      <c r="R127" s="47">
        <v>81.990128791115907</v>
      </c>
      <c r="S127" s="47">
        <v>32.841616754868383</v>
      </c>
      <c r="T127" s="47">
        <v>36.709864142646637</v>
      </c>
      <c r="U127" s="47">
        <v>105.67426612321383</v>
      </c>
      <c r="V127" s="47" t="s">
        <v>39</v>
      </c>
      <c r="W127" s="47">
        <v>19.52816869566724</v>
      </c>
      <c r="AH127" s="43"/>
    </row>
    <row r="128" spans="1:34" ht="13.9" customHeight="1" x14ac:dyDescent="0.2">
      <c r="A128" s="39">
        <v>339</v>
      </c>
      <c r="B128" s="39" t="s">
        <v>598</v>
      </c>
      <c r="C128" s="40">
        <v>1</v>
      </c>
      <c r="D128" s="40">
        <v>63.084514911374136</v>
      </c>
      <c r="E128" s="40">
        <v>115.18436488344409</v>
      </c>
      <c r="F128" s="40">
        <v>19.787148374282545</v>
      </c>
      <c r="G128" s="40">
        <v>5.3806770348401995</v>
      </c>
      <c r="H128" s="40">
        <v>48.682628191641946</v>
      </c>
      <c r="I128" s="40">
        <v>222.97973532157667</v>
      </c>
      <c r="J128" s="40">
        <v>8.9253195515646659</v>
      </c>
      <c r="K128" s="40">
        <v>15.28003943910737</v>
      </c>
      <c r="L128" s="40">
        <v>12.686027223918805</v>
      </c>
      <c r="M128" s="40">
        <v>19.845359518730511</v>
      </c>
      <c r="N128" s="47" t="s">
        <v>39</v>
      </c>
      <c r="O128" s="47">
        <v>9.6574140375866531</v>
      </c>
      <c r="P128" s="47">
        <v>225.55779589671943</v>
      </c>
      <c r="Q128" s="47">
        <v>14.697387287415847</v>
      </c>
      <c r="R128" s="47">
        <v>89.91828393487198</v>
      </c>
      <c r="S128" s="47">
        <v>30.883093569653013</v>
      </c>
      <c r="T128" s="47">
        <v>35.515968755854075</v>
      </c>
      <c r="U128" s="47">
        <v>102.54485974812953</v>
      </c>
      <c r="V128" s="47" t="s">
        <v>39</v>
      </c>
      <c r="W128" s="47">
        <v>18.354311226551776</v>
      </c>
      <c r="AH128" s="43"/>
    </row>
    <row r="129" spans="1:34" ht="13.9" customHeight="1" x14ac:dyDescent="0.2">
      <c r="A129" s="39">
        <v>340</v>
      </c>
      <c r="B129" s="39" t="s">
        <v>599</v>
      </c>
      <c r="C129" s="40">
        <v>1</v>
      </c>
      <c r="D129" s="40">
        <v>71.833669781344412</v>
      </c>
      <c r="E129" s="40">
        <v>131.43441166128648</v>
      </c>
      <c r="F129" s="40">
        <v>23.02931698126185</v>
      </c>
      <c r="G129" s="40">
        <v>6.1038250492922241</v>
      </c>
      <c r="H129" s="40">
        <v>55.183788373005449</v>
      </c>
      <c r="I129" s="40">
        <v>252.26795347170989</v>
      </c>
      <c r="J129" s="40">
        <v>8.7299163524013714</v>
      </c>
      <c r="K129" s="40">
        <v>17.580218552115252</v>
      </c>
      <c r="L129" s="40">
        <v>14.326454838732108</v>
      </c>
      <c r="M129" s="40">
        <v>22.306379595700502</v>
      </c>
      <c r="N129" s="47" t="s">
        <v>39</v>
      </c>
      <c r="O129" s="47">
        <v>10.041683652304945</v>
      </c>
      <c r="P129" s="47">
        <v>250.69153102829168</v>
      </c>
      <c r="Q129" s="47">
        <v>16.566238689833156</v>
      </c>
      <c r="R129" s="47">
        <v>94.39591912690824</v>
      </c>
      <c r="S129" s="47">
        <v>35.387029166768002</v>
      </c>
      <c r="T129" s="47">
        <v>40.563878128227955</v>
      </c>
      <c r="U129" s="47">
        <v>115.8626330728585</v>
      </c>
      <c r="V129" s="47" t="s">
        <v>39</v>
      </c>
      <c r="W129" s="47">
        <v>20.759921751320743</v>
      </c>
      <c r="AH129" s="43"/>
    </row>
    <row r="130" spans="1:34" ht="13.9" customHeight="1" x14ac:dyDescent="0.2">
      <c r="A130" s="39">
        <v>421</v>
      </c>
      <c r="B130" s="39" t="s">
        <v>600</v>
      </c>
      <c r="C130" s="40">
        <v>1</v>
      </c>
      <c r="D130" s="40">
        <v>80.394451431467459</v>
      </c>
      <c r="E130" s="40">
        <v>139.39168826917745</v>
      </c>
      <c r="F130" s="40">
        <v>20.851678606213198</v>
      </c>
      <c r="G130" s="40">
        <v>7.6144228374772895</v>
      </c>
      <c r="H130" s="40">
        <v>60.186744536552737</v>
      </c>
      <c r="I130" s="40">
        <v>257.13763743666112</v>
      </c>
      <c r="J130" s="40">
        <v>8.4944228358748557</v>
      </c>
      <c r="K130" s="40">
        <v>17.236011662528412</v>
      </c>
      <c r="L130" s="40">
        <v>15.15568318973636</v>
      </c>
      <c r="M130" s="40">
        <v>17.855413571948432</v>
      </c>
      <c r="N130" s="47" t="s">
        <v>39</v>
      </c>
      <c r="O130" s="47" t="s">
        <v>39</v>
      </c>
      <c r="P130" s="47">
        <v>256.80001421748705</v>
      </c>
      <c r="Q130" s="47">
        <v>17.168796982791694</v>
      </c>
      <c r="R130" s="47">
        <v>80.803500201151337</v>
      </c>
      <c r="S130" s="47">
        <v>32.592538639710327</v>
      </c>
      <c r="T130" s="47">
        <v>34.911342737072658</v>
      </c>
      <c r="U130" s="47">
        <v>84.90297935090075</v>
      </c>
      <c r="V130" s="47" t="s">
        <v>39</v>
      </c>
      <c r="W130" s="47">
        <v>26.979285426938709</v>
      </c>
      <c r="AH130" s="43"/>
    </row>
    <row r="131" spans="1:34" ht="13.9" customHeight="1" x14ac:dyDescent="0.2">
      <c r="A131" s="39">
        <v>425</v>
      </c>
      <c r="B131" s="39" t="s">
        <v>601</v>
      </c>
      <c r="C131" s="40">
        <v>1</v>
      </c>
      <c r="D131" s="40">
        <v>79.628646776236153</v>
      </c>
      <c r="E131" s="40">
        <v>163.72409042437747</v>
      </c>
      <c r="F131" s="40">
        <v>23.037034471496863</v>
      </c>
      <c r="G131" s="40">
        <v>7.1388610479165688</v>
      </c>
      <c r="H131" s="40">
        <v>63.063173385588144</v>
      </c>
      <c r="I131" s="40">
        <v>269.7490490192269</v>
      </c>
      <c r="J131" s="40">
        <v>5.4847274570091198</v>
      </c>
      <c r="K131" s="40">
        <v>17.151885845759654</v>
      </c>
      <c r="L131" s="40">
        <v>14.883605113747624</v>
      </c>
      <c r="M131" s="40">
        <v>18.757554701794692</v>
      </c>
      <c r="N131" s="47" t="s">
        <v>39</v>
      </c>
      <c r="O131" s="47">
        <v>9.8870915021614163</v>
      </c>
      <c r="P131" s="47">
        <v>267.82994589513663</v>
      </c>
      <c r="Q131" s="47">
        <v>17.691022031304936</v>
      </c>
      <c r="R131" s="47">
        <v>102.77408504513438</v>
      </c>
      <c r="S131" s="47">
        <v>34.998354769363118</v>
      </c>
      <c r="T131" s="47">
        <v>38.936395281371183</v>
      </c>
      <c r="U131" s="47">
        <v>100.33907639193616</v>
      </c>
      <c r="V131" s="47">
        <v>10.103769624852287</v>
      </c>
      <c r="W131" s="47">
        <v>26.462413353601928</v>
      </c>
      <c r="AH131" s="43"/>
    </row>
    <row r="132" spans="1:34" ht="13.9" customHeight="1" x14ac:dyDescent="0.2">
      <c r="A132" s="39">
        <v>426</v>
      </c>
      <c r="B132" s="39" t="s">
        <v>602</v>
      </c>
      <c r="C132" s="40">
        <v>1</v>
      </c>
      <c r="D132" s="40">
        <v>77.183767469032233</v>
      </c>
      <c r="E132" s="40">
        <v>152.28606248589711</v>
      </c>
      <c r="F132" s="40">
        <v>22.826905444651196</v>
      </c>
      <c r="G132" s="40">
        <v>6.6102075545730745</v>
      </c>
      <c r="H132" s="40">
        <v>58.958216556487159</v>
      </c>
      <c r="I132" s="40">
        <v>251.37436243507372</v>
      </c>
      <c r="J132" s="40">
        <v>8.7971204635011873</v>
      </c>
      <c r="K132" s="40">
        <v>16.243902048477494</v>
      </c>
      <c r="L132" s="40">
        <v>14.307828350411478</v>
      </c>
      <c r="M132" s="40">
        <v>17.69062016448629</v>
      </c>
      <c r="N132" s="47" t="s">
        <v>39</v>
      </c>
      <c r="O132" s="47">
        <v>9.556258965091974</v>
      </c>
      <c r="P132" s="47">
        <v>253.71226009364611</v>
      </c>
      <c r="Q132" s="47">
        <v>16.686936930503087</v>
      </c>
      <c r="R132" s="47">
        <v>111.99589976857359</v>
      </c>
      <c r="S132" s="47">
        <v>32.748191310916937</v>
      </c>
      <c r="T132" s="47">
        <v>41.657207389584059</v>
      </c>
      <c r="U132" s="47">
        <v>94.824973307084619</v>
      </c>
      <c r="V132" s="47">
        <v>9.5484968787062137</v>
      </c>
      <c r="W132" s="47">
        <v>25.946293996197401</v>
      </c>
      <c r="AH132" s="43"/>
    </row>
    <row r="133" spans="1:34" ht="13.9" customHeight="1" x14ac:dyDescent="0.2">
      <c r="A133" s="39">
        <v>573</v>
      </c>
      <c r="B133" s="39" t="s">
        <v>603</v>
      </c>
      <c r="C133" s="40">
        <v>1</v>
      </c>
      <c r="D133" s="40">
        <v>65.196332609296434</v>
      </c>
      <c r="E133" s="40">
        <v>89.541517972599223</v>
      </c>
      <c r="F133" s="40" t="s">
        <v>39</v>
      </c>
      <c r="G133" s="40">
        <v>6.2767458754437717</v>
      </c>
      <c r="H133" s="40">
        <v>43.216770363469372</v>
      </c>
      <c r="I133" s="40">
        <v>137.35940888066426</v>
      </c>
      <c r="J133" s="40">
        <v>8.9591133657810023</v>
      </c>
      <c r="K133" s="40" t="s">
        <v>39</v>
      </c>
      <c r="L133" s="40" t="s">
        <v>39</v>
      </c>
      <c r="M133" s="40" t="s">
        <v>39</v>
      </c>
      <c r="N133" s="47" t="s">
        <v>39</v>
      </c>
      <c r="O133" s="47" t="s">
        <v>39</v>
      </c>
      <c r="P133" s="47">
        <v>168.69652363338329</v>
      </c>
      <c r="Q133" s="47" t="s">
        <v>39</v>
      </c>
      <c r="R133" s="47">
        <v>84.973822508727849</v>
      </c>
      <c r="S133" s="47">
        <v>8.4801437062539549</v>
      </c>
      <c r="T133" s="47">
        <v>9.7348367633992066</v>
      </c>
      <c r="U133" s="47">
        <v>101.78166256829077</v>
      </c>
      <c r="V133" s="47" t="s">
        <v>39</v>
      </c>
      <c r="W133" s="47">
        <v>16.643474603464462</v>
      </c>
      <c r="AH133" s="43"/>
    </row>
    <row r="134" spans="1:34" ht="13.9" customHeight="1" x14ac:dyDescent="0.2">
      <c r="A134" s="39">
        <v>574</v>
      </c>
      <c r="B134" s="39" t="s">
        <v>604</v>
      </c>
      <c r="C134" s="40">
        <v>1</v>
      </c>
      <c r="D134" s="40">
        <v>71.334116863781162</v>
      </c>
      <c r="E134" s="40">
        <v>100.40731924486543</v>
      </c>
      <c r="F134" s="40">
        <v>10.470595435327834</v>
      </c>
      <c r="G134" s="40">
        <v>6.7106597380309143</v>
      </c>
      <c r="H134" s="40">
        <v>48.006901974628434</v>
      </c>
      <c r="I134" s="40">
        <v>159.02665668253741</v>
      </c>
      <c r="J134" s="40">
        <v>9.5985314422696959</v>
      </c>
      <c r="K134" s="40" t="s">
        <v>39</v>
      </c>
      <c r="L134" s="40">
        <v>7.0990108633623876</v>
      </c>
      <c r="M134" s="40" t="s">
        <v>39</v>
      </c>
      <c r="N134" s="47" t="s">
        <v>39</v>
      </c>
      <c r="O134" s="47" t="s">
        <v>39</v>
      </c>
      <c r="P134" s="47">
        <v>188.51955470614351</v>
      </c>
      <c r="Q134" s="47">
        <v>10.636417260328571</v>
      </c>
      <c r="R134" s="47">
        <v>83.418581431059252</v>
      </c>
      <c r="S134" s="47">
        <v>10.938010360876239</v>
      </c>
      <c r="T134" s="47">
        <v>12.370655350389336</v>
      </c>
      <c r="U134" s="47">
        <v>117.00663967132316</v>
      </c>
      <c r="V134" s="47" t="s">
        <v>39</v>
      </c>
      <c r="W134" s="47">
        <v>18.439226736155032</v>
      </c>
      <c r="AH134" s="43"/>
    </row>
    <row r="135" spans="1:34" ht="13.9" customHeight="1" x14ac:dyDescent="0.2">
      <c r="A135" s="39">
        <v>575</v>
      </c>
      <c r="B135" s="39" t="s">
        <v>605</v>
      </c>
      <c r="C135" s="40">
        <v>1</v>
      </c>
      <c r="D135" s="40">
        <v>67.54434203366192</v>
      </c>
      <c r="E135" s="40">
        <v>93.410994347651268</v>
      </c>
      <c r="F135" s="40">
        <v>10.146533747061769</v>
      </c>
      <c r="G135" s="40">
        <v>6.255328644570457</v>
      </c>
      <c r="H135" s="40">
        <v>45.238842328018968</v>
      </c>
      <c r="I135" s="40">
        <v>151.13113904694711</v>
      </c>
      <c r="J135" s="40">
        <v>8.7692760086521577</v>
      </c>
      <c r="K135" s="40" t="s">
        <v>39</v>
      </c>
      <c r="L135" s="40">
        <v>6.6909475513343395</v>
      </c>
      <c r="M135" s="40" t="s">
        <v>39</v>
      </c>
      <c r="N135" s="47" t="s">
        <v>39</v>
      </c>
      <c r="O135" s="47" t="s">
        <v>39</v>
      </c>
      <c r="P135" s="47">
        <v>180.45060095249795</v>
      </c>
      <c r="Q135" s="47">
        <v>10.045643597664153</v>
      </c>
      <c r="R135" s="47">
        <v>84.22495966425042</v>
      </c>
      <c r="S135" s="47">
        <v>10.558791869997801</v>
      </c>
      <c r="T135" s="47">
        <v>12.018948133441006</v>
      </c>
      <c r="U135" s="47">
        <v>111.00288470874966</v>
      </c>
      <c r="V135" s="47" t="s">
        <v>39</v>
      </c>
      <c r="W135" s="47">
        <v>17.829833540920237</v>
      </c>
      <c r="AH135" s="43"/>
    </row>
    <row r="136" spans="1:34" ht="13.9" customHeight="1" x14ac:dyDescent="0.2">
      <c r="A136" s="39">
        <v>401</v>
      </c>
      <c r="B136" s="39" t="s">
        <v>606</v>
      </c>
      <c r="C136" s="40">
        <v>1</v>
      </c>
      <c r="D136" s="40">
        <v>81.652567628461796</v>
      </c>
      <c r="E136" s="40">
        <v>126.88844658156627</v>
      </c>
      <c r="F136" s="40">
        <v>23.339290658469764</v>
      </c>
      <c r="G136" s="40">
        <v>6.9363226487425891</v>
      </c>
      <c r="H136" s="40" t="s">
        <v>39</v>
      </c>
      <c r="I136" s="40">
        <v>282.05579662226944</v>
      </c>
      <c r="J136" s="40">
        <v>8.6661418881032759</v>
      </c>
      <c r="K136" s="40">
        <v>19.963795740055645</v>
      </c>
      <c r="L136" s="40">
        <v>16.694685400762854</v>
      </c>
      <c r="M136" s="40">
        <v>24.632362749204866</v>
      </c>
      <c r="N136" s="47" t="s">
        <v>39</v>
      </c>
      <c r="O136" s="47">
        <v>9.1320908077293463</v>
      </c>
      <c r="P136" s="47">
        <v>274.18949125454344</v>
      </c>
      <c r="Q136" s="47">
        <v>18.652111128183552</v>
      </c>
      <c r="R136" s="47">
        <v>80.356414526563512</v>
      </c>
      <c r="S136" s="47">
        <v>39.185640797183197</v>
      </c>
      <c r="T136" s="47">
        <v>40.129815304570613</v>
      </c>
      <c r="U136" s="47">
        <v>121.60420904488863</v>
      </c>
      <c r="V136" s="47">
        <v>9.7223447337190585</v>
      </c>
      <c r="W136" s="47">
        <v>27.724148632406653</v>
      </c>
      <c r="AH136" s="43"/>
    </row>
    <row r="137" spans="1:34" ht="13.9" customHeight="1" x14ac:dyDescent="0.2">
      <c r="A137" s="39">
        <v>402</v>
      </c>
      <c r="B137" s="39" t="s">
        <v>607</v>
      </c>
      <c r="C137" s="40">
        <v>1</v>
      </c>
      <c r="D137" s="40">
        <v>80.099306747121346</v>
      </c>
      <c r="E137" s="40">
        <v>126.101773663282</v>
      </c>
      <c r="F137" s="40">
        <v>23.224163908308075</v>
      </c>
      <c r="G137" s="40">
        <v>6.7673951094839939</v>
      </c>
      <c r="H137" s="40">
        <v>60.554797879458604</v>
      </c>
      <c r="I137" s="40">
        <v>281.87276575532638</v>
      </c>
      <c r="J137" s="40">
        <v>8.3368732528986484</v>
      </c>
      <c r="K137" s="40">
        <v>19.61291878805218</v>
      </c>
      <c r="L137" s="40">
        <v>16.36153375180934</v>
      </c>
      <c r="M137" s="40">
        <v>24.448140385676034</v>
      </c>
      <c r="N137" s="47" t="s">
        <v>39</v>
      </c>
      <c r="O137" s="47">
        <v>8.2413243208908611</v>
      </c>
      <c r="P137" s="47">
        <v>271.72166959016084</v>
      </c>
      <c r="Q137" s="47">
        <v>18.352664933435086</v>
      </c>
      <c r="R137" s="47">
        <v>87.628448979189344</v>
      </c>
      <c r="S137" s="47">
        <v>38.662609180820823</v>
      </c>
      <c r="T137" s="47">
        <v>39.678476862259998</v>
      </c>
      <c r="U137" s="47">
        <v>116.1007271483379</v>
      </c>
      <c r="V137" s="47">
        <v>9.5960316526026617</v>
      </c>
      <c r="W137" s="47">
        <v>28.471684256888661</v>
      </c>
      <c r="AH137" s="43"/>
    </row>
    <row r="138" spans="1:34" ht="13.9" customHeight="1" x14ac:dyDescent="0.2">
      <c r="A138" s="39">
        <v>403</v>
      </c>
      <c r="B138" s="39" t="s">
        <v>608</v>
      </c>
      <c r="C138" s="40">
        <v>1</v>
      </c>
      <c r="D138" s="40">
        <v>81.457722615348501</v>
      </c>
      <c r="E138" s="40">
        <v>142.32569234507744</v>
      </c>
      <c r="F138" s="40">
        <v>21.315646399037703</v>
      </c>
      <c r="G138" s="40">
        <v>7.0326781797331703</v>
      </c>
      <c r="H138" s="40">
        <v>61.585430998151885</v>
      </c>
      <c r="I138" s="40">
        <v>278.96156009452415</v>
      </c>
      <c r="J138" s="40">
        <v>8.4462936193219154</v>
      </c>
      <c r="K138" s="40">
        <v>19.219057326310288</v>
      </c>
      <c r="L138" s="40">
        <v>16.197422805982256</v>
      </c>
      <c r="M138" s="40">
        <v>23.015656295307942</v>
      </c>
      <c r="N138" s="47" t="s">
        <v>39</v>
      </c>
      <c r="O138" s="47">
        <v>8.0754915782823851</v>
      </c>
      <c r="P138" s="47">
        <v>273.6812056661098</v>
      </c>
      <c r="Q138" s="47">
        <v>18.350600544047865</v>
      </c>
      <c r="R138" s="47">
        <v>90.262855835963421</v>
      </c>
      <c r="S138" s="47">
        <v>37.48952760877971</v>
      </c>
      <c r="T138" s="47">
        <v>37.797457551853356</v>
      </c>
      <c r="U138" s="47">
        <v>116.84914745832742</v>
      </c>
      <c r="V138" s="47">
        <v>9.8036074935136366</v>
      </c>
      <c r="W138" s="47">
        <v>27.856135427761998</v>
      </c>
      <c r="AH138" s="43"/>
    </row>
    <row r="139" spans="1:34" ht="13.9" customHeight="1" x14ac:dyDescent="0.2">
      <c r="A139" s="39">
        <v>474</v>
      </c>
      <c r="B139" s="39" t="s">
        <v>609</v>
      </c>
      <c r="C139" s="40">
        <v>1</v>
      </c>
      <c r="D139" s="40">
        <v>73.019168605171487</v>
      </c>
      <c r="E139" s="40">
        <v>108.14241532242563</v>
      </c>
      <c r="F139" s="40">
        <v>15.741025012566908</v>
      </c>
      <c r="G139" s="40">
        <v>6.3340569192809504</v>
      </c>
      <c r="H139" s="40">
        <v>50.949578243187446</v>
      </c>
      <c r="I139" s="40">
        <v>225.99967920019117</v>
      </c>
      <c r="J139" s="40">
        <v>9.0527831037149369</v>
      </c>
      <c r="K139" s="40">
        <v>13.748071437405416</v>
      </c>
      <c r="L139" s="40">
        <v>10.551484647568802</v>
      </c>
      <c r="M139" s="40">
        <v>9.3534501214019041</v>
      </c>
      <c r="N139" s="47" t="s">
        <v>39</v>
      </c>
      <c r="O139" s="47" t="s">
        <v>39</v>
      </c>
      <c r="P139" s="47">
        <v>221.4656270394282</v>
      </c>
      <c r="Q139" s="47">
        <v>14.097632738318586</v>
      </c>
      <c r="R139" s="47">
        <v>104.44277849439753</v>
      </c>
      <c r="S139" s="47">
        <v>23.43884522174028</v>
      </c>
      <c r="T139" s="47">
        <v>22.574269362585145</v>
      </c>
      <c r="U139" s="47">
        <v>85.902429095611069</v>
      </c>
      <c r="V139" s="47" t="s">
        <v>39</v>
      </c>
      <c r="W139" s="47">
        <v>22.621101803552897</v>
      </c>
      <c r="AH139" s="43"/>
    </row>
    <row r="140" spans="1:34" ht="13.9" customHeight="1" x14ac:dyDescent="0.2">
      <c r="A140" s="39">
        <v>475</v>
      </c>
      <c r="B140" s="39" t="s">
        <v>610</v>
      </c>
      <c r="C140" s="40">
        <v>1</v>
      </c>
      <c r="D140" s="40">
        <v>69.220014435649958</v>
      </c>
      <c r="E140" s="40">
        <v>104.16730552715715</v>
      </c>
      <c r="F140" s="40">
        <v>15.382486653277095</v>
      </c>
      <c r="G140" s="40">
        <v>6.1133234173067592</v>
      </c>
      <c r="H140" s="40">
        <v>48.205229308813614</v>
      </c>
      <c r="I140" s="40">
        <v>217.39978438394525</v>
      </c>
      <c r="J140" s="40">
        <v>8.2647446484101259</v>
      </c>
      <c r="K140" s="40">
        <v>13.138153997428905</v>
      </c>
      <c r="L140" s="40">
        <v>9.9835057354584311</v>
      </c>
      <c r="M140" s="40">
        <v>8.9682820509613492</v>
      </c>
      <c r="N140" s="47" t="s">
        <v>39</v>
      </c>
      <c r="O140" s="47" t="s">
        <v>39</v>
      </c>
      <c r="P140" s="47">
        <v>210.70673933301373</v>
      </c>
      <c r="Q140" s="47">
        <v>13.401754519149593</v>
      </c>
      <c r="R140" s="47">
        <v>96.893137210605971</v>
      </c>
      <c r="S140" s="47">
        <v>22.011378661716932</v>
      </c>
      <c r="T140" s="47">
        <v>21.358805333424982</v>
      </c>
      <c r="U140" s="47">
        <v>84.060812814412358</v>
      </c>
      <c r="V140" s="47" t="s">
        <v>39</v>
      </c>
      <c r="W140" s="47">
        <v>20.829770557661426</v>
      </c>
      <c r="AH140" s="43"/>
    </row>
    <row r="141" spans="1:34" ht="13.9" customHeight="1" x14ac:dyDescent="0.2">
      <c r="A141" s="39">
        <v>476</v>
      </c>
      <c r="B141" s="39" t="s">
        <v>611</v>
      </c>
      <c r="C141" s="40">
        <v>1</v>
      </c>
      <c r="D141" s="40">
        <v>62.632074135389935</v>
      </c>
      <c r="E141" s="40">
        <v>93.437224457605112</v>
      </c>
      <c r="F141" s="40">
        <v>11.943399435268088</v>
      </c>
      <c r="G141" s="40">
        <v>5.829682878644892</v>
      </c>
      <c r="H141" s="40">
        <v>41.070785350513631</v>
      </c>
      <c r="I141" s="40">
        <v>173.36778405406048</v>
      </c>
      <c r="J141" s="40">
        <v>8.7179544197181098</v>
      </c>
      <c r="K141" s="40">
        <v>9.3530302543907897</v>
      </c>
      <c r="L141" s="40">
        <v>6.5268452680257871</v>
      </c>
      <c r="M141" s="40" t="s">
        <v>39</v>
      </c>
      <c r="N141" s="47" t="s">
        <v>39</v>
      </c>
      <c r="O141" s="47" t="s">
        <v>39</v>
      </c>
      <c r="P141" s="47">
        <v>182.84379752664688</v>
      </c>
      <c r="Q141" s="47">
        <v>10.360186842255978</v>
      </c>
      <c r="R141" s="47">
        <v>96.939983816299502</v>
      </c>
      <c r="S141" s="47">
        <v>14.030527624550487</v>
      </c>
      <c r="T141" s="47">
        <v>14.224115412916818</v>
      </c>
      <c r="U141" s="47">
        <v>103.33822623419547</v>
      </c>
      <c r="V141" s="47" t="s">
        <v>39</v>
      </c>
      <c r="W141" s="47">
        <v>18.35422127032292</v>
      </c>
      <c r="AH141" s="43"/>
    </row>
    <row r="142" spans="1:34" ht="13.9" customHeight="1" x14ac:dyDescent="0.2">
      <c r="A142" s="39">
        <v>583</v>
      </c>
      <c r="B142" s="39" t="s">
        <v>612</v>
      </c>
      <c r="C142" s="40">
        <v>1</v>
      </c>
      <c r="D142" s="40">
        <v>9.1977919814532854</v>
      </c>
      <c r="E142" s="40">
        <v>47.174760213945035</v>
      </c>
      <c r="F142" s="40" t="s">
        <v>39</v>
      </c>
      <c r="G142" s="40" t="s">
        <v>39</v>
      </c>
      <c r="H142" s="40" t="s">
        <v>39</v>
      </c>
      <c r="I142" s="40" t="s">
        <v>39</v>
      </c>
      <c r="J142" s="40">
        <v>5.4932307840593761</v>
      </c>
      <c r="K142" s="40" t="s">
        <v>39</v>
      </c>
      <c r="L142" s="40" t="s">
        <v>39</v>
      </c>
      <c r="M142" s="40" t="s">
        <v>39</v>
      </c>
      <c r="N142" s="47" t="s">
        <v>39</v>
      </c>
      <c r="O142" s="47" t="s">
        <v>39</v>
      </c>
      <c r="P142" s="47">
        <v>72.379093434239934</v>
      </c>
      <c r="Q142" s="47" t="s">
        <v>39</v>
      </c>
      <c r="R142" s="47">
        <v>89.83905012706964</v>
      </c>
      <c r="S142" s="47">
        <v>16.717159598516488</v>
      </c>
      <c r="T142" s="47" t="s">
        <v>39</v>
      </c>
      <c r="U142" s="47">
        <v>49.224694707760818</v>
      </c>
      <c r="V142" s="47" t="s">
        <v>39</v>
      </c>
      <c r="W142" s="47">
        <v>6.0537172723553798</v>
      </c>
      <c r="AH142" s="43"/>
    </row>
    <row r="143" spans="1:34" ht="13.9" customHeight="1" x14ac:dyDescent="0.2">
      <c r="A143" s="39">
        <v>584</v>
      </c>
      <c r="B143" s="39" t="s">
        <v>613</v>
      </c>
      <c r="C143" s="40">
        <v>1</v>
      </c>
      <c r="D143" s="40">
        <v>8.1417114105144872</v>
      </c>
      <c r="E143" s="40">
        <v>42.486514364398289</v>
      </c>
      <c r="F143" s="40" t="s">
        <v>39</v>
      </c>
      <c r="G143" s="40" t="s">
        <v>39</v>
      </c>
      <c r="H143" s="40" t="s">
        <v>39</v>
      </c>
      <c r="I143" s="40" t="s">
        <v>39</v>
      </c>
      <c r="J143" s="40">
        <v>7.765578643495072</v>
      </c>
      <c r="K143" s="40" t="s">
        <v>39</v>
      </c>
      <c r="L143" s="40" t="s">
        <v>39</v>
      </c>
      <c r="M143" s="40" t="s">
        <v>39</v>
      </c>
      <c r="N143" s="47" t="s">
        <v>39</v>
      </c>
      <c r="O143" s="47" t="s">
        <v>39</v>
      </c>
      <c r="P143" s="47">
        <v>64.327176145315164</v>
      </c>
      <c r="Q143" s="47" t="s">
        <v>39</v>
      </c>
      <c r="R143" s="47">
        <v>91.588733075813394</v>
      </c>
      <c r="S143" s="47">
        <v>14.502357910025456</v>
      </c>
      <c r="T143" s="47" t="s">
        <v>39</v>
      </c>
      <c r="U143" s="47">
        <v>49.124740077014245</v>
      </c>
      <c r="V143" s="47" t="s">
        <v>39</v>
      </c>
      <c r="W143" s="47">
        <v>5.9019392151835399</v>
      </c>
      <c r="AH143" s="43"/>
    </row>
    <row r="144" spans="1:34" ht="13.9" customHeight="1" x14ac:dyDescent="0.2">
      <c r="A144" s="39">
        <v>585</v>
      </c>
      <c r="B144" s="39" t="s">
        <v>614</v>
      </c>
      <c r="C144" s="40">
        <v>1</v>
      </c>
      <c r="D144" s="40" t="s">
        <v>39</v>
      </c>
      <c r="E144" s="40">
        <v>22.177797279939739</v>
      </c>
      <c r="F144" s="40" t="s">
        <v>39</v>
      </c>
      <c r="G144" s="40" t="s">
        <v>39</v>
      </c>
      <c r="H144" s="40" t="s">
        <v>39</v>
      </c>
      <c r="I144" s="40" t="s">
        <v>39</v>
      </c>
      <c r="J144" s="40">
        <v>6.7672974213906532</v>
      </c>
      <c r="K144" s="40">
        <v>0.81561340180398023</v>
      </c>
      <c r="L144" s="40" t="s">
        <v>39</v>
      </c>
      <c r="M144" s="40" t="s">
        <v>39</v>
      </c>
      <c r="N144" s="47" t="s">
        <v>39</v>
      </c>
      <c r="O144" s="47" t="s">
        <v>39</v>
      </c>
      <c r="P144" s="47">
        <v>28.14702495289707</v>
      </c>
      <c r="Q144" s="47" t="s">
        <v>39</v>
      </c>
      <c r="R144" s="47">
        <v>88.96261068539205</v>
      </c>
      <c r="S144" s="47">
        <v>6.0411070536631177</v>
      </c>
      <c r="T144" s="47" t="s">
        <v>39</v>
      </c>
      <c r="U144" s="47">
        <v>41.484102815936673</v>
      </c>
      <c r="V144" s="47" t="s">
        <v>39</v>
      </c>
      <c r="W144" s="47">
        <v>6.5337638654855041</v>
      </c>
      <c r="AH144" s="43"/>
    </row>
    <row r="145" spans="1:34" ht="13.9" customHeight="1" x14ac:dyDescent="0.2">
      <c r="A145" s="39">
        <v>320</v>
      </c>
      <c r="B145" s="39" t="s">
        <v>615</v>
      </c>
      <c r="C145" s="40">
        <v>1</v>
      </c>
      <c r="D145" s="40">
        <v>89.711740058285955</v>
      </c>
      <c r="E145" s="40">
        <v>178.97574986219581</v>
      </c>
      <c r="F145" s="40">
        <v>28.740785642726465</v>
      </c>
      <c r="G145" s="40">
        <v>7.0455346956812761</v>
      </c>
      <c r="H145" s="40">
        <v>68.328936106184528</v>
      </c>
      <c r="I145" s="40">
        <v>298.24306398187434</v>
      </c>
      <c r="J145" s="40">
        <v>8.7926445553395141</v>
      </c>
      <c r="K145" s="40">
        <v>19.774695892593844</v>
      </c>
      <c r="L145" s="40">
        <v>17.117251301090462</v>
      </c>
      <c r="M145" s="40">
        <v>22.925894052054318</v>
      </c>
      <c r="N145" s="47" t="s">
        <v>39</v>
      </c>
      <c r="O145" s="47" t="s">
        <v>39</v>
      </c>
      <c r="P145" s="47">
        <v>294.24435106124247</v>
      </c>
      <c r="Q145" s="47">
        <v>20.365318674824593</v>
      </c>
      <c r="R145" s="47">
        <v>78.46967691446163</v>
      </c>
      <c r="S145" s="47">
        <v>39.659358958117252</v>
      </c>
      <c r="T145" s="47">
        <v>41.280727163932731</v>
      </c>
      <c r="U145" s="47">
        <v>130.36309788717665</v>
      </c>
      <c r="V145" s="47">
        <v>10.842213314304047</v>
      </c>
      <c r="W145" s="47">
        <v>30.007091906492029</v>
      </c>
      <c r="AH145" s="43"/>
    </row>
    <row r="146" spans="1:34" ht="13.9" customHeight="1" x14ac:dyDescent="0.2">
      <c r="A146" s="39">
        <v>321</v>
      </c>
      <c r="B146" s="39" t="s">
        <v>616</v>
      </c>
      <c r="C146" s="40">
        <v>1</v>
      </c>
      <c r="D146" s="40">
        <v>88.50596923347581</v>
      </c>
      <c r="E146" s="40">
        <v>176.80381310034579</v>
      </c>
      <c r="F146" s="40">
        <v>24.425162041740926</v>
      </c>
      <c r="G146" s="40">
        <v>6.8184586032491801</v>
      </c>
      <c r="H146" s="40">
        <v>67.209344673881418</v>
      </c>
      <c r="I146" s="40">
        <v>297.24929876659093</v>
      </c>
      <c r="J146" s="40">
        <v>8.6348459235716568</v>
      </c>
      <c r="K146" s="40">
        <v>19.873194922509438</v>
      </c>
      <c r="L146" s="40">
        <v>16.934324978923055</v>
      </c>
      <c r="M146" s="40">
        <v>24.312996301448283</v>
      </c>
      <c r="N146" s="47" t="s">
        <v>39</v>
      </c>
      <c r="O146" s="47" t="s">
        <v>39</v>
      </c>
      <c r="P146" s="47">
        <v>292.23527323632231</v>
      </c>
      <c r="Q146" s="47">
        <v>20.142497551316161</v>
      </c>
      <c r="R146" s="47">
        <v>79.662146161467433</v>
      </c>
      <c r="S146" s="47">
        <v>39.955361043979423</v>
      </c>
      <c r="T146" s="47">
        <v>41.500615976884845</v>
      </c>
      <c r="U146" s="47">
        <v>122.19520578900881</v>
      </c>
      <c r="V146" s="47">
        <v>10.723127393016197</v>
      </c>
      <c r="W146" s="47">
        <v>24.448034780449007</v>
      </c>
      <c r="AH146" s="43"/>
    </row>
    <row r="147" spans="1:34" ht="13.9" customHeight="1" x14ac:dyDescent="0.2">
      <c r="A147" s="39">
        <v>322</v>
      </c>
      <c r="B147" s="39" t="s">
        <v>617</v>
      </c>
      <c r="C147" s="40">
        <v>1</v>
      </c>
      <c r="D147" s="40">
        <v>88.197889125568608</v>
      </c>
      <c r="E147" s="40">
        <v>184.94345205064283</v>
      </c>
      <c r="F147" s="40">
        <v>24.165986671709799</v>
      </c>
      <c r="G147" s="40">
        <v>6.9721853951506487</v>
      </c>
      <c r="H147" s="40">
        <v>67.035731514699592</v>
      </c>
      <c r="I147" s="40">
        <v>298.17240837559126</v>
      </c>
      <c r="J147" s="40">
        <v>8.6502298085368761</v>
      </c>
      <c r="K147" s="40">
        <v>19.897080027269599</v>
      </c>
      <c r="L147" s="40">
        <v>17.069020743523577</v>
      </c>
      <c r="M147" s="40">
        <v>24.699524659227624</v>
      </c>
      <c r="N147" s="47" t="s">
        <v>39</v>
      </c>
      <c r="O147" s="47" t="s">
        <v>39</v>
      </c>
      <c r="P147" s="47">
        <v>291.73340065648159</v>
      </c>
      <c r="Q147" s="47">
        <v>20.068942502680486</v>
      </c>
      <c r="R147" s="47">
        <v>85.144043481423864</v>
      </c>
      <c r="S147" s="47">
        <v>39.193888726735452</v>
      </c>
      <c r="T147" s="47">
        <v>42.884426280093308</v>
      </c>
      <c r="U147" s="47">
        <v>122.66807473440515</v>
      </c>
      <c r="V147" s="47">
        <v>10.536137395204051</v>
      </c>
      <c r="W147" s="47">
        <v>24.362137799555619</v>
      </c>
      <c r="AH147" s="43"/>
    </row>
    <row r="148" spans="1:34" ht="13.9" customHeight="1" x14ac:dyDescent="0.2">
      <c r="A148" s="39">
        <v>454</v>
      </c>
      <c r="B148" s="39" t="s">
        <v>618</v>
      </c>
      <c r="C148" s="40">
        <v>1</v>
      </c>
      <c r="D148" s="40">
        <v>72.83955258977393</v>
      </c>
      <c r="E148" s="40">
        <v>99.185053370626605</v>
      </c>
      <c r="F148" s="40">
        <v>14.958896096221611</v>
      </c>
      <c r="G148" s="40">
        <v>6.2188130073786292</v>
      </c>
      <c r="H148" s="40">
        <v>55.150443717555042</v>
      </c>
      <c r="I148" s="40">
        <v>203.32846430260224</v>
      </c>
      <c r="J148" s="40">
        <v>8.9387633867119352</v>
      </c>
      <c r="K148" s="40">
        <v>10.805742723456801</v>
      </c>
      <c r="L148" s="40">
        <v>10.532914907664555</v>
      </c>
      <c r="M148" s="40">
        <v>10.720267087398554</v>
      </c>
      <c r="N148" s="47" t="s">
        <v>39</v>
      </c>
      <c r="O148" s="47" t="s">
        <v>39</v>
      </c>
      <c r="P148" s="47">
        <v>220.39029068684258</v>
      </c>
      <c r="Q148" s="47">
        <v>14.245084375349206</v>
      </c>
      <c r="R148" s="47">
        <v>88.422102206006798</v>
      </c>
      <c r="S148" s="47">
        <v>18.854277552065966</v>
      </c>
      <c r="T148" s="47">
        <v>22.304251004362357</v>
      </c>
      <c r="U148" s="47">
        <v>96.440242538967041</v>
      </c>
      <c r="V148" s="47" t="s">
        <v>39</v>
      </c>
      <c r="W148" s="47">
        <v>20.850142984705048</v>
      </c>
      <c r="AH148" s="43"/>
    </row>
    <row r="149" spans="1:34" ht="13.9" customHeight="1" x14ac:dyDescent="0.2">
      <c r="A149" s="39">
        <v>455</v>
      </c>
      <c r="B149" s="39" t="s">
        <v>619</v>
      </c>
      <c r="C149" s="40">
        <v>1</v>
      </c>
      <c r="D149" s="40">
        <v>77.326240538021423</v>
      </c>
      <c r="E149" s="40">
        <v>112.01114892728555</v>
      </c>
      <c r="F149" s="40">
        <v>16.523038219536986</v>
      </c>
      <c r="G149" s="40">
        <v>6.4509156099764704</v>
      </c>
      <c r="H149" s="40">
        <v>57.759481913180338</v>
      </c>
      <c r="I149" s="40">
        <v>229.32823955661257</v>
      </c>
      <c r="J149" s="40">
        <v>9.4651592829455886</v>
      </c>
      <c r="K149" s="40">
        <v>13.188939113864249</v>
      </c>
      <c r="L149" s="40">
        <v>12.290551114963595</v>
      </c>
      <c r="M149" s="40">
        <v>13.032421712026679</v>
      </c>
      <c r="N149" s="47" t="s">
        <v>39</v>
      </c>
      <c r="O149" s="47" t="s">
        <v>39</v>
      </c>
      <c r="P149" s="47">
        <v>237.81519898708501</v>
      </c>
      <c r="Q149" s="47">
        <v>15.657903431848535</v>
      </c>
      <c r="R149" s="47">
        <v>95.484149108301324</v>
      </c>
      <c r="S149" s="47">
        <v>23.276008575748563</v>
      </c>
      <c r="T149" s="47">
        <v>26.836134176207995</v>
      </c>
      <c r="U149" s="47">
        <v>88.635483082620723</v>
      </c>
      <c r="V149" s="47" t="s">
        <v>39</v>
      </c>
      <c r="W149" s="47">
        <v>23.0060538160972</v>
      </c>
      <c r="AH149" s="43"/>
    </row>
    <row r="150" spans="1:34" ht="13.9" customHeight="1" x14ac:dyDescent="0.2">
      <c r="A150" s="39">
        <v>456</v>
      </c>
      <c r="B150" s="39" t="s">
        <v>620</v>
      </c>
      <c r="C150" s="40">
        <v>1</v>
      </c>
      <c r="D150" s="40">
        <v>73.876321318822292</v>
      </c>
      <c r="E150" s="40">
        <v>113.7838302282704</v>
      </c>
      <c r="F150" s="40">
        <v>16.423422013246874</v>
      </c>
      <c r="G150" s="40">
        <v>6.1754092526582198</v>
      </c>
      <c r="H150" s="40">
        <v>55.054688150464244</v>
      </c>
      <c r="I150" s="40">
        <v>219.97253280191501</v>
      </c>
      <c r="J150" s="40">
        <v>8.9908400134605717</v>
      </c>
      <c r="K150" s="40">
        <v>12.029274620388891</v>
      </c>
      <c r="L150" s="40">
        <v>11.713664333287909</v>
      </c>
      <c r="M150" s="40">
        <v>12.148804409133247</v>
      </c>
      <c r="N150" s="47" t="s">
        <v>39</v>
      </c>
      <c r="O150" s="47" t="s">
        <v>39</v>
      </c>
      <c r="P150" s="47">
        <v>229.64367032157313</v>
      </c>
      <c r="Q150" s="47">
        <v>15.012008706619728</v>
      </c>
      <c r="R150" s="47">
        <v>101.19010788583954</v>
      </c>
      <c r="S150" s="47">
        <v>21.822856781287555</v>
      </c>
      <c r="T150" s="47">
        <v>24.706387467585721</v>
      </c>
      <c r="U150" s="47">
        <v>81.446362871019602</v>
      </c>
      <c r="V150" s="47" t="s">
        <v>39</v>
      </c>
      <c r="W150" s="47">
        <v>22.922738334229461</v>
      </c>
      <c r="AH150" s="43"/>
    </row>
    <row r="151" spans="1:34" ht="13.9" customHeight="1" x14ac:dyDescent="0.2">
      <c r="A151" s="39">
        <v>553</v>
      </c>
      <c r="B151" s="39" t="s">
        <v>621</v>
      </c>
      <c r="C151" s="40">
        <v>1</v>
      </c>
      <c r="D151" s="40">
        <v>13.360993656941346</v>
      </c>
      <c r="E151" s="40">
        <v>48.360307949192659</v>
      </c>
      <c r="F151" s="40" t="s">
        <v>39</v>
      </c>
      <c r="G151" s="40" t="s">
        <v>39</v>
      </c>
      <c r="H151" s="40">
        <v>11.134207472721821</v>
      </c>
      <c r="I151" s="40" t="s">
        <v>39</v>
      </c>
      <c r="J151" s="40">
        <v>8.2380884910432748</v>
      </c>
      <c r="K151" s="40" t="s">
        <v>39</v>
      </c>
      <c r="L151" s="40">
        <v>25.301170198354718</v>
      </c>
      <c r="M151" s="40" t="s">
        <v>39</v>
      </c>
      <c r="N151" s="47" t="s">
        <v>39</v>
      </c>
      <c r="O151" s="47" t="s">
        <v>39</v>
      </c>
      <c r="P151" s="47">
        <v>77.401351070257405</v>
      </c>
      <c r="Q151" s="47" t="s">
        <v>39</v>
      </c>
      <c r="R151" s="47">
        <v>98.660724058225853</v>
      </c>
      <c r="S151" s="47">
        <v>8.4437257057318185</v>
      </c>
      <c r="T151" s="47" t="s">
        <v>39</v>
      </c>
      <c r="U151" s="47" t="s">
        <v>39</v>
      </c>
      <c r="V151" s="47" t="s">
        <v>39</v>
      </c>
      <c r="W151" s="47">
        <v>5.8056945502672104</v>
      </c>
      <c r="AH151" s="43"/>
    </row>
    <row r="152" spans="1:34" ht="13.9" customHeight="1" x14ac:dyDescent="0.2">
      <c r="A152" s="39">
        <v>554</v>
      </c>
      <c r="B152" s="39" t="s">
        <v>622</v>
      </c>
      <c r="C152" s="40">
        <v>1</v>
      </c>
      <c r="D152" s="40">
        <v>21.863508037412281</v>
      </c>
      <c r="E152" s="40">
        <v>56.257082413827433</v>
      </c>
      <c r="F152" s="40" t="s">
        <v>39</v>
      </c>
      <c r="G152" s="40" t="s">
        <v>39</v>
      </c>
      <c r="H152" s="40">
        <v>18.416205605603214</v>
      </c>
      <c r="I152" s="40" t="s">
        <v>39</v>
      </c>
      <c r="J152" s="40">
        <v>8.5014151706933525</v>
      </c>
      <c r="K152" s="40" t="s">
        <v>39</v>
      </c>
      <c r="L152" s="40">
        <v>26.789773161205371</v>
      </c>
      <c r="M152" s="40" t="s">
        <v>39</v>
      </c>
      <c r="N152" s="47" t="s">
        <v>39</v>
      </c>
      <c r="O152" s="47" t="s">
        <v>39</v>
      </c>
      <c r="P152" s="47">
        <v>96.050388901243068</v>
      </c>
      <c r="Q152" s="47" t="s">
        <v>39</v>
      </c>
      <c r="R152" s="47">
        <v>89.515413288442943</v>
      </c>
      <c r="S152" s="47">
        <v>14.859679815475262</v>
      </c>
      <c r="T152" s="47" t="s">
        <v>39</v>
      </c>
      <c r="U152" s="47" t="s">
        <v>39</v>
      </c>
      <c r="V152" s="47" t="s">
        <v>39</v>
      </c>
      <c r="W152" s="47" t="s">
        <v>39</v>
      </c>
      <c r="AH152" s="43"/>
    </row>
    <row r="153" spans="1:34" ht="13.9" customHeight="1" x14ac:dyDescent="0.2">
      <c r="A153" s="39">
        <v>555</v>
      </c>
      <c r="B153" s="39" t="s">
        <v>623</v>
      </c>
      <c r="C153" s="40">
        <v>1</v>
      </c>
      <c r="D153" s="40">
        <v>18.511934716242859</v>
      </c>
      <c r="E153" s="40">
        <v>52.659750474784168</v>
      </c>
      <c r="F153" s="40" t="s">
        <v>39</v>
      </c>
      <c r="G153" s="40" t="s">
        <v>39</v>
      </c>
      <c r="H153" s="40">
        <v>15.679388740100279</v>
      </c>
      <c r="I153" s="40" t="s">
        <v>39</v>
      </c>
      <c r="J153" s="40">
        <v>8.4527998666736099</v>
      </c>
      <c r="K153" s="40" t="s">
        <v>39</v>
      </c>
      <c r="L153" s="40">
        <v>27.420874370811603</v>
      </c>
      <c r="M153" s="40" t="s">
        <v>39</v>
      </c>
      <c r="N153" s="47" t="s">
        <v>39</v>
      </c>
      <c r="O153" s="47" t="s">
        <v>39</v>
      </c>
      <c r="P153" s="47">
        <v>93.191915920592962</v>
      </c>
      <c r="Q153" s="47" t="s">
        <v>39</v>
      </c>
      <c r="R153" s="47">
        <v>95.059194481221468</v>
      </c>
      <c r="S153" s="47">
        <v>12.461569124657231</v>
      </c>
      <c r="T153" s="47" t="s">
        <v>39</v>
      </c>
      <c r="U153" s="47" t="s">
        <v>39</v>
      </c>
      <c r="V153" s="47" t="s">
        <v>39</v>
      </c>
      <c r="W153" s="47">
        <v>5.9491304202190394</v>
      </c>
      <c r="AH153" s="43"/>
    </row>
    <row r="154" spans="1:34" ht="13.9" customHeight="1" x14ac:dyDescent="0.2">
      <c r="A154" s="39">
        <v>373</v>
      </c>
      <c r="B154" s="39" t="s">
        <v>624</v>
      </c>
      <c r="C154" s="40">
        <v>1</v>
      </c>
      <c r="D154" s="40">
        <v>78.766429190768022</v>
      </c>
      <c r="E154" s="40">
        <v>149.95374973575341</v>
      </c>
      <c r="F154" s="40">
        <v>22.735232950189864</v>
      </c>
      <c r="G154" s="40">
        <v>6.8612413092733107</v>
      </c>
      <c r="H154" s="40" t="s">
        <v>39</v>
      </c>
      <c r="I154" s="40">
        <v>269.99466843586629</v>
      </c>
      <c r="J154" s="40">
        <v>11.113264693225807</v>
      </c>
      <c r="K154" s="40">
        <v>17.650880768937625</v>
      </c>
      <c r="L154" s="40">
        <v>15.625684616476004</v>
      </c>
      <c r="M154" s="40">
        <v>22.671670873920622</v>
      </c>
      <c r="N154" s="47" t="s">
        <v>39</v>
      </c>
      <c r="O154" s="47">
        <v>9.0962836442178343</v>
      </c>
      <c r="P154" s="47">
        <v>251.89477036287343</v>
      </c>
      <c r="Q154" s="47">
        <v>18.052594574967383</v>
      </c>
      <c r="R154" s="47">
        <v>100.55813761674796</v>
      </c>
      <c r="S154" s="47">
        <v>36.336991004662707</v>
      </c>
      <c r="T154" s="47">
        <v>40.927518451523554</v>
      </c>
      <c r="U154" s="47">
        <v>119.28759531249975</v>
      </c>
      <c r="V154" s="47">
        <v>9.5619285009406294</v>
      </c>
      <c r="W154" s="47">
        <v>22.423230311771341</v>
      </c>
      <c r="AH154" s="43"/>
    </row>
    <row r="155" spans="1:34" ht="13.9" customHeight="1" x14ac:dyDescent="0.2">
      <c r="A155" s="39">
        <v>374</v>
      </c>
      <c r="B155" s="39" t="s">
        <v>625</v>
      </c>
      <c r="C155" s="40">
        <v>1</v>
      </c>
      <c r="D155" s="40">
        <v>86.025908440268239</v>
      </c>
      <c r="E155" s="40">
        <v>166.45543643967707</v>
      </c>
      <c r="F155" s="40" t="s">
        <v>39</v>
      </c>
      <c r="G155" s="40">
        <v>7.4188753819447815</v>
      </c>
      <c r="H155" s="40" t="s">
        <v>39</v>
      </c>
      <c r="I155" s="40">
        <v>295.16561941415455</v>
      </c>
      <c r="J155" s="40">
        <v>8.6578305587874418</v>
      </c>
      <c r="K155" s="40">
        <v>18.655377530926298</v>
      </c>
      <c r="L155" s="40">
        <v>17.200172857508136</v>
      </c>
      <c r="M155" s="40">
        <v>24.5341622766793</v>
      </c>
      <c r="N155" s="47" t="s">
        <v>39</v>
      </c>
      <c r="O155" s="47">
        <v>9.1086030041203667</v>
      </c>
      <c r="P155" s="47">
        <v>271.30378743720735</v>
      </c>
      <c r="Q155" s="47">
        <v>19.606763211385804</v>
      </c>
      <c r="R155" s="47">
        <v>98.692449440365621</v>
      </c>
      <c r="S155" s="47">
        <v>39.874401226486214</v>
      </c>
      <c r="T155" s="47">
        <v>44.237864635691878</v>
      </c>
      <c r="U155" s="47">
        <v>127.03874264758572</v>
      </c>
      <c r="V155" s="47">
        <v>10.353067569632124</v>
      </c>
      <c r="W155" s="47">
        <v>24.622623467984962</v>
      </c>
      <c r="AH155" s="43"/>
    </row>
    <row r="156" spans="1:34" ht="13.9" customHeight="1" x14ac:dyDescent="0.2">
      <c r="A156" s="39">
        <v>375</v>
      </c>
      <c r="B156" s="39" t="s">
        <v>626</v>
      </c>
      <c r="C156" s="40">
        <v>1</v>
      </c>
      <c r="D156" s="40">
        <v>82.984912875058455</v>
      </c>
      <c r="E156" s="40">
        <v>145.21648731074444</v>
      </c>
      <c r="F156" s="40">
        <v>22.062286431226006</v>
      </c>
      <c r="G156" s="40">
        <v>7.0813301953923382</v>
      </c>
      <c r="H156" s="40">
        <v>62.861435923004542</v>
      </c>
      <c r="I156" s="40">
        <v>286.22848910094507</v>
      </c>
      <c r="J156" s="40">
        <v>10.369948850486129</v>
      </c>
      <c r="K156" s="40">
        <v>19.54960745438083</v>
      </c>
      <c r="L156" s="40">
        <v>16.466393340907409</v>
      </c>
      <c r="M156" s="40">
        <v>23.346983927505235</v>
      </c>
      <c r="N156" s="47" t="s">
        <v>39</v>
      </c>
      <c r="O156" s="47">
        <v>8.8941560170878287</v>
      </c>
      <c r="P156" s="47">
        <v>262.7898886885863</v>
      </c>
      <c r="Q156" s="47">
        <v>18.934382941735297</v>
      </c>
      <c r="R156" s="47">
        <v>96.143282119895787</v>
      </c>
      <c r="S156" s="47">
        <v>37.784542538466923</v>
      </c>
      <c r="T156" s="47">
        <v>40.933470624517291</v>
      </c>
      <c r="U156" s="47">
        <v>124.16224946810283</v>
      </c>
      <c r="V156" s="47">
        <v>9.9546469743885027</v>
      </c>
      <c r="W156" s="47">
        <v>28.972709630274949</v>
      </c>
      <c r="AH156" s="43"/>
    </row>
    <row r="157" spans="1:34" ht="13.9" customHeight="1" x14ac:dyDescent="0.2">
      <c r="A157" s="39">
        <v>481</v>
      </c>
      <c r="B157" s="39" t="s">
        <v>627</v>
      </c>
      <c r="C157" s="40">
        <v>1</v>
      </c>
      <c r="D157" s="40">
        <v>63.610356301576211</v>
      </c>
      <c r="E157" s="40">
        <v>99.014926839742174</v>
      </c>
      <c r="F157" s="40">
        <v>16.810046077394546</v>
      </c>
      <c r="G157" s="40">
        <v>5.6181803161422872</v>
      </c>
      <c r="H157" s="40">
        <v>49.215716857860379</v>
      </c>
      <c r="I157" s="40">
        <v>186.7354959645192</v>
      </c>
      <c r="J157" s="40">
        <v>11.085971869587031</v>
      </c>
      <c r="K157" s="40">
        <v>10.595826935275346</v>
      </c>
      <c r="L157" s="40">
        <v>7.3319355303119433</v>
      </c>
      <c r="M157" s="40">
        <v>6.1655399740120327</v>
      </c>
      <c r="N157" s="47" t="s">
        <v>39</v>
      </c>
      <c r="O157" s="47" t="s">
        <v>39</v>
      </c>
      <c r="P157" s="47">
        <v>212.28062639056176</v>
      </c>
      <c r="Q157" s="47">
        <v>11.080471041391851</v>
      </c>
      <c r="R157" s="47">
        <v>105.08752339935148</v>
      </c>
      <c r="S157" s="47">
        <v>16.018930802962146</v>
      </c>
      <c r="T157" s="47">
        <v>17.922463331764124</v>
      </c>
      <c r="U157" s="47">
        <v>102.28729342359941</v>
      </c>
      <c r="V157" s="47" t="s">
        <v>39</v>
      </c>
      <c r="W157" s="47">
        <v>19.517601136855099</v>
      </c>
      <c r="AH157" s="43"/>
    </row>
    <row r="158" spans="1:34" ht="13.9" customHeight="1" x14ac:dyDescent="0.2">
      <c r="A158" s="39">
        <v>482</v>
      </c>
      <c r="B158" s="39" t="s">
        <v>628</v>
      </c>
      <c r="C158" s="40">
        <v>1</v>
      </c>
      <c r="D158" s="40">
        <v>61.990680719179359</v>
      </c>
      <c r="E158" s="40">
        <v>92.658678626244964</v>
      </c>
      <c r="F158" s="40">
        <v>12.700953847178013</v>
      </c>
      <c r="G158" s="40">
        <v>5.553112190408215</v>
      </c>
      <c r="H158" s="40">
        <v>47.581633530931768</v>
      </c>
      <c r="I158" s="40">
        <v>177.53680182911438</v>
      </c>
      <c r="J158" s="40">
        <v>11.020578682908827</v>
      </c>
      <c r="K158" s="40">
        <v>9.4818549247698094</v>
      </c>
      <c r="L158" s="40">
        <v>6.6846875991438051</v>
      </c>
      <c r="M158" s="40" t="s">
        <v>39</v>
      </c>
      <c r="N158" s="47" t="s">
        <v>39</v>
      </c>
      <c r="O158" s="47" t="s">
        <v>39</v>
      </c>
      <c r="P158" s="47">
        <v>208.68592234505255</v>
      </c>
      <c r="Q158" s="47">
        <v>10.571383791898739</v>
      </c>
      <c r="R158" s="47">
        <v>100.4883643661157</v>
      </c>
      <c r="S158" s="47">
        <v>14.743946257022014</v>
      </c>
      <c r="T158" s="47">
        <v>16.024781748234737</v>
      </c>
      <c r="U158" s="47">
        <v>116.98393793228664</v>
      </c>
      <c r="V158" s="47" t="s">
        <v>39</v>
      </c>
      <c r="W158" s="47">
        <v>19.132734375245693</v>
      </c>
      <c r="AH158" s="43"/>
    </row>
    <row r="159" spans="1:34" ht="13.9" customHeight="1" x14ac:dyDescent="0.2">
      <c r="A159" s="39">
        <v>483</v>
      </c>
      <c r="B159" s="39" t="s">
        <v>629</v>
      </c>
      <c r="C159" s="40">
        <v>1</v>
      </c>
      <c r="D159" s="40">
        <v>64.001826294852464</v>
      </c>
      <c r="E159" s="40">
        <v>103.94170447934837</v>
      </c>
      <c r="F159" s="40">
        <v>14.373928375883049</v>
      </c>
      <c r="G159" s="40">
        <v>5.6416581672141346</v>
      </c>
      <c r="H159" s="40">
        <v>49.319765681641762</v>
      </c>
      <c r="I159" s="40">
        <v>186.77730828943388</v>
      </c>
      <c r="J159" s="40">
        <v>11.07948875406635</v>
      </c>
      <c r="K159" s="40">
        <v>9.9954086852530928</v>
      </c>
      <c r="L159" s="40">
        <v>7.3416426378187492</v>
      </c>
      <c r="M159" s="40">
        <v>5.914757563623712</v>
      </c>
      <c r="N159" s="47" t="s">
        <v>39</v>
      </c>
      <c r="O159" s="47" t="s">
        <v>39</v>
      </c>
      <c r="P159" s="47">
        <v>217.07966326305103</v>
      </c>
      <c r="Q159" s="47">
        <v>11.191049588353376</v>
      </c>
      <c r="R159" s="47">
        <v>108.32137859144076</v>
      </c>
      <c r="S159" s="47">
        <v>16.263276669053866</v>
      </c>
      <c r="T159" s="47">
        <v>17.602097957064721</v>
      </c>
      <c r="U159" s="47">
        <v>101.76915756653545</v>
      </c>
      <c r="V159" s="47" t="s">
        <v>39</v>
      </c>
      <c r="W159" s="47">
        <v>20.18693975432231</v>
      </c>
      <c r="AH159" s="43"/>
    </row>
    <row r="160" spans="1:34" ht="13.9" customHeight="1" x14ac:dyDescent="0.2">
      <c r="A160" s="39">
        <v>563</v>
      </c>
      <c r="B160" s="39" t="s">
        <v>630</v>
      </c>
      <c r="C160" s="40">
        <v>1</v>
      </c>
      <c r="D160" s="40" t="s">
        <v>39</v>
      </c>
      <c r="E160" s="40" t="s">
        <v>39</v>
      </c>
      <c r="F160" s="40" t="s">
        <v>39</v>
      </c>
      <c r="G160" s="40" t="s">
        <v>39</v>
      </c>
      <c r="H160" s="40" t="s">
        <v>39</v>
      </c>
      <c r="I160" s="40" t="s">
        <v>39</v>
      </c>
      <c r="J160" s="40" t="s">
        <v>39</v>
      </c>
      <c r="K160" s="40" t="s">
        <v>39</v>
      </c>
      <c r="L160" s="40">
        <v>9.9951203167074336</v>
      </c>
      <c r="M160" s="40" t="s">
        <v>39</v>
      </c>
      <c r="N160" s="47" t="s">
        <v>39</v>
      </c>
      <c r="O160" s="47" t="s">
        <v>39</v>
      </c>
      <c r="P160" s="47" t="s">
        <v>39</v>
      </c>
      <c r="Q160" s="47" t="s">
        <v>39</v>
      </c>
      <c r="R160" s="47">
        <v>104.54743179866064</v>
      </c>
      <c r="S160" s="47" t="s">
        <v>39</v>
      </c>
      <c r="T160" s="47" t="s">
        <v>39</v>
      </c>
      <c r="U160" s="47" t="s">
        <v>39</v>
      </c>
      <c r="V160" s="47" t="s">
        <v>39</v>
      </c>
      <c r="W160" s="47">
        <v>6.949871066388793</v>
      </c>
      <c r="AH160" s="43"/>
    </row>
    <row r="161" spans="1:34" ht="13.9" customHeight="1" x14ac:dyDescent="0.2">
      <c r="A161" s="39">
        <v>564</v>
      </c>
      <c r="B161" s="39" t="s">
        <v>631</v>
      </c>
      <c r="C161" s="40">
        <v>1</v>
      </c>
      <c r="D161" s="40" t="s">
        <v>39</v>
      </c>
      <c r="E161" s="40" t="s">
        <v>39</v>
      </c>
      <c r="F161" s="40" t="s">
        <v>39</v>
      </c>
      <c r="G161" s="40" t="s">
        <v>39</v>
      </c>
      <c r="H161" s="40" t="s">
        <v>39</v>
      </c>
      <c r="I161" s="40" t="s">
        <v>39</v>
      </c>
      <c r="J161" s="40" t="s">
        <v>39</v>
      </c>
      <c r="K161" s="40" t="s">
        <v>39</v>
      </c>
      <c r="L161" s="40" t="s">
        <v>39</v>
      </c>
      <c r="M161" s="40" t="s">
        <v>39</v>
      </c>
      <c r="N161" s="47" t="s">
        <v>39</v>
      </c>
      <c r="O161" s="47" t="s">
        <v>39</v>
      </c>
      <c r="P161" s="47" t="s">
        <v>39</v>
      </c>
      <c r="Q161" s="47" t="s">
        <v>39</v>
      </c>
      <c r="R161" s="47">
        <v>96.474552016843049</v>
      </c>
      <c r="S161" s="47" t="s">
        <v>39</v>
      </c>
      <c r="T161" s="47" t="s">
        <v>39</v>
      </c>
      <c r="U161" s="47" t="s">
        <v>39</v>
      </c>
      <c r="V161" s="47" t="s">
        <v>39</v>
      </c>
      <c r="W161" s="47">
        <v>6.6012439193778674</v>
      </c>
      <c r="AH161" s="43"/>
    </row>
    <row r="162" spans="1:34" ht="13.9" customHeight="1" x14ac:dyDescent="0.2">
      <c r="A162" s="39">
        <v>565</v>
      </c>
      <c r="B162" s="39" t="s">
        <v>632</v>
      </c>
      <c r="C162" s="40">
        <v>1</v>
      </c>
      <c r="D162" s="40" t="s">
        <v>39</v>
      </c>
      <c r="E162" s="40" t="s">
        <v>39</v>
      </c>
      <c r="F162" s="40" t="s">
        <v>39</v>
      </c>
      <c r="G162" s="40" t="s">
        <v>39</v>
      </c>
      <c r="H162" s="40" t="s">
        <v>39</v>
      </c>
      <c r="I162" s="40" t="s">
        <v>39</v>
      </c>
      <c r="J162" s="40" t="s">
        <v>39</v>
      </c>
      <c r="K162" s="40" t="s">
        <v>39</v>
      </c>
      <c r="L162" s="40" t="s">
        <v>39</v>
      </c>
      <c r="M162" s="40" t="s">
        <v>39</v>
      </c>
      <c r="N162" s="47" t="s">
        <v>39</v>
      </c>
      <c r="O162" s="47" t="s">
        <v>39</v>
      </c>
      <c r="P162" s="47" t="s">
        <v>39</v>
      </c>
      <c r="Q162" s="47" t="s">
        <v>39</v>
      </c>
      <c r="R162" s="47">
        <v>98.474075502992264</v>
      </c>
      <c r="S162" s="47" t="s">
        <v>39</v>
      </c>
      <c r="T162" s="47" t="s">
        <v>39</v>
      </c>
      <c r="U162" s="47" t="s">
        <v>39</v>
      </c>
      <c r="V162" s="47" t="s">
        <v>39</v>
      </c>
      <c r="W162" s="47">
        <v>6.1067595734227931</v>
      </c>
      <c r="AH162" s="43"/>
    </row>
    <row r="163" spans="1:34" ht="13.9" customHeight="1" x14ac:dyDescent="0.2">
      <c r="A163" s="39">
        <v>330</v>
      </c>
      <c r="B163" s="39" t="s">
        <v>633</v>
      </c>
      <c r="C163" s="40">
        <v>1</v>
      </c>
      <c r="D163" s="40">
        <v>78.40986272963022</v>
      </c>
      <c r="E163" s="40">
        <v>159.4594835346779</v>
      </c>
      <c r="F163" s="40">
        <v>23.994999625602606</v>
      </c>
      <c r="G163" s="40">
        <v>7.2118493249768756</v>
      </c>
      <c r="H163" s="40">
        <v>60.33132100473042</v>
      </c>
      <c r="I163" s="40">
        <v>272.83016732774712</v>
      </c>
      <c r="J163" s="40">
        <v>7.7069821454483787</v>
      </c>
      <c r="K163" s="40">
        <v>19.047089243308115</v>
      </c>
      <c r="L163" s="40">
        <v>15.905603774245821</v>
      </c>
      <c r="M163" s="40">
        <v>23.774721540887754</v>
      </c>
      <c r="N163" s="47" t="s">
        <v>39</v>
      </c>
      <c r="O163" s="47" t="s">
        <v>39</v>
      </c>
      <c r="P163" s="47">
        <v>269.18138446842079</v>
      </c>
      <c r="Q163" s="47">
        <v>18.200998138620648</v>
      </c>
      <c r="R163" s="47">
        <v>82.882617864563983</v>
      </c>
      <c r="S163" s="47">
        <v>37.959655499680423</v>
      </c>
      <c r="T163" s="47">
        <v>40.967827371018217</v>
      </c>
      <c r="U163" s="47">
        <v>109.98654470887281</v>
      </c>
      <c r="V163" s="47" t="s">
        <v>39</v>
      </c>
      <c r="W163" s="47">
        <v>23.331218746995852</v>
      </c>
      <c r="AH163" s="43"/>
    </row>
    <row r="164" spans="1:34" ht="13.9" customHeight="1" x14ac:dyDescent="0.2">
      <c r="A164" s="39">
        <v>331</v>
      </c>
      <c r="B164" s="39" t="s">
        <v>634</v>
      </c>
      <c r="C164" s="40">
        <v>1</v>
      </c>
      <c r="D164" s="40">
        <v>79.292513041826084</v>
      </c>
      <c r="E164" s="40">
        <v>139.39952847302982</v>
      </c>
      <c r="F164" s="40">
        <v>23.610893278008124</v>
      </c>
      <c r="G164" s="40">
        <v>5.9487453010549345</v>
      </c>
      <c r="H164" s="40">
        <v>60.967448178855193</v>
      </c>
      <c r="I164" s="40">
        <v>266.39073069149509</v>
      </c>
      <c r="J164" s="40">
        <v>7.7620548361658219</v>
      </c>
      <c r="K164" s="40">
        <v>17.952215719613996</v>
      </c>
      <c r="L164" s="40">
        <v>15.053934230681875</v>
      </c>
      <c r="M164" s="40">
        <v>22.237332236975018</v>
      </c>
      <c r="N164" s="47" t="s">
        <v>39</v>
      </c>
      <c r="O164" s="47" t="s">
        <v>39</v>
      </c>
      <c r="P164" s="47">
        <v>264.34662607240273</v>
      </c>
      <c r="Q164" s="47">
        <v>17.888857316835267</v>
      </c>
      <c r="R164" s="47">
        <v>67.750958799617507</v>
      </c>
      <c r="S164" s="47">
        <v>35.571762008764068</v>
      </c>
      <c r="T164" s="47">
        <v>35.769650815182764</v>
      </c>
      <c r="U164" s="47">
        <v>110.25059098811377</v>
      </c>
      <c r="V164" s="47">
        <v>9.5366832543044602</v>
      </c>
      <c r="W164" s="47">
        <v>22.332134571463943</v>
      </c>
      <c r="AH164" s="43"/>
    </row>
    <row r="165" spans="1:34" ht="13.9" customHeight="1" x14ac:dyDescent="0.2">
      <c r="A165" s="39">
        <v>332</v>
      </c>
      <c r="B165" s="39" t="s">
        <v>635</v>
      </c>
      <c r="C165" s="40">
        <v>1</v>
      </c>
      <c r="D165" s="40">
        <v>82.297295652749028</v>
      </c>
      <c r="E165" s="40">
        <v>151.69997702778576</v>
      </c>
      <c r="F165" s="40">
        <v>23.215461088407825</v>
      </c>
      <c r="G165" s="40">
        <v>6.2088852753402666</v>
      </c>
      <c r="H165" s="40">
        <v>62.937824446407852</v>
      </c>
      <c r="I165" s="40">
        <v>285.01685477438178</v>
      </c>
      <c r="J165" s="40">
        <v>9.356510168612072</v>
      </c>
      <c r="K165" s="40">
        <v>19.988709672853524</v>
      </c>
      <c r="L165" s="40">
        <v>16.413327124540405</v>
      </c>
      <c r="M165" s="40">
        <v>24.269061976714479</v>
      </c>
      <c r="N165" s="47" t="s">
        <v>39</v>
      </c>
      <c r="O165" s="47" t="s">
        <v>39</v>
      </c>
      <c r="P165" s="47">
        <v>275.64545915921639</v>
      </c>
      <c r="Q165" s="47">
        <v>18.98196366369319</v>
      </c>
      <c r="R165" s="47">
        <v>66.335791627581543</v>
      </c>
      <c r="S165" s="47">
        <v>39.969345688635826</v>
      </c>
      <c r="T165" s="47">
        <v>43.17884547427488</v>
      </c>
      <c r="U165" s="47">
        <v>115.96686747866974</v>
      </c>
      <c r="V165" s="47">
        <v>9.9100276429802108</v>
      </c>
      <c r="W165" s="47">
        <v>23.417393441815669</v>
      </c>
      <c r="AH165" s="43"/>
    </row>
    <row r="166" spans="1:34" ht="13.9" customHeight="1" x14ac:dyDescent="0.2">
      <c r="A166" s="39">
        <v>464</v>
      </c>
      <c r="B166" s="39" t="s">
        <v>636</v>
      </c>
      <c r="C166" s="40">
        <v>1</v>
      </c>
      <c r="D166" s="40" t="s">
        <v>39</v>
      </c>
      <c r="E166" s="40" t="s">
        <v>39</v>
      </c>
      <c r="F166" s="40" t="s">
        <v>39</v>
      </c>
      <c r="G166" s="40" t="s">
        <v>39</v>
      </c>
      <c r="H166" s="40" t="s">
        <v>39</v>
      </c>
      <c r="I166" s="40" t="s">
        <v>39</v>
      </c>
      <c r="J166" s="40" t="s">
        <v>39</v>
      </c>
      <c r="K166" s="40" t="s">
        <v>39</v>
      </c>
      <c r="L166" s="40" t="s">
        <v>39</v>
      </c>
      <c r="M166" s="40" t="s">
        <v>39</v>
      </c>
      <c r="N166" s="47" t="s">
        <v>39</v>
      </c>
      <c r="O166" s="47" t="s">
        <v>39</v>
      </c>
      <c r="P166" s="47" t="s">
        <v>39</v>
      </c>
      <c r="Q166" s="47" t="s">
        <v>39</v>
      </c>
      <c r="R166" s="47" t="s">
        <v>39</v>
      </c>
      <c r="S166" s="47" t="s">
        <v>39</v>
      </c>
      <c r="T166" s="47" t="s">
        <v>39</v>
      </c>
      <c r="U166" s="47" t="s">
        <v>39</v>
      </c>
      <c r="V166" s="47" t="s">
        <v>39</v>
      </c>
      <c r="W166" s="47" t="s">
        <v>39</v>
      </c>
      <c r="AH166" s="43"/>
    </row>
    <row r="167" spans="1:34" ht="13.9" customHeight="1" x14ac:dyDescent="0.2">
      <c r="A167" s="39">
        <v>465</v>
      </c>
      <c r="B167" s="39" t="s">
        <v>637</v>
      </c>
      <c r="C167" s="40">
        <v>1</v>
      </c>
      <c r="D167" s="40">
        <v>62.079067999081232</v>
      </c>
      <c r="E167" s="40">
        <v>82.958060576685895</v>
      </c>
      <c r="F167" s="40">
        <v>11.98775618875146</v>
      </c>
      <c r="G167" s="40">
        <v>6.0005508308919175</v>
      </c>
      <c r="H167" s="40">
        <v>52.310231836525418</v>
      </c>
      <c r="I167" s="40">
        <v>133.95004637558426</v>
      </c>
      <c r="J167" s="40">
        <v>11.176350755500247</v>
      </c>
      <c r="K167" s="40" t="s">
        <v>39</v>
      </c>
      <c r="L167" s="40" t="s">
        <v>39</v>
      </c>
      <c r="M167" s="40" t="s">
        <v>39</v>
      </c>
      <c r="N167" s="47" t="s">
        <v>39</v>
      </c>
      <c r="O167" s="47" t="s">
        <v>39</v>
      </c>
      <c r="P167" s="47">
        <v>177.9750649968534</v>
      </c>
      <c r="Q167" s="47" t="s">
        <v>39</v>
      </c>
      <c r="R167" s="47">
        <v>97.457389053009976</v>
      </c>
      <c r="S167" s="47">
        <v>8.5173691928225512</v>
      </c>
      <c r="T167" s="47">
        <v>7.3316570365556775</v>
      </c>
      <c r="U167" s="47">
        <v>110.34063349750029</v>
      </c>
      <c r="V167" s="47" t="s">
        <v>39</v>
      </c>
      <c r="W167" s="47">
        <v>15.922544266618873</v>
      </c>
      <c r="AH167" s="43"/>
    </row>
    <row r="168" spans="1:34" ht="13.9" customHeight="1" x14ac:dyDescent="0.2">
      <c r="A168" s="39">
        <v>466</v>
      </c>
      <c r="B168" s="39" t="s">
        <v>638</v>
      </c>
      <c r="C168" s="40">
        <v>1</v>
      </c>
      <c r="D168" s="40">
        <v>72.779472547418365</v>
      </c>
      <c r="E168" s="40">
        <v>103.77289502085689</v>
      </c>
      <c r="F168" s="40">
        <v>17.364829379149977</v>
      </c>
      <c r="G168" s="40">
        <v>6.1633047365793407</v>
      </c>
      <c r="H168" s="40">
        <v>58.485236451216416</v>
      </c>
      <c r="I168" s="40">
        <v>219.71068913217309</v>
      </c>
      <c r="J168" s="40">
        <v>12.029207306301249</v>
      </c>
      <c r="K168" s="40">
        <v>13.385862100142182</v>
      </c>
      <c r="L168" s="40">
        <v>11.090063994953287</v>
      </c>
      <c r="M168" s="40">
        <v>10.898517766573248</v>
      </c>
      <c r="N168" s="47" t="s">
        <v>39</v>
      </c>
      <c r="O168" s="47" t="s">
        <v>39</v>
      </c>
      <c r="P168" s="47">
        <v>220.2818643807725</v>
      </c>
      <c r="Q168" s="47">
        <v>14.615087709591487</v>
      </c>
      <c r="R168" s="47">
        <v>94.83524710606153</v>
      </c>
      <c r="S168" s="47">
        <v>22.601629322352906</v>
      </c>
      <c r="T168" s="47">
        <v>22.821414179706839</v>
      </c>
      <c r="U168" s="47">
        <v>107.1739847393638</v>
      </c>
      <c r="V168" s="47" t="s">
        <v>39</v>
      </c>
      <c r="W168" s="47">
        <v>21.677918275156301</v>
      </c>
      <c r="AH168" s="43"/>
    </row>
    <row r="169" spans="1:34" ht="13.9" customHeight="1" x14ac:dyDescent="0.2">
      <c r="A169" s="39">
        <v>543</v>
      </c>
      <c r="B169" s="39" t="s">
        <v>639</v>
      </c>
      <c r="C169" s="40">
        <v>1</v>
      </c>
      <c r="D169" s="40" t="s">
        <v>39</v>
      </c>
      <c r="E169" s="40" t="s">
        <v>39</v>
      </c>
      <c r="F169" s="40" t="s">
        <v>39</v>
      </c>
      <c r="G169" s="40" t="s">
        <v>39</v>
      </c>
      <c r="H169" s="40" t="s">
        <v>39</v>
      </c>
      <c r="I169" s="40" t="s">
        <v>39</v>
      </c>
      <c r="J169" s="40" t="s">
        <v>39</v>
      </c>
      <c r="K169" s="40" t="s">
        <v>39</v>
      </c>
      <c r="L169" s="40" t="s">
        <v>39</v>
      </c>
      <c r="M169" s="40" t="s">
        <v>39</v>
      </c>
      <c r="N169" s="47" t="s">
        <v>39</v>
      </c>
      <c r="O169" s="47" t="s">
        <v>39</v>
      </c>
      <c r="P169" s="47" t="s">
        <v>39</v>
      </c>
      <c r="Q169" s="47" t="s">
        <v>39</v>
      </c>
      <c r="R169" s="47">
        <v>107.85135346030179</v>
      </c>
      <c r="S169" s="47" t="s">
        <v>39</v>
      </c>
      <c r="T169" s="47" t="s">
        <v>39</v>
      </c>
      <c r="U169" s="47">
        <v>34.718422490580728</v>
      </c>
      <c r="V169" s="47" t="s">
        <v>39</v>
      </c>
      <c r="W169" s="47">
        <v>7.2858797366920998</v>
      </c>
      <c r="AH169" s="43"/>
    </row>
    <row r="170" spans="1:34" ht="13.9" customHeight="1" x14ac:dyDescent="0.2">
      <c r="A170" s="39">
        <v>544</v>
      </c>
      <c r="B170" s="39" t="s">
        <v>640</v>
      </c>
      <c r="C170" s="40">
        <v>1</v>
      </c>
      <c r="D170" s="40" t="s">
        <v>39</v>
      </c>
      <c r="E170" s="40" t="s">
        <v>39</v>
      </c>
      <c r="F170" s="40" t="s">
        <v>39</v>
      </c>
      <c r="G170" s="40" t="s">
        <v>39</v>
      </c>
      <c r="H170" s="40" t="s">
        <v>39</v>
      </c>
      <c r="I170" s="40" t="s">
        <v>39</v>
      </c>
      <c r="J170" s="40" t="s">
        <v>39</v>
      </c>
      <c r="K170" s="40" t="s">
        <v>39</v>
      </c>
      <c r="L170" s="40" t="s">
        <v>39</v>
      </c>
      <c r="M170" s="40" t="s">
        <v>39</v>
      </c>
      <c r="N170" s="47">
        <v>5.2664537684251576</v>
      </c>
      <c r="O170" s="47" t="s">
        <v>39</v>
      </c>
      <c r="P170" s="47" t="s">
        <v>39</v>
      </c>
      <c r="Q170" s="47" t="s">
        <v>39</v>
      </c>
      <c r="R170" s="47">
        <v>113.98844865932783</v>
      </c>
      <c r="S170" s="47" t="s">
        <v>39</v>
      </c>
      <c r="T170" s="47" t="s">
        <v>39</v>
      </c>
      <c r="U170" s="47" t="s">
        <v>39</v>
      </c>
      <c r="V170" s="47" t="s">
        <v>39</v>
      </c>
      <c r="W170" s="47">
        <v>7.5405208944317028</v>
      </c>
      <c r="AH170" s="43"/>
    </row>
    <row r="171" spans="1:34" ht="13.9" customHeight="1" x14ac:dyDescent="0.2">
      <c r="A171" s="39">
        <v>545</v>
      </c>
      <c r="B171" s="39" t="s">
        <v>641</v>
      </c>
      <c r="C171" s="40">
        <v>1</v>
      </c>
      <c r="D171" s="40" t="s">
        <v>39</v>
      </c>
      <c r="E171" s="40" t="s">
        <v>39</v>
      </c>
      <c r="F171" s="40" t="s">
        <v>39</v>
      </c>
      <c r="G171" s="40" t="s">
        <v>39</v>
      </c>
      <c r="H171" s="40" t="s">
        <v>39</v>
      </c>
      <c r="I171" s="40" t="s">
        <v>39</v>
      </c>
      <c r="J171" s="40" t="s">
        <v>39</v>
      </c>
      <c r="K171" s="40" t="s">
        <v>39</v>
      </c>
      <c r="L171" s="40" t="s">
        <v>39</v>
      </c>
      <c r="M171" s="40" t="s">
        <v>39</v>
      </c>
      <c r="N171" s="47" t="s">
        <v>39</v>
      </c>
      <c r="O171" s="47" t="s">
        <v>39</v>
      </c>
      <c r="P171" s="47" t="s">
        <v>39</v>
      </c>
      <c r="Q171" s="47" t="s">
        <v>39</v>
      </c>
      <c r="R171" s="47">
        <v>97.193949142744032</v>
      </c>
      <c r="S171" s="47" t="s">
        <v>39</v>
      </c>
      <c r="T171" s="47" t="s">
        <v>39</v>
      </c>
      <c r="U171" s="47" t="s">
        <v>39</v>
      </c>
      <c r="V171" s="47" t="s">
        <v>39</v>
      </c>
      <c r="W171" s="47">
        <v>6.7770105764440958</v>
      </c>
      <c r="AH171" s="43"/>
    </row>
    <row r="172" spans="1:34" ht="13.9" customHeight="1" x14ac:dyDescent="0.2">
      <c r="A172" s="39">
        <v>383</v>
      </c>
      <c r="B172" s="39" t="s">
        <v>642</v>
      </c>
      <c r="C172" s="40">
        <v>1</v>
      </c>
      <c r="D172" s="40">
        <v>112.72501961038317</v>
      </c>
      <c r="E172" s="40">
        <v>245.79259105979639</v>
      </c>
      <c r="F172" s="40">
        <v>32.823615345184095</v>
      </c>
      <c r="G172" s="40">
        <v>9.6660051036840855</v>
      </c>
      <c r="H172" s="40">
        <v>89.263149879411955</v>
      </c>
      <c r="I172" s="40">
        <v>340.47231445034174</v>
      </c>
      <c r="J172" s="40">
        <v>15.849314913669705</v>
      </c>
      <c r="K172" s="40">
        <v>27.239640701889201</v>
      </c>
      <c r="L172" s="40">
        <v>24.495249290585207</v>
      </c>
      <c r="M172" s="40">
        <v>35.404854358271116</v>
      </c>
      <c r="N172" s="47">
        <v>6.955987113267013</v>
      </c>
      <c r="O172" s="47">
        <v>12.648017692160071</v>
      </c>
      <c r="P172" s="47">
        <v>361.55334056717209</v>
      </c>
      <c r="Q172" s="47">
        <v>27.770047983417491</v>
      </c>
      <c r="R172" s="47">
        <v>44.615474610812221</v>
      </c>
      <c r="S172" s="47">
        <v>57.376654078935225</v>
      </c>
      <c r="T172" s="47">
        <v>62.272825337116352</v>
      </c>
      <c r="U172" s="47">
        <v>171.98211878375835</v>
      </c>
      <c r="V172" s="47">
        <v>13.952897448564395</v>
      </c>
      <c r="W172" s="47">
        <v>35.59753040542688</v>
      </c>
      <c r="AH172" s="43"/>
    </row>
    <row r="173" spans="1:34" ht="13.9" customHeight="1" x14ac:dyDescent="0.2">
      <c r="A173" s="39">
        <v>384</v>
      </c>
      <c r="B173" s="39" t="s">
        <v>643</v>
      </c>
      <c r="C173" s="40">
        <v>1</v>
      </c>
      <c r="D173" s="40">
        <v>128.80370369356447</v>
      </c>
      <c r="E173" s="40">
        <v>297.13451495450056</v>
      </c>
      <c r="F173" s="40">
        <v>38.371651340325364</v>
      </c>
      <c r="G173" s="40">
        <v>11.085640043015095</v>
      </c>
      <c r="H173" s="40">
        <v>102.16401597495567</v>
      </c>
      <c r="I173" s="40">
        <v>360.97142709013747</v>
      </c>
      <c r="J173" s="40">
        <v>17.702243269102706</v>
      </c>
      <c r="K173" s="40">
        <v>30.378690471988271</v>
      </c>
      <c r="L173" s="40">
        <v>28.562399707108796</v>
      </c>
      <c r="M173" s="40">
        <v>40.591835149763867</v>
      </c>
      <c r="N173" s="47">
        <v>8.1104045920567902</v>
      </c>
      <c r="O173" s="47">
        <v>16.39135142133685</v>
      </c>
      <c r="P173" s="47">
        <v>399.98236340735156</v>
      </c>
      <c r="Q173" s="47">
        <v>31.898953581782536</v>
      </c>
      <c r="R173" s="47">
        <v>25.609500410653084</v>
      </c>
      <c r="S173" s="47">
        <v>66.017083159077558</v>
      </c>
      <c r="T173" s="47">
        <v>69.631218301662685</v>
      </c>
      <c r="U173" s="47">
        <v>207.38145398086576</v>
      </c>
      <c r="V173" s="47">
        <v>16.006390304494907</v>
      </c>
      <c r="W173" s="47">
        <v>39.79949304453708</v>
      </c>
      <c r="AH173" s="43"/>
    </row>
    <row r="174" spans="1:34" ht="13.9" customHeight="1" x14ac:dyDescent="0.2">
      <c r="A174" s="39">
        <v>385</v>
      </c>
      <c r="B174" s="39" t="s">
        <v>644</v>
      </c>
      <c r="C174" s="40">
        <v>1</v>
      </c>
      <c r="D174" s="40">
        <v>126.84567680491307</v>
      </c>
      <c r="E174" s="40">
        <v>311.50409152269003</v>
      </c>
      <c r="F174" s="40">
        <v>37.942840817698958</v>
      </c>
      <c r="G174" s="40">
        <v>10.900793390545997</v>
      </c>
      <c r="H174" s="40">
        <v>100.84901297654655</v>
      </c>
      <c r="I174" s="40">
        <v>353.40024658865133</v>
      </c>
      <c r="J174" s="40">
        <v>17.504860026845726</v>
      </c>
      <c r="K174" s="40">
        <v>29.7211095946707</v>
      </c>
      <c r="L174" s="40">
        <v>28.258557650381285</v>
      </c>
      <c r="M174" s="40">
        <v>39.659087957643024</v>
      </c>
      <c r="N174" s="47">
        <v>7.8559041280799828</v>
      </c>
      <c r="O174" s="47">
        <v>15.880759361787902</v>
      </c>
      <c r="P174" s="47">
        <v>395.98906272978309</v>
      </c>
      <c r="Q174" s="47">
        <v>31.476004020633059</v>
      </c>
      <c r="R174" s="47">
        <v>25.879353901899307</v>
      </c>
      <c r="S174" s="47">
        <v>65.006840865572116</v>
      </c>
      <c r="T174" s="47">
        <v>69.368710002963866</v>
      </c>
      <c r="U174" s="47">
        <v>202.93231658546682</v>
      </c>
      <c r="V174" s="47">
        <v>15.782947918518721</v>
      </c>
      <c r="W174" s="47">
        <v>39.531427814309822</v>
      </c>
      <c r="AH174" s="43"/>
    </row>
    <row r="175" spans="1:34" ht="13.9" customHeight="1" x14ac:dyDescent="0.2">
      <c r="A175" s="39">
        <v>491</v>
      </c>
      <c r="B175" s="39" t="s">
        <v>645</v>
      </c>
      <c r="C175" s="40">
        <v>1</v>
      </c>
      <c r="D175" s="40">
        <v>103.37464707920097</v>
      </c>
      <c r="E175" s="40">
        <v>149.97667196326293</v>
      </c>
      <c r="F175" s="40">
        <v>29.328211072086052</v>
      </c>
      <c r="G175" s="40">
        <v>8.246957799401164</v>
      </c>
      <c r="H175" s="40">
        <v>80.276510428935197</v>
      </c>
      <c r="I175" s="40">
        <v>298.78445122730835</v>
      </c>
      <c r="J175" s="40">
        <v>6.0338912573614927</v>
      </c>
      <c r="K175" s="40">
        <v>28.817202682865215</v>
      </c>
      <c r="L175" s="40">
        <v>22.095411606814448</v>
      </c>
      <c r="M175" s="40">
        <v>25.814445574408946</v>
      </c>
      <c r="N175" s="47" t="s">
        <v>39</v>
      </c>
      <c r="O175" s="47">
        <v>9.7629833006905891</v>
      </c>
      <c r="P175" s="47">
        <v>356.16829044877562</v>
      </c>
      <c r="Q175" s="47">
        <v>27.9328915471302</v>
      </c>
      <c r="R175" s="47">
        <v>80.435742789855126</v>
      </c>
      <c r="S175" s="47">
        <v>46.712051373656863</v>
      </c>
      <c r="T175" s="47">
        <v>48.859674232132726</v>
      </c>
      <c r="U175" s="47">
        <v>124.16179806674278</v>
      </c>
      <c r="V175" s="47">
        <v>12.345186271018036</v>
      </c>
      <c r="W175" s="47">
        <v>31.373672652413575</v>
      </c>
      <c r="AH175" s="43"/>
    </row>
    <row r="176" spans="1:34" ht="13.9" customHeight="1" x14ac:dyDescent="0.2">
      <c r="A176" s="39">
        <v>492</v>
      </c>
      <c r="B176" s="39" t="s">
        <v>646</v>
      </c>
      <c r="C176" s="40">
        <v>1</v>
      </c>
      <c r="D176" s="40">
        <v>125.24280499024778</v>
      </c>
      <c r="E176" s="40">
        <v>230.75941275475324</v>
      </c>
      <c r="F176" s="40">
        <v>34.617441963704536</v>
      </c>
      <c r="G176" s="40">
        <v>9.9874570944605985</v>
      </c>
      <c r="H176" s="40">
        <v>94.990644676083619</v>
      </c>
      <c r="I176" s="40">
        <v>324.83861063285849</v>
      </c>
      <c r="J176" s="40">
        <v>10.76307329584699</v>
      </c>
      <c r="K176" s="40">
        <v>28.201129674551378</v>
      </c>
      <c r="L176" s="40">
        <v>25.045635226034126</v>
      </c>
      <c r="M176" s="40">
        <v>29.47303875510223</v>
      </c>
      <c r="N176" s="47" t="s">
        <v>39</v>
      </c>
      <c r="O176" s="47">
        <v>10.951758106646427</v>
      </c>
      <c r="P176" s="47">
        <v>407.46581742011642</v>
      </c>
      <c r="Q176" s="47">
        <v>27.837146136559433</v>
      </c>
      <c r="R176" s="47">
        <v>64.233877314830451</v>
      </c>
      <c r="S176" s="47">
        <v>57.594398735049424</v>
      </c>
      <c r="T176" s="47">
        <v>62.191583918821252</v>
      </c>
      <c r="U176" s="47">
        <v>139.87413751240013</v>
      </c>
      <c r="V176" s="47">
        <v>14.604419965406921</v>
      </c>
      <c r="W176" s="47">
        <v>38.581769723470195</v>
      </c>
      <c r="AH176" s="43"/>
    </row>
    <row r="177" spans="1:36" ht="13.9" customHeight="1" x14ac:dyDescent="0.2">
      <c r="A177" s="39">
        <v>493</v>
      </c>
      <c r="B177" s="39" t="s">
        <v>647</v>
      </c>
      <c r="C177" s="40">
        <v>1</v>
      </c>
      <c r="D177" s="40">
        <v>125.07363840548166</v>
      </c>
      <c r="E177" s="40">
        <v>230.27892000255952</v>
      </c>
      <c r="F177" s="40">
        <v>35.45872826413926</v>
      </c>
      <c r="G177" s="40">
        <v>10.134699898202841</v>
      </c>
      <c r="H177" s="40">
        <v>95.982025135151616</v>
      </c>
      <c r="I177" s="40">
        <v>322.36238283264174</v>
      </c>
      <c r="J177" s="40">
        <v>10.80813702524055</v>
      </c>
      <c r="K177" s="40">
        <v>28.13712889824523</v>
      </c>
      <c r="L177" s="40">
        <v>25.293899791431858</v>
      </c>
      <c r="M177" s="40">
        <v>29.537351854843955</v>
      </c>
      <c r="N177" s="47" t="s">
        <v>39</v>
      </c>
      <c r="O177" s="47">
        <v>10.233077307030239</v>
      </c>
      <c r="P177" s="47">
        <v>409.58464330374795</v>
      </c>
      <c r="Q177" s="47">
        <v>27.794878664369651</v>
      </c>
      <c r="R177" s="47">
        <v>77.617987828781395</v>
      </c>
      <c r="S177" s="47">
        <v>58.429739190836756</v>
      </c>
      <c r="T177" s="47">
        <v>61.049234118335853</v>
      </c>
      <c r="U177" s="47">
        <v>136.30825661120048</v>
      </c>
      <c r="V177" s="47">
        <v>14.618350520776506</v>
      </c>
      <c r="W177" s="47">
        <v>39.023124450397241</v>
      </c>
      <c r="AH177" s="43"/>
    </row>
    <row r="178" spans="1:36" ht="13.9" customHeight="1" x14ac:dyDescent="0.2">
      <c r="A178" s="39">
        <v>515</v>
      </c>
      <c r="B178" s="39" t="s">
        <v>648</v>
      </c>
      <c r="C178" s="40">
        <v>1</v>
      </c>
      <c r="D178" s="40">
        <v>33.528569365508325</v>
      </c>
      <c r="E178" s="40">
        <v>78.303960027400166</v>
      </c>
      <c r="F178" s="40" t="s">
        <v>39</v>
      </c>
      <c r="G178" s="40" t="s">
        <v>39</v>
      </c>
      <c r="H178" s="40">
        <v>23.7593838493042</v>
      </c>
      <c r="I178" s="40">
        <v>49.046618691562628</v>
      </c>
      <c r="J178" s="40">
        <v>14.874742506360732</v>
      </c>
      <c r="K178" s="40" t="s">
        <v>39</v>
      </c>
      <c r="L178" s="40" t="s">
        <v>39</v>
      </c>
      <c r="M178" s="40" t="s">
        <v>39</v>
      </c>
      <c r="N178" s="47" t="s">
        <v>39</v>
      </c>
      <c r="O178" s="47" t="s">
        <v>39</v>
      </c>
      <c r="P178" s="47">
        <v>119.75110848941065</v>
      </c>
      <c r="Q178" s="47" t="s">
        <v>39</v>
      </c>
      <c r="R178" s="47">
        <v>108.28036531735705</v>
      </c>
      <c r="S178" s="47" t="s">
        <v>39</v>
      </c>
      <c r="T178" s="47" t="s">
        <v>39</v>
      </c>
      <c r="U178" s="47">
        <v>73.719640429785343</v>
      </c>
      <c r="V178" s="47" t="s">
        <v>39</v>
      </c>
      <c r="W178" s="47">
        <v>8.3956757578213193</v>
      </c>
      <c r="AH178" s="43"/>
    </row>
    <row r="179" spans="1:36" ht="13.9" customHeight="1" x14ac:dyDescent="0.2">
      <c r="A179" s="39">
        <v>516</v>
      </c>
      <c r="B179" s="39" t="s">
        <v>649</v>
      </c>
      <c r="C179" s="40">
        <v>1</v>
      </c>
      <c r="D179" s="40">
        <v>96.26070422196446</v>
      </c>
      <c r="E179" s="40">
        <v>177.75609078938336</v>
      </c>
      <c r="F179" s="40">
        <v>15.069883800004376</v>
      </c>
      <c r="G179" s="40">
        <v>10.370692842454554</v>
      </c>
      <c r="H179" s="40">
        <v>69.667370213825606</v>
      </c>
      <c r="I179" s="40">
        <v>166.30163982595809</v>
      </c>
      <c r="J179" s="40">
        <v>14.950938680581743</v>
      </c>
      <c r="K179" s="40">
        <v>10.51453493951338</v>
      </c>
      <c r="L179" s="40" t="s">
        <v>39</v>
      </c>
      <c r="M179" s="40" t="s">
        <v>39</v>
      </c>
      <c r="N179" s="47" t="s">
        <v>39</v>
      </c>
      <c r="O179" s="47" t="s">
        <v>39</v>
      </c>
      <c r="P179" s="47">
        <v>265.26177877876489</v>
      </c>
      <c r="Q179" s="47" t="s">
        <v>39</v>
      </c>
      <c r="R179" s="47">
        <v>94.135430608060332</v>
      </c>
      <c r="S179" s="47">
        <v>17.441012565111365</v>
      </c>
      <c r="T179" s="47">
        <v>13.327197602311497</v>
      </c>
      <c r="U179" s="47">
        <v>99.13922857147989</v>
      </c>
      <c r="V179" s="47">
        <v>11.288411950975854</v>
      </c>
      <c r="W179" s="47">
        <v>17.223971440065799</v>
      </c>
      <c r="AH179" s="43"/>
    </row>
    <row r="180" spans="1:36" ht="13.9" customHeight="1" x14ac:dyDescent="0.2">
      <c r="A180" s="39">
        <v>517</v>
      </c>
      <c r="B180" s="39" t="s">
        <v>650</v>
      </c>
      <c r="C180" s="40">
        <v>1</v>
      </c>
      <c r="D180" s="40">
        <v>84.323639596507007</v>
      </c>
      <c r="E180" s="40">
        <v>158.16225512121466</v>
      </c>
      <c r="F180" s="40">
        <v>10.554896325320954</v>
      </c>
      <c r="G180" s="40">
        <v>10.077087916750873</v>
      </c>
      <c r="H180" s="40">
        <v>60.448121601055696</v>
      </c>
      <c r="I180" s="40">
        <v>127.45142332211043</v>
      </c>
      <c r="J180" s="40">
        <v>14.2610354816991</v>
      </c>
      <c r="K180" s="40" t="s">
        <v>39</v>
      </c>
      <c r="L180" s="40" t="s">
        <v>39</v>
      </c>
      <c r="M180" s="40" t="s">
        <v>39</v>
      </c>
      <c r="N180" s="47" t="s">
        <v>39</v>
      </c>
      <c r="O180" s="47" t="s">
        <v>39</v>
      </c>
      <c r="P180" s="47">
        <v>232.80771216806406</v>
      </c>
      <c r="Q180" s="47" t="s">
        <v>39</v>
      </c>
      <c r="R180" s="47">
        <v>71.623888860772865</v>
      </c>
      <c r="S180" s="47">
        <v>11.51429376119834</v>
      </c>
      <c r="T180" s="47">
        <v>8.6062773812268212</v>
      </c>
      <c r="U180" s="47">
        <v>86.941038640326738</v>
      </c>
      <c r="V180" s="47">
        <v>9.5393753316653935</v>
      </c>
      <c r="W180" s="47">
        <v>11.212516246860174</v>
      </c>
      <c r="AH180" s="43"/>
    </row>
    <row r="181" spans="1:36" x14ac:dyDescent="0.2">
      <c r="B181" s="53" t="s">
        <v>651</v>
      </c>
    </row>
    <row r="182" spans="1:36" ht="13.9" customHeight="1" x14ac:dyDescent="0.2">
      <c r="A182" s="39">
        <v>19</v>
      </c>
      <c r="B182" s="39" t="s">
        <v>652</v>
      </c>
      <c r="C182" s="40">
        <v>1</v>
      </c>
      <c r="D182" s="40" t="s">
        <v>39</v>
      </c>
      <c r="E182" s="40" t="s">
        <v>39</v>
      </c>
      <c r="F182" s="40" t="s">
        <v>39</v>
      </c>
      <c r="G182" s="40">
        <v>12.675642617749958</v>
      </c>
      <c r="H182" s="40" t="s">
        <v>39</v>
      </c>
      <c r="I182" s="40" t="s">
        <v>39</v>
      </c>
      <c r="J182" s="40" t="s">
        <v>39</v>
      </c>
      <c r="K182" s="40" t="s">
        <v>39</v>
      </c>
      <c r="L182" s="40">
        <v>19.149148310760168</v>
      </c>
      <c r="M182" s="40">
        <v>17.381862880231687</v>
      </c>
      <c r="N182" s="47">
        <v>6.6131977675553451</v>
      </c>
      <c r="O182" s="47" t="s">
        <v>39</v>
      </c>
      <c r="P182" s="47" t="s">
        <v>39</v>
      </c>
      <c r="Q182" s="47">
        <v>25.527126750206421</v>
      </c>
      <c r="R182" s="47" t="s">
        <v>39</v>
      </c>
      <c r="S182" s="47" t="s">
        <v>39</v>
      </c>
      <c r="T182" s="47">
        <v>87.544231639854942</v>
      </c>
      <c r="U182" s="47">
        <v>255.37466842094955</v>
      </c>
      <c r="V182" s="47" t="s">
        <v>39</v>
      </c>
      <c r="W182" s="47">
        <v>10.280744031311897</v>
      </c>
      <c r="AJ182" s="43"/>
    </row>
    <row r="183" spans="1:36" ht="13.9" customHeight="1" x14ac:dyDescent="0.2">
      <c r="A183" s="39">
        <v>20</v>
      </c>
      <c r="B183" s="39" t="s">
        <v>653</v>
      </c>
      <c r="C183" s="40">
        <v>1</v>
      </c>
      <c r="D183" s="40">
        <v>119.50481722046899</v>
      </c>
      <c r="E183" s="40">
        <v>248.56951502910334</v>
      </c>
      <c r="F183" s="40">
        <v>35.613300452902998</v>
      </c>
      <c r="G183" s="40">
        <v>9.2809123248896626</v>
      </c>
      <c r="H183" s="40">
        <v>95.791650527010958</v>
      </c>
      <c r="I183" s="40">
        <v>381.74994734186077</v>
      </c>
      <c r="J183" s="40">
        <v>14.497816256067763</v>
      </c>
      <c r="K183" s="40">
        <v>28.780558067362922</v>
      </c>
      <c r="L183" s="40">
        <v>26.149630439150396</v>
      </c>
      <c r="M183" s="40">
        <v>35.811392422579232</v>
      </c>
      <c r="N183" s="47">
        <v>6.7927406040532485</v>
      </c>
      <c r="O183" s="47">
        <v>18.334529943888722</v>
      </c>
      <c r="P183" s="47">
        <v>385.3277530831399</v>
      </c>
      <c r="Q183" s="47">
        <v>29.563094608627637</v>
      </c>
      <c r="R183" s="47">
        <v>107.35221096173456</v>
      </c>
      <c r="S183" s="47">
        <v>62.921440220779942</v>
      </c>
      <c r="T183" s="47">
        <v>62.177956130109393</v>
      </c>
      <c r="U183" s="47">
        <v>184.52022120570172</v>
      </c>
      <c r="V183" s="47">
        <v>15.387273881043431</v>
      </c>
      <c r="W183" s="47">
        <v>32.999264572680012</v>
      </c>
      <c r="AJ183" s="43"/>
    </row>
    <row r="184" spans="1:36" ht="13.9" customHeight="1" x14ac:dyDescent="0.2">
      <c r="A184" s="39">
        <v>21</v>
      </c>
      <c r="B184" s="39" t="s">
        <v>654</v>
      </c>
      <c r="C184" s="40">
        <v>1</v>
      </c>
      <c r="D184" s="40">
        <v>116.40486892466743</v>
      </c>
      <c r="E184" s="40">
        <v>235.76446606395757</v>
      </c>
      <c r="F184" s="40">
        <v>34.576111238452285</v>
      </c>
      <c r="G184" s="40">
        <v>8.7424332272272878</v>
      </c>
      <c r="H184" s="40">
        <v>93.194048984559245</v>
      </c>
      <c r="I184" s="40">
        <v>373.15207953117147</v>
      </c>
      <c r="J184" s="40">
        <v>14.474157088545732</v>
      </c>
      <c r="K184" s="40">
        <v>28.323451864496949</v>
      </c>
      <c r="L184" s="40">
        <v>16.989451863275161</v>
      </c>
      <c r="M184" s="40">
        <v>15.67202871615352</v>
      </c>
      <c r="N184" s="47">
        <v>6.5933237812143233</v>
      </c>
      <c r="O184" s="47">
        <v>17.083259679390515</v>
      </c>
      <c r="P184" s="47">
        <v>379.55794181797745</v>
      </c>
      <c r="Q184" s="47">
        <v>28.735371981584414</v>
      </c>
      <c r="R184" s="47">
        <v>115.58241134655862</v>
      </c>
      <c r="S184" s="47">
        <v>61.133090750330076</v>
      </c>
      <c r="T184" s="47">
        <v>60.135434732113175</v>
      </c>
      <c r="U184" s="47">
        <v>260.11842199634259</v>
      </c>
      <c r="V184" s="47">
        <v>14.919065405246805</v>
      </c>
      <c r="W184" s="47">
        <v>32.39839593432081</v>
      </c>
      <c r="AJ184" s="43"/>
    </row>
    <row r="185" spans="1:36" ht="13.9" customHeight="1" x14ac:dyDescent="0.2">
      <c r="A185" s="39">
        <v>22</v>
      </c>
      <c r="B185" s="39" t="s">
        <v>655</v>
      </c>
      <c r="C185" s="40">
        <v>1</v>
      </c>
      <c r="D185" s="40">
        <v>115.05174559389039</v>
      </c>
      <c r="E185" s="40">
        <v>226.46760240603689</v>
      </c>
      <c r="F185" s="40">
        <v>32.47190810573403</v>
      </c>
      <c r="G185" s="40">
        <v>8.8992587506042558</v>
      </c>
      <c r="H185" s="40">
        <v>90.66886125826484</v>
      </c>
      <c r="I185" s="40">
        <v>346.19423407602721</v>
      </c>
      <c r="J185" s="40">
        <v>15.89042166615795</v>
      </c>
      <c r="K185" s="40">
        <v>26.473965741283525</v>
      </c>
      <c r="L185" s="40">
        <v>23.405084055142908</v>
      </c>
      <c r="M185" s="40">
        <v>30.990784130749262</v>
      </c>
      <c r="N185" s="47">
        <v>1.6485347061601368</v>
      </c>
      <c r="O185" s="47">
        <v>15.666803545504267</v>
      </c>
      <c r="P185" s="47">
        <v>368.28199091760445</v>
      </c>
      <c r="Q185" s="47">
        <v>27.52261449356001</v>
      </c>
      <c r="R185" s="47">
        <v>112.0402709771527</v>
      </c>
      <c r="S185" s="47">
        <v>55.577468640337329</v>
      </c>
      <c r="T185" s="47">
        <v>55.495728437236323</v>
      </c>
      <c r="U185" s="47">
        <v>135.67017407244711</v>
      </c>
      <c r="V185" s="47">
        <v>14.882014341117134</v>
      </c>
      <c r="W185" s="47">
        <v>37.364199524035811</v>
      </c>
      <c r="AJ185" s="43"/>
    </row>
    <row r="186" spans="1:36" ht="13.9" customHeight="1" x14ac:dyDescent="0.2">
      <c r="A186" s="39">
        <v>23</v>
      </c>
      <c r="B186" s="39" t="s">
        <v>656</v>
      </c>
      <c r="C186" s="40">
        <v>1</v>
      </c>
      <c r="D186" s="40">
        <v>115.80250994471758</v>
      </c>
      <c r="E186" s="40">
        <v>233.30966084595497</v>
      </c>
      <c r="F186" s="40">
        <v>32.715769081350956</v>
      </c>
      <c r="G186" s="40">
        <v>31.01251277766503</v>
      </c>
      <c r="H186" s="40">
        <v>91.422796237368786</v>
      </c>
      <c r="I186" s="40">
        <v>358.29678458654456</v>
      </c>
      <c r="J186" s="40">
        <v>16.20372472643248</v>
      </c>
      <c r="K186" s="40">
        <v>26.376879449426841</v>
      </c>
      <c r="L186" s="40">
        <v>23.754827589150111</v>
      </c>
      <c r="M186" s="40">
        <v>31.145271083182109</v>
      </c>
      <c r="N186" s="47">
        <v>1.3862820603331598</v>
      </c>
      <c r="O186" s="47">
        <v>14.986990985074451</v>
      </c>
      <c r="P186" s="47">
        <v>370.4085202878403</v>
      </c>
      <c r="Q186" s="47">
        <v>27.676446310678109</v>
      </c>
      <c r="R186" s="47">
        <v>93.358961146447669</v>
      </c>
      <c r="S186" s="47">
        <v>57.67208056104591</v>
      </c>
      <c r="T186" s="47">
        <v>56.059081047012754</v>
      </c>
      <c r="U186" s="47">
        <v>128.40649218799584</v>
      </c>
      <c r="V186" s="47">
        <v>14.859530912906543</v>
      </c>
      <c r="W186" s="47">
        <v>0.75293354650513344</v>
      </c>
      <c r="AJ186" s="43"/>
    </row>
    <row r="187" spans="1:36" ht="13.9" customHeight="1" x14ac:dyDescent="0.2">
      <c r="A187" s="39">
        <v>24</v>
      </c>
      <c r="B187" s="39" t="s">
        <v>657</v>
      </c>
      <c r="C187" s="40">
        <v>1</v>
      </c>
      <c r="D187" s="40">
        <v>114.21073864306462</v>
      </c>
      <c r="E187" s="40">
        <v>231.68977615857978</v>
      </c>
      <c r="F187" s="40">
        <v>32.248597496794822</v>
      </c>
      <c r="G187" s="40">
        <v>28.063130424664898</v>
      </c>
      <c r="H187" s="40">
        <v>90.32841469721356</v>
      </c>
      <c r="I187" s="40">
        <v>353.68262121642397</v>
      </c>
      <c r="J187" s="40">
        <v>16.042861735479658</v>
      </c>
      <c r="K187" s="40">
        <v>25.832949063559781</v>
      </c>
      <c r="L187" s="40">
        <v>23.236832321549418</v>
      </c>
      <c r="M187" s="40">
        <v>39.330899830258687</v>
      </c>
      <c r="N187" s="47">
        <v>1.4616167016700123</v>
      </c>
      <c r="O187" s="47">
        <v>14.399016880814827</v>
      </c>
      <c r="P187" s="47">
        <v>366.87004224599917</v>
      </c>
      <c r="Q187" s="47">
        <v>27.299355451944169</v>
      </c>
      <c r="R187" s="47">
        <v>113.57534558413624</v>
      </c>
      <c r="S187" s="47">
        <v>57.242858702563353</v>
      </c>
      <c r="T187" s="47">
        <v>55.516644375405043</v>
      </c>
      <c r="U187" s="47">
        <v>92.027215659025174</v>
      </c>
      <c r="V187" s="47">
        <v>14.794259780309552</v>
      </c>
      <c r="W187" s="47">
        <v>6.4190197846900761</v>
      </c>
      <c r="AJ187" s="43"/>
    </row>
    <row r="188" spans="1:36" ht="13.9" customHeight="1" x14ac:dyDescent="0.2">
      <c r="A188" s="39">
        <v>25</v>
      </c>
      <c r="B188" s="39" t="s">
        <v>658</v>
      </c>
      <c r="C188" s="40">
        <v>1</v>
      </c>
      <c r="D188" s="40">
        <v>95.979114483201556</v>
      </c>
      <c r="E188" s="40">
        <v>205.11031882922799</v>
      </c>
      <c r="F188" s="40">
        <v>19.984072870347095</v>
      </c>
      <c r="G188" s="40">
        <v>8.6608999037431644</v>
      </c>
      <c r="H188" s="40">
        <v>68.697460440552305</v>
      </c>
      <c r="I188" s="40">
        <v>272.72759623521796</v>
      </c>
      <c r="J188" s="40">
        <v>16.450360338055749</v>
      </c>
      <c r="K188" s="40">
        <v>18.071656308812088</v>
      </c>
      <c r="L188" s="40">
        <v>13.420109830112255</v>
      </c>
      <c r="M188" s="40">
        <v>12.120933612261695</v>
      </c>
      <c r="N188" s="47" t="s">
        <v>39</v>
      </c>
      <c r="O188" s="47">
        <v>6.0574380833287274</v>
      </c>
      <c r="P188" s="47">
        <v>306.33841284019496</v>
      </c>
      <c r="Q188" s="47">
        <v>18.674443347618528</v>
      </c>
      <c r="R188" s="47">
        <v>124.85052993591748</v>
      </c>
      <c r="S188" s="47">
        <v>32.58394264381468</v>
      </c>
      <c r="T188" s="47">
        <v>28.08794855551313</v>
      </c>
      <c r="U188" s="47">
        <v>72.115224449145416</v>
      </c>
      <c r="V188" s="47">
        <v>13.351604016354985</v>
      </c>
      <c r="W188" s="47">
        <v>29.371813379289176</v>
      </c>
      <c r="AJ188" s="43"/>
    </row>
    <row r="189" spans="1:36" ht="13.9" customHeight="1" x14ac:dyDescent="0.2">
      <c r="A189" s="39">
        <v>26</v>
      </c>
      <c r="B189" s="39" t="s">
        <v>659</v>
      </c>
      <c r="C189" s="40">
        <v>1</v>
      </c>
      <c r="D189" s="40">
        <v>81.099882140484667</v>
      </c>
      <c r="E189" s="40">
        <v>188.90609567442476</v>
      </c>
      <c r="F189" s="40">
        <v>18.97175787488365</v>
      </c>
      <c r="G189" s="40">
        <v>5.686454855784147</v>
      </c>
      <c r="H189" s="40">
        <v>63.256706517868665</v>
      </c>
      <c r="I189" s="40">
        <v>249.43699464187168</v>
      </c>
      <c r="J189" s="40">
        <v>15.390729499723959</v>
      </c>
      <c r="K189" s="40">
        <v>16.920410483620142</v>
      </c>
      <c r="L189" s="40">
        <v>11.985624785044129</v>
      </c>
      <c r="M189" s="40">
        <v>10.133206889199679</v>
      </c>
      <c r="N189" s="47" t="s">
        <v>39</v>
      </c>
      <c r="O189" s="47">
        <v>4.489466066690408</v>
      </c>
      <c r="P189" s="47">
        <v>288.72046262156238</v>
      </c>
      <c r="Q189" s="47">
        <v>16.818154720415329</v>
      </c>
      <c r="R189" s="47">
        <v>132.55725367760002</v>
      </c>
      <c r="S189" s="47">
        <v>29.942601012657178</v>
      </c>
      <c r="T189" s="47">
        <v>33.051965998346063</v>
      </c>
      <c r="U189" s="47">
        <v>63.48886850573772</v>
      </c>
      <c r="V189" s="47">
        <v>12.308859682345053</v>
      </c>
      <c r="W189" s="47">
        <v>22.41412083435663</v>
      </c>
      <c r="AJ189" s="43"/>
    </row>
    <row r="190" spans="1:36" ht="13.9" customHeight="1" x14ac:dyDescent="0.2">
      <c r="A190" s="39">
        <v>28</v>
      </c>
      <c r="B190" s="39" t="s">
        <v>660</v>
      </c>
      <c r="C190" s="40">
        <v>1</v>
      </c>
      <c r="D190" s="40">
        <v>79.913041337199175</v>
      </c>
      <c r="E190" s="40">
        <v>168.38863810121762</v>
      </c>
      <c r="F190" s="40">
        <v>18.388571122921899</v>
      </c>
      <c r="G190" s="40">
        <v>6.9709207860886249</v>
      </c>
      <c r="H190" s="40">
        <v>61.95690151762512</v>
      </c>
      <c r="I190" s="40">
        <v>245.48183999457638</v>
      </c>
      <c r="J190" s="40">
        <v>15.410565865632504</v>
      </c>
      <c r="K190" s="40">
        <v>16.942574826296433</v>
      </c>
      <c r="L190" s="40">
        <v>11.630066731856543</v>
      </c>
      <c r="M190" s="40">
        <v>9.523102487867332</v>
      </c>
      <c r="N190" s="47" t="s">
        <v>39</v>
      </c>
      <c r="O190" s="47">
        <v>3.4876414297602292</v>
      </c>
      <c r="P190" s="47">
        <v>283.92814448391209</v>
      </c>
      <c r="Q190" s="47">
        <v>16.252679435802214</v>
      </c>
      <c r="R190" s="47">
        <v>133.0465391726791</v>
      </c>
      <c r="S190" s="47">
        <v>29.400031531488651</v>
      </c>
      <c r="T190" s="47">
        <v>27.682511330368271</v>
      </c>
      <c r="U190" s="47">
        <v>61.337410080021101</v>
      </c>
      <c r="V190" s="47">
        <v>12.178975758511649</v>
      </c>
      <c r="W190" s="47">
        <v>21.856363700472961</v>
      </c>
      <c r="AJ190" s="43"/>
    </row>
    <row r="191" spans="1:36" ht="13.9" customHeight="1" x14ac:dyDescent="0.2">
      <c r="A191" s="39">
        <v>29</v>
      </c>
      <c r="B191" s="39" t="s">
        <v>661</v>
      </c>
      <c r="C191" s="40">
        <v>1</v>
      </c>
      <c r="D191" s="40">
        <v>145.55831293181623</v>
      </c>
      <c r="E191" s="40">
        <v>309.470688208068</v>
      </c>
      <c r="F191" s="40">
        <v>40.716996331310455</v>
      </c>
      <c r="G191" s="40">
        <v>12.171361991828084</v>
      </c>
      <c r="H191" s="40">
        <v>109.65920280623538</v>
      </c>
      <c r="I191" s="40">
        <v>443.46606408364386</v>
      </c>
      <c r="J191" s="40">
        <v>17.09352291494886</v>
      </c>
      <c r="K191" s="40">
        <v>32.908848854606902</v>
      </c>
      <c r="L191" s="40">
        <v>30.42674596884817</v>
      </c>
      <c r="M191" s="40">
        <v>43.60910016903037</v>
      </c>
      <c r="N191" s="47">
        <v>8.3336856966492459</v>
      </c>
      <c r="O191" s="47">
        <v>19.055299346248603</v>
      </c>
      <c r="P191" s="47">
        <v>416.40377139378495</v>
      </c>
      <c r="Q191" s="47">
        <v>34.326110292765435</v>
      </c>
      <c r="R191" s="47">
        <v>78.84566595293154</v>
      </c>
      <c r="S191" s="47">
        <v>72.792213994655341</v>
      </c>
      <c r="T191" s="47">
        <v>74.104866295735249</v>
      </c>
      <c r="U191" s="47">
        <v>193.89923703715863</v>
      </c>
      <c r="V191" s="47">
        <v>17.196480438167779</v>
      </c>
      <c r="W191" s="47">
        <v>44.744635530764192</v>
      </c>
      <c r="AJ191" s="43"/>
    </row>
    <row r="192" spans="1:36" ht="13.9" customHeight="1" x14ac:dyDescent="0.2">
      <c r="A192" s="39">
        <v>30</v>
      </c>
      <c r="B192" s="39" t="s">
        <v>662</v>
      </c>
      <c r="C192" s="40">
        <v>1</v>
      </c>
      <c r="D192" s="40">
        <v>113.12184705262607</v>
      </c>
      <c r="E192" s="40">
        <v>241.87713839454398</v>
      </c>
      <c r="F192" s="40">
        <v>33.791304717542147</v>
      </c>
      <c r="G192" s="40">
        <v>10.006468079148277</v>
      </c>
      <c r="H192" s="40">
        <v>90.989205476183287</v>
      </c>
      <c r="I192" s="40">
        <v>365.70176050346106</v>
      </c>
      <c r="J192" s="40">
        <v>15.176902133010772</v>
      </c>
      <c r="K192" s="40">
        <v>27.826399846076068</v>
      </c>
      <c r="L192" s="40">
        <v>25.826170733929441</v>
      </c>
      <c r="M192" s="40">
        <v>32.026988350604455</v>
      </c>
      <c r="N192" s="47">
        <v>6.5216508029693667</v>
      </c>
      <c r="O192" s="47">
        <v>14.713413491476352</v>
      </c>
      <c r="P192" s="47">
        <v>369.07389592693886</v>
      </c>
      <c r="Q192" s="47">
        <v>27.982477765930117</v>
      </c>
      <c r="R192" s="47">
        <v>116.17663744172293</v>
      </c>
      <c r="S192" s="47">
        <v>59.579933313711926</v>
      </c>
      <c r="T192" s="47">
        <v>61.199682174309899</v>
      </c>
      <c r="U192" s="47">
        <v>158.88202967710544</v>
      </c>
      <c r="V192" s="47">
        <v>14.173691404528189</v>
      </c>
      <c r="W192" s="47">
        <v>6.6660586043963042</v>
      </c>
      <c r="AJ192" s="43"/>
    </row>
    <row r="193" spans="1:36" ht="13.9" customHeight="1" x14ac:dyDescent="0.2">
      <c r="A193" s="39">
        <v>31</v>
      </c>
      <c r="B193" s="39" t="s">
        <v>663</v>
      </c>
      <c r="C193" s="40">
        <v>1</v>
      </c>
      <c r="D193" s="40">
        <v>113.14787278173037</v>
      </c>
      <c r="E193" s="40">
        <v>225.52535112583035</v>
      </c>
      <c r="F193" s="40">
        <v>33.728064463194151</v>
      </c>
      <c r="G193" s="40">
        <v>10.028715944906253</v>
      </c>
      <c r="H193" s="40">
        <v>91.077075504744784</v>
      </c>
      <c r="I193" s="40">
        <v>365.91315825933913</v>
      </c>
      <c r="J193" s="40">
        <v>15.397632688620247</v>
      </c>
      <c r="K193" s="40">
        <v>28.086735678504922</v>
      </c>
      <c r="L193" s="40">
        <v>24.949975109721532</v>
      </c>
      <c r="M193" s="40">
        <v>35.310885573486871</v>
      </c>
      <c r="N193" s="47">
        <v>6.4946702573664128</v>
      </c>
      <c r="O193" s="47">
        <v>13.703241454610344</v>
      </c>
      <c r="P193" s="47">
        <v>371.02349767627402</v>
      </c>
      <c r="Q193" s="47">
        <v>27.818549724189207</v>
      </c>
      <c r="R193" s="47">
        <v>113.11240005558953</v>
      </c>
      <c r="S193" s="47">
        <v>59.328639479718142</v>
      </c>
      <c r="T193" s="47">
        <v>59.11002294632803</v>
      </c>
      <c r="U193" s="47">
        <v>147.7988793989432</v>
      </c>
      <c r="V193" s="47">
        <v>14.149913846518022</v>
      </c>
      <c r="W193" s="47">
        <v>6.1285100885698949</v>
      </c>
      <c r="AJ193" s="43"/>
    </row>
    <row r="194" spans="1:36" ht="13.9" customHeight="1" x14ac:dyDescent="0.2">
      <c r="A194" s="39">
        <v>32</v>
      </c>
      <c r="B194" s="39" t="s">
        <v>664</v>
      </c>
      <c r="C194" s="40">
        <v>1</v>
      </c>
      <c r="D194" s="40">
        <v>112.68600614212261</v>
      </c>
      <c r="E194" s="40">
        <v>228.72570703469401</v>
      </c>
      <c r="F194" s="40">
        <v>31.644307268521079</v>
      </c>
      <c r="G194" s="40">
        <v>8.6003198542971653</v>
      </c>
      <c r="H194" s="40">
        <v>90.101884279505953</v>
      </c>
      <c r="I194" s="40">
        <v>344.86649648320861</v>
      </c>
      <c r="J194" s="40">
        <v>16.257547349100609</v>
      </c>
      <c r="K194" s="40">
        <v>25.893644076854496</v>
      </c>
      <c r="L194" s="40">
        <v>23.735674447796487</v>
      </c>
      <c r="M194" s="40">
        <v>29.086332824824066</v>
      </c>
      <c r="N194" s="47" t="s">
        <v>39</v>
      </c>
      <c r="O194" s="47">
        <v>11.698159615670457</v>
      </c>
      <c r="P194" s="47">
        <v>363.06555875895697</v>
      </c>
      <c r="Q194" s="47">
        <v>26.407092590056443</v>
      </c>
      <c r="R194" s="47">
        <v>104.29737339379794</v>
      </c>
      <c r="S194" s="47">
        <v>54.527115352658839</v>
      </c>
      <c r="T194" s="47">
        <v>47.805201134728541</v>
      </c>
      <c r="U194" s="47">
        <v>117.77101298525362</v>
      </c>
      <c r="V194" s="47">
        <v>14.054170244509766</v>
      </c>
      <c r="W194" s="47">
        <v>33.155694594118074</v>
      </c>
      <c r="AJ194" s="43"/>
    </row>
    <row r="195" spans="1:36" ht="13.9" customHeight="1" x14ac:dyDescent="0.2">
      <c r="A195" s="39">
        <v>33</v>
      </c>
      <c r="B195" s="39" t="s">
        <v>665</v>
      </c>
      <c r="C195" s="40">
        <v>1</v>
      </c>
      <c r="D195" s="40">
        <v>113.39654419198831</v>
      </c>
      <c r="E195" s="40">
        <v>222.03296004712368</v>
      </c>
      <c r="F195" s="40">
        <v>32.103198749692709</v>
      </c>
      <c r="G195" s="40">
        <v>9.93904031435744</v>
      </c>
      <c r="H195" s="40">
        <v>90.693916416438086</v>
      </c>
      <c r="I195" s="40">
        <v>348.70537247610065</v>
      </c>
      <c r="J195" s="40">
        <v>17.796067350941914</v>
      </c>
      <c r="K195" s="40">
        <v>26.316458150237683</v>
      </c>
      <c r="L195" s="40">
        <v>24.029822000268087</v>
      </c>
      <c r="M195" s="40">
        <v>30.779484294190645</v>
      </c>
      <c r="N195" s="47" t="s">
        <v>39</v>
      </c>
      <c r="O195" s="47">
        <v>12.12256236361419</v>
      </c>
      <c r="P195" s="47">
        <v>366.46061306127217</v>
      </c>
      <c r="Q195" s="47">
        <v>26.764935944136408</v>
      </c>
      <c r="R195" s="47">
        <v>102.73855753299151</v>
      </c>
      <c r="S195" s="47">
        <v>55.414650611224218</v>
      </c>
      <c r="T195" s="47">
        <v>53.91121494662579</v>
      </c>
      <c r="U195" s="47">
        <v>109.9776440223683</v>
      </c>
      <c r="V195" s="47">
        <v>14.138145963773518</v>
      </c>
      <c r="W195" s="47">
        <v>37.517174409100562</v>
      </c>
    </row>
    <row r="196" spans="1:36" ht="13.9" customHeight="1" x14ac:dyDescent="0.2">
      <c r="A196" s="39">
        <v>34</v>
      </c>
      <c r="B196" s="39" t="s">
        <v>666</v>
      </c>
      <c r="C196" s="40">
        <v>1</v>
      </c>
      <c r="D196" s="40">
        <v>131.74092457311227</v>
      </c>
      <c r="E196" s="40">
        <v>302.67003005477181</v>
      </c>
      <c r="F196" s="40">
        <v>38.221332818200814</v>
      </c>
      <c r="G196" s="40">
        <v>11.716034782964194</v>
      </c>
      <c r="H196" s="40">
        <v>105.06156133483873</v>
      </c>
      <c r="I196" s="40">
        <v>413.37038032166055</v>
      </c>
      <c r="J196" s="40">
        <v>20.882268576244744</v>
      </c>
      <c r="K196" s="40">
        <v>30.306870043122153</v>
      </c>
      <c r="L196" s="40">
        <v>28.684943632855013</v>
      </c>
      <c r="M196" s="40">
        <v>37.261910771200242</v>
      </c>
      <c r="N196" s="47">
        <v>3.8962058463850453</v>
      </c>
      <c r="O196" s="47">
        <v>16.916937222837792</v>
      </c>
      <c r="P196" s="47">
        <v>404.03875986799784</v>
      </c>
      <c r="Q196" s="47">
        <v>31.130166947940111</v>
      </c>
      <c r="R196" s="47">
        <v>95.6427997597483</v>
      </c>
      <c r="S196" s="47">
        <v>66.743512236947808</v>
      </c>
      <c r="T196" s="47">
        <v>66.893923072564931</v>
      </c>
      <c r="U196" s="47">
        <v>141.12079992612442</v>
      </c>
      <c r="V196" s="47">
        <v>16.042917780207649</v>
      </c>
      <c r="W196" s="47">
        <v>43.27189078149609</v>
      </c>
    </row>
    <row r="197" spans="1:36" ht="13.9" customHeight="1" x14ac:dyDescent="0.2">
      <c r="A197" s="39">
        <v>35</v>
      </c>
      <c r="B197" s="39" t="s">
        <v>667</v>
      </c>
      <c r="C197" s="40">
        <v>1</v>
      </c>
      <c r="D197" s="40">
        <v>128.71135125357603</v>
      </c>
      <c r="E197" s="40">
        <v>264.31561915900585</v>
      </c>
      <c r="F197" s="40">
        <v>32.269689001465139</v>
      </c>
      <c r="G197" s="40">
        <v>11.864176591970995</v>
      </c>
      <c r="H197" s="40">
        <v>101.33139374511538</v>
      </c>
      <c r="I197" s="40">
        <v>341.40253047497072</v>
      </c>
      <c r="J197" s="40">
        <v>20.526980455428756</v>
      </c>
      <c r="K197" s="40">
        <v>24.151055254677281</v>
      </c>
      <c r="L197" s="40">
        <v>22.892067955088123</v>
      </c>
      <c r="M197" s="40">
        <v>26.586481068203554</v>
      </c>
      <c r="N197" s="47" t="s">
        <v>39</v>
      </c>
      <c r="O197" s="47">
        <v>11.136656971590751</v>
      </c>
      <c r="P197" s="47">
        <v>376.31801384323882</v>
      </c>
      <c r="Q197" s="47">
        <v>27.589756192636187</v>
      </c>
      <c r="R197" s="47">
        <v>92.284606580504203</v>
      </c>
      <c r="S197" s="47">
        <v>51.671150155948439</v>
      </c>
      <c r="T197" s="47">
        <v>50.025406783056319</v>
      </c>
      <c r="U197" s="47">
        <v>125.34457586338314</v>
      </c>
      <c r="V197" s="47">
        <v>15.730570471352987</v>
      </c>
      <c r="W197" s="47">
        <v>0.71479041746647853</v>
      </c>
    </row>
    <row r="198" spans="1:36" ht="13.9" customHeight="1" x14ac:dyDescent="0.2">
      <c r="A198" s="39">
        <v>36</v>
      </c>
      <c r="B198" s="39" t="s">
        <v>668</v>
      </c>
      <c r="C198" s="40">
        <v>1</v>
      </c>
      <c r="D198" s="40">
        <v>106.75094777169119</v>
      </c>
      <c r="E198" s="40">
        <v>187.37976464281883</v>
      </c>
      <c r="F198" s="40">
        <v>21.443140896800934</v>
      </c>
      <c r="G198" s="40">
        <v>9.8932029508755459</v>
      </c>
      <c r="H198" s="40">
        <v>81.594690114583372</v>
      </c>
      <c r="I198" s="40">
        <v>238.18557913862233</v>
      </c>
      <c r="J198" s="40">
        <v>16.4591562385882</v>
      </c>
      <c r="K198" s="40">
        <v>16.259329670843535</v>
      </c>
      <c r="L198" s="40">
        <v>15.248246465116011</v>
      </c>
      <c r="M198" s="40">
        <v>15.577537025317369</v>
      </c>
      <c r="N198" s="47">
        <v>0.30594542327513308</v>
      </c>
      <c r="O198" s="47">
        <v>3.8978194327779043</v>
      </c>
      <c r="P198" s="47">
        <v>312.35274919603307</v>
      </c>
      <c r="Q198" s="47">
        <v>19.670906041062619</v>
      </c>
      <c r="R198" s="47">
        <v>113.04528523902458</v>
      </c>
      <c r="S198" s="47">
        <v>32.069833056117346</v>
      </c>
      <c r="T198" s="47">
        <v>28.613794451468365</v>
      </c>
      <c r="U198" s="47">
        <v>133.12734053501654</v>
      </c>
      <c r="V198" s="47">
        <v>12.725254155325642</v>
      </c>
      <c r="W198" s="47">
        <v>30.571658829805735</v>
      </c>
    </row>
    <row r="199" spans="1:36" ht="13.9" customHeight="1" x14ac:dyDescent="0.2">
      <c r="A199" s="39">
        <v>37</v>
      </c>
      <c r="B199" s="39" t="s">
        <v>669</v>
      </c>
      <c r="C199" s="40">
        <v>1</v>
      </c>
      <c r="D199" s="40">
        <v>107.07865213344685</v>
      </c>
      <c r="E199" s="40">
        <v>180.85746915368955</v>
      </c>
      <c r="F199" s="40">
        <v>22.777435586023504</v>
      </c>
      <c r="G199" s="40">
        <v>8.8728796117543567</v>
      </c>
      <c r="H199" s="40">
        <v>82.279903310791951</v>
      </c>
      <c r="I199" s="40">
        <v>251.20262556145076</v>
      </c>
      <c r="J199" s="40">
        <v>15.578834946413993</v>
      </c>
      <c r="K199" s="40">
        <v>17.446130829683803</v>
      </c>
      <c r="L199" s="40">
        <v>16.346299535103793</v>
      </c>
      <c r="M199" s="40">
        <v>17.072676384888418</v>
      </c>
      <c r="N199" s="47">
        <v>0.26793867778320174</v>
      </c>
      <c r="O199" s="47">
        <v>4.6287561119134049</v>
      </c>
      <c r="P199" s="47">
        <v>319.2949612173345</v>
      </c>
      <c r="Q199" s="47">
        <v>20.495961288395296</v>
      </c>
      <c r="R199" s="47">
        <v>108.24136646013883</v>
      </c>
      <c r="S199" s="47">
        <v>34.536936542449197</v>
      </c>
      <c r="T199" s="47">
        <v>29.998614265392156</v>
      </c>
      <c r="U199" s="47">
        <v>132.51035461651284</v>
      </c>
      <c r="V199" s="47">
        <v>12.755732681311624</v>
      </c>
      <c r="W199" s="47">
        <v>26.719008798021957</v>
      </c>
    </row>
    <row r="200" spans="1:36" ht="13.9" customHeight="1" x14ac:dyDescent="0.2">
      <c r="A200" s="39">
        <v>38</v>
      </c>
      <c r="B200" s="39" t="s">
        <v>670</v>
      </c>
      <c r="C200" s="40">
        <v>1</v>
      </c>
      <c r="D200" s="40">
        <v>131.78845067620864</v>
      </c>
      <c r="E200" s="40">
        <v>287.38438103806419</v>
      </c>
      <c r="F200" s="40">
        <v>39.025229316909055</v>
      </c>
      <c r="G200" s="40">
        <v>11.633491765459684</v>
      </c>
      <c r="H200" s="40">
        <v>105.15307493049865</v>
      </c>
      <c r="I200" s="40">
        <v>431.36640481977895</v>
      </c>
      <c r="J200" s="40">
        <v>18.816313716105565</v>
      </c>
      <c r="K200" s="40">
        <v>31.941336472145778</v>
      </c>
      <c r="L200" s="40">
        <v>29.303418149310872</v>
      </c>
      <c r="M200" s="40">
        <v>40.20639078167715</v>
      </c>
      <c r="N200" s="47">
        <v>7.9677007761030501</v>
      </c>
      <c r="O200" s="47">
        <v>15.811882601399512</v>
      </c>
      <c r="P200" s="47">
        <v>403.99268974044998</v>
      </c>
      <c r="Q200" s="47">
        <v>28.214921601069371</v>
      </c>
      <c r="R200" s="47">
        <v>79.47764520985956</v>
      </c>
      <c r="S200" s="47">
        <v>68.876128947316914</v>
      </c>
      <c r="T200" s="47">
        <v>70.765816953585855</v>
      </c>
      <c r="U200" s="47">
        <v>195.52116798937959</v>
      </c>
      <c r="V200" s="47">
        <v>16.269435763579676</v>
      </c>
      <c r="W200" s="47">
        <v>43.240435849759415</v>
      </c>
    </row>
    <row r="201" spans="1:36" ht="13.9" customHeight="1" x14ac:dyDescent="0.2">
      <c r="A201" s="39">
        <v>39</v>
      </c>
      <c r="B201" s="39" t="s">
        <v>671</v>
      </c>
      <c r="C201" s="40">
        <v>1</v>
      </c>
      <c r="D201" s="40">
        <v>41.489593993661508</v>
      </c>
      <c r="E201" s="40">
        <v>84.77593028728775</v>
      </c>
      <c r="F201" s="40">
        <v>13.573430745789084</v>
      </c>
      <c r="G201" s="40">
        <v>2.5890052820985119</v>
      </c>
      <c r="H201" s="40">
        <v>35.402640586163692</v>
      </c>
      <c r="I201" s="40">
        <v>150.11557145833714</v>
      </c>
      <c r="J201" s="40">
        <v>5.8190006575143034</v>
      </c>
      <c r="K201" s="40">
        <v>11.186261830987434</v>
      </c>
      <c r="L201" s="40">
        <v>9.6576432004357233</v>
      </c>
      <c r="M201" s="40">
        <v>12.672982947585073</v>
      </c>
      <c r="N201" s="47">
        <v>1.9336946465298839</v>
      </c>
      <c r="O201" s="47">
        <v>3.588303120969512</v>
      </c>
      <c r="P201" s="47">
        <v>167.82346977419235</v>
      </c>
      <c r="Q201" s="47">
        <v>10.839078084633263</v>
      </c>
      <c r="R201" s="47">
        <v>63.927777936806407</v>
      </c>
      <c r="S201" s="47">
        <v>21.09974433438471</v>
      </c>
      <c r="T201" s="47">
        <v>22.763809657320213</v>
      </c>
      <c r="U201" s="47">
        <v>61.993251885323744</v>
      </c>
      <c r="V201" s="47">
        <v>5.1302507118620326</v>
      </c>
      <c r="W201" s="47">
        <v>14.590663270579471</v>
      </c>
    </row>
    <row r="202" spans="1:36" ht="13.9" customHeight="1" x14ac:dyDescent="0.2">
      <c r="A202" s="39">
        <v>41</v>
      </c>
      <c r="B202" s="39" t="s">
        <v>672</v>
      </c>
      <c r="C202" s="40">
        <v>1</v>
      </c>
      <c r="D202" s="40">
        <v>126.28779366468635</v>
      </c>
      <c r="E202" s="40">
        <v>273.74899289955175</v>
      </c>
      <c r="F202" s="40">
        <v>37.379875737342203</v>
      </c>
      <c r="G202" s="40">
        <v>11.126451499633227</v>
      </c>
      <c r="H202" s="40">
        <v>101.02455089783378</v>
      </c>
      <c r="I202" s="40">
        <v>413.74603994697634</v>
      </c>
      <c r="J202" s="40">
        <v>15.826444257750431</v>
      </c>
      <c r="K202" s="40">
        <v>30.571216177209141</v>
      </c>
      <c r="L202" s="40">
        <v>28.785882545517367</v>
      </c>
      <c r="M202" s="40">
        <v>38.902470204878959</v>
      </c>
      <c r="N202" s="47">
        <v>7.6614287759372468</v>
      </c>
      <c r="O202" s="47">
        <v>14.679832618290574</v>
      </c>
      <c r="P202" s="47">
        <v>394.89887597056492</v>
      </c>
      <c r="Q202" s="47">
        <v>27.005179223312581</v>
      </c>
      <c r="R202" s="47">
        <v>72.341239303602094</v>
      </c>
      <c r="S202" s="47">
        <v>66.045697059848919</v>
      </c>
      <c r="T202" s="47">
        <v>68.105454301780441</v>
      </c>
      <c r="U202" s="47">
        <v>184.63142265179755</v>
      </c>
      <c r="V202" s="47">
        <v>15.670089090018848</v>
      </c>
      <c r="W202" s="47">
        <v>41.869123784139596</v>
      </c>
    </row>
    <row r="203" spans="1:36" ht="13.9" customHeight="1" x14ac:dyDescent="0.2">
      <c r="A203" s="39">
        <v>42</v>
      </c>
      <c r="B203" s="39" t="s">
        <v>673</v>
      </c>
      <c r="C203" s="40">
        <v>1</v>
      </c>
      <c r="D203" s="40">
        <v>140.52320221668782</v>
      </c>
      <c r="E203" s="40">
        <v>290.48574897209039</v>
      </c>
      <c r="F203" s="40">
        <v>38.107720749211055</v>
      </c>
      <c r="G203" s="40">
        <v>11.727207222032725</v>
      </c>
      <c r="H203" s="40">
        <v>105.1796832990394</v>
      </c>
      <c r="I203" s="40">
        <v>425.50886477291073</v>
      </c>
      <c r="J203" s="40">
        <v>18.73607096409215</v>
      </c>
      <c r="K203" s="40">
        <v>30.521791467926686</v>
      </c>
      <c r="L203" s="40">
        <v>28.179129748514253</v>
      </c>
      <c r="M203" s="40">
        <v>36.704680601466485</v>
      </c>
      <c r="N203" s="47">
        <v>4.404185262107486</v>
      </c>
      <c r="O203" s="47">
        <v>14.506915929783817</v>
      </c>
      <c r="P203" s="47">
        <v>403.14162028464227</v>
      </c>
      <c r="Q203" s="47">
        <v>27.98282234088278</v>
      </c>
      <c r="R203" s="47">
        <v>81.396723631114611</v>
      </c>
      <c r="S203" s="47">
        <v>64.717040602790377</v>
      </c>
      <c r="T203" s="47">
        <v>68.05521560616809</v>
      </c>
      <c r="U203" s="47">
        <v>145.00491210993127</v>
      </c>
      <c r="V203" s="47">
        <v>16.540084108782182</v>
      </c>
      <c r="W203" s="47">
        <v>44.137163798647748</v>
      </c>
    </row>
    <row r="204" spans="1:36" ht="13.9" customHeight="1" x14ac:dyDescent="0.2">
      <c r="A204" s="39">
        <v>43</v>
      </c>
      <c r="B204" s="39" t="s">
        <v>674</v>
      </c>
      <c r="C204" s="40">
        <v>1</v>
      </c>
      <c r="D204" s="40">
        <v>133.2355224303524</v>
      </c>
      <c r="E204" s="40">
        <v>307.05523149276848</v>
      </c>
      <c r="F204" s="40">
        <v>38.43981640095393</v>
      </c>
      <c r="G204" s="40">
        <v>11.81046846270273</v>
      </c>
      <c r="H204" s="40">
        <v>105.71801490835759</v>
      </c>
      <c r="I204" s="40">
        <v>427.94425410491351</v>
      </c>
      <c r="J204" s="40">
        <v>18.329941126418333</v>
      </c>
      <c r="K204" s="40">
        <v>30.669230881383339</v>
      </c>
      <c r="L204" s="40">
        <v>29.650829289998899</v>
      </c>
      <c r="M204" s="40">
        <v>37.173359892072128</v>
      </c>
      <c r="N204" s="47">
        <v>4.5559308409686192</v>
      </c>
      <c r="O204" s="47">
        <v>16.069275944140927</v>
      </c>
      <c r="P204" s="47">
        <v>404.24935109782587</v>
      </c>
      <c r="Q204" s="47">
        <v>28.193421249534133</v>
      </c>
      <c r="R204" s="47">
        <v>76.620973964590462</v>
      </c>
      <c r="S204" s="47">
        <v>65.174258852547297</v>
      </c>
      <c r="T204" s="47">
        <v>67.716764358928344</v>
      </c>
      <c r="U204" s="47">
        <v>144.32527347509108</v>
      </c>
      <c r="V204" s="47">
        <v>16.561196094164863</v>
      </c>
      <c r="W204" s="47">
        <v>42.373857337371838</v>
      </c>
    </row>
    <row r="205" spans="1:36" ht="13.9" customHeight="1" x14ac:dyDescent="0.2">
      <c r="A205" s="54">
        <v>44</v>
      </c>
      <c r="B205" s="54" t="s">
        <v>675</v>
      </c>
      <c r="C205" s="55">
        <v>1</v>
      </c>
      <c r="D205" s="55">
        <v>130.64383619080672</v>
      </c>
      <c r="E205" s="40">
        <v>298.50330877586788</v>
      </c>
      <c r="F205" s="40">
        <v>38.070879361378317</v>
      </c>
      <c r="G205" s="55">
        <v>11.65602769152961</v>
      </c>
      <c r="H205" s="55">
        <v>103.82973996975493</v>
      </c>
      <c r="I205" s="55">
        <v>428.07835328910022</v>
      </c>
      <c r="J205" s="55">
        <v>17.980626451452665</v>
      </c>
      <c r="K205" s="55">
        <v>29.752283235493952</v>
      </c>
      <c r="L205" s="55">
        <v>28.214783770376723</v>
      </c>
      <c r="M205" s="55">
        <v>37.253844075253632</v>
      </c>
      <c r="N205" s="47">
        <v>4.3564378273017734</v>
      </c>
      <c r="O205" s="47">
        <v>16.93288535515109</v>
      </c>
      <c r="P205" s="47">
        <v>399.20732554270819</v>
      </c>
      <c r="Q205" s="47">
        <v>27.53597911322494</v>
      </c>
      <c r="R205" s="47">
        <v>68.776749735342264</v>
      </c>
      <c r="S205" s="47">
        <v>57.940713816172867</v>
      </c>
      <c r="T205" s="47">
        <v>66.411386153236222</v>
      </c>
      <c r="U205" s="47">
        <v>140.67366002240598</v>
      </c>
      <c r="V205" s="47">
        <v>16.180392467309648</v>
      </c>
      <c r="W205" s="47">
        <v>40.102073153972682</v>
      </c>
    </row>
    <row r="206" spans="1:36" ht="12.75" customHeight="1" x14ac:dyDescent="0.2">
      <c r="A206" s="56">
        <v>45</v>
      </c>
      <c r="B206" s="57" t="s">
        <v>676</v>
      </c>
      <c r="C206" s="40">
        <v>1</v>
      </c>
      <c r="D206" s="40">
        <v>127.41181596079208</v>
      </c>
      <c r="E206" s="40">
        <v>252.72382379905571</v>
      </c>
      <c r="F206" s="40">
        <v>30.605372308538904</v>
      </c>
      <c r="G206" s="40">
        <v>11.069462119799489</v>
      </c>
      <c r="H206" s="40">
        <v>93.628433501936527</v>
      </c>
      <c r="I206" s="40">
        <v>366.6647292557177</v>
      </c>
      <c r="J206" s="40">
        <v>19.257319818544069</v>
      </c>
      <c r="K206" s="40">
        <v>24.226597211438662</v>
      </c>
      <c r="L206" s="40">
        <v>22.922701145620561</v>
      </c>
      <c r="M206" s="40">
        <v>25.758922800344557</v>
      </c>
      <c r="N206" s="47" t="s">
        <v>39</v>
      </c>
      <c r="O206" s="47">
        <v>8.9740876962154932</v>
      </c>
      <c r="P206" s="47">
        <v>363.13952487108384</v>
      </c>
      <c r="Q206" s="47">
        <v>26.58756874634426</v>
      </c>
      <c r="R206" s="47">
        <v>81.525659361876635</v>
      </c>
      <c r="S206" s="47">
        <v>45.841798701786715</v>
      </c>
      <c r="T206" s="47">
        <v>50.700718281533526</v>
      </c>
      <c r="U206" s="47">
        <v>76.850600764394613</v>
      </c>
      <c r="V206" s="47">
        <v>15.294783164770859</v>
      </c>
      <c r="W206" s="47">
        <v>39.304323351348685</v>
      </c>
      <c r="AA206" s="58"/>
      <c r="AB206" s="59"/>
    </row>
    <row r="207" spans="1:36" ht="12.75" customHeight="1" x14ac:dyDescent="0.2">
      <c r="A207" s="56">
        <v>46</v>
      </c>
      <c r="B207" s="57" t="s">
        <v>677</v>
      </c>
      <c r="C207" s="40">
        <v>1</v>
      </c>
      <c r="D207" s="40">
        <v>112.75411435069978</v>
      </c>
      <c r="E207" s="40">
        <v>226.2165593668341</v>
      </c>
      <c r="F207" s="40">
        <v>28.727943906522455</v>
      </c>
      <c r="G207" s="40">
        <v>10.283578381499439</v>
      </c>
      <c r="H207" s="40">
        <v>87.688692813031096</v>
      </c>
      <c r="I207" s="40">
        <v>340.20436802966356</v>
      </c>
      <c r="J207" s="40">
        <v>17.135309663973</v>
      </c>
      <c r="K207" s="40">
        <v>23.06235139064518</v>
      </c>
      <c r="L207" s="40">
        <v>20.980874050150355</v>
      </c>
      <c r="M207" s="40">
        <v>24.497565846820613</v>
      </c>
      <c r="N207" s="47" t="s">
        <v>39</v>
      </c>
      <c r="O207" s="47">
        <v>9.2778653219674432</v>
      </c>
      <c r="P207" s="47">
        <v>348.32918765882016</v>
      </c>
      <c r="Q207" s="47">
        <v>24.822630420109959</v>
      </c>
      <c r="R207" s="47">
        <v>71.817911823379518</v>
      </c>
      <c r="S207" s="47">
        <v>43.234597731823897</v>
      </c>
      <c r="T207" s="47">
        <v>47.877585962165682</v>
      </c>
      <c r="U207" s="47">
        <v>73.544381741638944</v>
      </c>
      <c r="V207" s="47">
        <v>14.027040614140443</v>
      </c>
      <c r="W207" s="47">
        <v>0.31561537385793459</v>
      </c>
      <c r="AA207" s="58"/>
      <c r="AB207" s="59"/>
    </row>
    <row r="208" spans="1:36" ht="12.75" customHeight="1" x14ac:dyDescent="0.2">
      <c r="A208" s="56">
        <v>47</v>
      </c>
      <c r="B208" s="57" t="s">
        <v>678</v>
      </c>
      <c r="C208" s="40">
        <v>1</v>
      </c>
      <c r="D208" s="40">
        <v>120.95659865909323</v>
      </c>
      <c r="E208" s="40">
        <v>246.01581995877351</v>
      </c>
      <c r="F208" s="40">
        <v>30.927710720721677</v>
      </c>
      <c r="G208" s="40">
        <v>11.262429130826337</v>
      </c>
      <c r="H208" s="40">
        <v>94.431660174698919</v>
      </c>
      <c r="I208" s="40">
        <v>365.17158339720999</v>
      </c>
      <c r="J208" s="40">
        <v>19.74165677604519</v>
      </c>
      <c r="K208" s="40" t="s">
        <v>39</v>
      </c>
      <c r="L208" s="40">
        <v>23.143500692748653</v>
      </c>
      <c r="M208" s="40">
        <v>26.061251310931301</v>
      </c>
      <c r="N208" s="47" t="s">
        <v>39</v>
      </c>
      <c r="O208" s="47">
        <v>8.0432668228056095</v>
      </c>
      <c r="P208" s="47">
        <v>365.66957432430979</v>
      </c>
      <c r="Q208" s="47">
        <v>26.768752920961138</v>
      </c>
      <c r="R208" s="47">
        <v>90.578876957954236</v>
      </c>
      <c r="S208" s="47" t="s">
        <v>39</v>
      </c>
      <c r="T208" s="47">
        <v>51.345083794803259</v>
      </c>
      <c r="U208" s="47">
        <v>79.612767777799633</v>
      </c>
      <c r="V208" s="47">
        <v>15.189156371548826</v>
      </c>
      <c r="W208" s="47">
        <v>38.316604805190622</v>
      </c>
      <c r="Y208" s="58"/>
      <c r="Z208" s="59"/>
    </row>
    <row r="209" spans="1:34" ht="13.9" customHeight="1" x14ac:dyDescent="0.2">
      <c r="A209" s="39">
        <v>49</v>
      </c>
      <c r="B209" s="39" t="s">
        <v>679</v>
      </c>
      <c r="C209" s="40">
        <v>1</v>
      </c>
      <c r="D209" s="40">
        <v>112.95011730780075</v>
      </c>
      <c r="E209" s="40">
        <v>246.98856615476865</v>
      </c>
      <c r="F209" s="40">
        <v>33.657470190443817</v>
      </c>
      <c r="G209" s="40">
        <v>9.8279927281141575</v>
      </c>
      <c r="H209" s="40">
        <v>91.024139875151718</v>
      </c>
      <c r="I209" s="40">
        <v>361.8378867138166</v>
      </c>
      <c r="J209" s="40">
        <v>13.302802170883522</v>
      </c>
      <c r="K209" s="40">
        <v>30.784869140500319</v>
      </c>
      <c r="L209" s="40">
        <v>25.303020028372639</v>
      </c>
      <c r="M209" s="40">
        <v>34.456172644887054</v>
      </c>
      <c r="N209" s="47">
        <v>6.3755776516492473</v>
      </c>
      <c r="O209" s="47">
        <v>16.447166787967287</v>
      </c>
      <c r="P209" s="47">
        <v>381.22637424170955</v>
      </c>
      <c r="Q209" s="47">
        <v>27.594567852633617</v>
      </c>
      <c r="R209" s="47">
        <v>56.135630158306654</v>
      </c>
      <c r="S209" s="47">
        <v>59.234264923773473</v>
      </c>
      <c r="T209" s="47">
        <v>62.557229467593608</v>
      </c>
      <c r="U209" s="47">
        <v>148.66112110082588</v>
      </c>
      <c r="V209" s="47">
        <v>14.314285159556146</v>
      </c>
      <c r="W209" s="47">
        <v>35.825805124734849</v>
      </c>
      <c r="AH209" s="43"/>
    </row>
    <row r="210" spans="1:34" ht="13.9" customHeight="1" x14ac:dyDescent="0.2">
      <c r="A210" s="39">
        <v>50</v>
      </c>
      <c r="B210" s="39" t="s">
        <v>680</v>
      </c>
      <c r="C210" s="40">
        <v>1</v>
      </c>
      <c r="D210" s="40">
        <v>134.57519257427683</v>
      </c>
      <c r="E210" s="40">
        <v>289.73382592357535</v>
      </c>
      <c r="F210" s="40">
        <v>37.133682408293559</v>
      </c>
      <c r="G210" s="40">
        <v>10.987073452856228</v>
      </c>
      <c r="H210" s="40">
        <v>101.15475187732939</v>
      </c>
      <c r="I210" s="40">
        <v>405.16097334398182</v>
      </c>
      <c r="J210" s="40">
        <v>15.016589169048711</v>
      </c>
      <c r="K210" s="40">
        <v>30.42829441765728</v>
      </c>
      <c r="L210" s="40">
        <v>26.720479196911366</v>
      </c>
      <c r="M210" s="40">
        <v>38.139530477906661</v>
      </c>
      <c r="N210" s="47">
        <v>6.929015541697785</v>
      </c>
      <c r="O210" s="47">
        <v>19.191158838042476</v>
      </c>
      <c r="P210" s="47">
        <v>405.78274621128099</v>
      </c>
      <c r="Q210" s="47">
        <v>30.708346265743867</v>
      </c>
      <c r="R210" s="47">
        <v>49.867307353176656</v>
      </c>
      <c r="S210" s="47">
        <v>64.725804964568923</v>
      </c>
      <c r="T210" s="47">
        <v>70.621629917794237</v>
      </c>
      <c r="U210" s="47">
        <v>166.7860567873675</v>
      </c>
      <c r="V210" s="47">
        <v>16.021265162710488</v>
      </c>
      <c r="W210" s="47">
        <v>40.958042921220255</v>
      </c>
      <c r="AH210" s="43"/>
    </row>
    <row r="211" spans="1:34" ht="13.9" customHeight="1" x14ac:dyDescent="0.2">
      <c r="A211" s="39">
        <v>51</v>
      </c>
      <c r="B211" s="39" t="s">
        <v>681</v>
      </c>
      <c r="C211" s="40">
        <v>1</v>
      </c>
      <c r="D211" s="40">
        <v>130.34195380946778</v>
      </c>
      <c r="E211" s="40">
        <v>283.95163862520889</v>
      </c>
      <c r="F211" s="40">
        <v>35.830134612288781</v>
      </c>
      <c r="G211" s="40">
        <v>10.5805892785402</v>
      </c>
      <c r="H211" s="40">
        <v>97.472098674835692</v>
      </c>
      <c r="I211" s="40">
        <v>387.49600665916608</v>
      </c>
      <c r="J211" s="40">
        <v>14.032452660432321</v>
      </c>
      <c r="K211" s="40">
        <v>28.691023409625906</v>
      </c>
      <c r="L211" s="40">
        <v>25.185948773134541</v>
      </c>
      <c r="M211" s="40">
        <v>36.121591764396847</v>
      </c>
      <c r="N211" s="47">
        <v>6.8076866819090105</v>
      </c>
      <c r="O211" s="47">
        <v>17.099541904209676</v>
      </c>
      <c r="P211" s="47">
        <v>398.06713942181284</v>
      </c>
      <c r="Q211" s="47">
        <v>29.575790683223261</v>
      </c>
      <c r="R211" s="47">
        <v>51.198740317585006</v>
      </c>
      <c r="S211" s="47">
        <v>62.955298216457528</v>
      </c>
      <c r="T211" s="47">
        <v>66.248865382607065</v>
      </c>
      <c r="U211" s="47">
        <v>159.71520011637801</v>
      </c>
      <c r="V211" s="47">
        <v>15.502559312378059</v>
      </c>
      <c r="W211" s="47">
        <v>41.259167281638717</v>
      </c>
      <c r="AH211" s="43"/>
    </row>
    <row r="212" spans="1:34" ht="13.9" customHeight="1" x14ac:dyDescent="0.2">
      <c r="A212" s="39">
        <v>52</v>
      </c>
      <c r="B212" s="39" t="s">
        <v>682</v>
      </c>
      <c r="C212" s="40">
        <v>1</v>
      </c>
      <c r="D212" s="40">
        <v>121.94665849086624</v>
      </c>
      <c r="E212" s="40">
        <v>278.91280687418185</v>
      </c>
      <c r="F212" s="40">
        <v>35.857947223527567</v>
      </c>
      <c r="G212" s="40">
        <v>10.65817133480407</v>
      </c>
      <c r="H212" s="40">
        <v>97.315958114107715</v>
      </c>
      <c r="I212" s="40">
        <v>386.80465508586497</v>
      </c>
      <c r="J212" s="40">
        <v>13.95236253583303</v>
      </c>
      <c r="K212" s="40">
        <v>28.876873148080691</v>
      </c>
      <c r="L212" s="40">
        <v>25.310945376403254</v>
      </c>
      <c r="M212" s="40">
        <v>36.046490363581022</v>
      </c>
      <c r="N212" s="47">
        <v>6.6765759230256672</v>
      </c>
      <c r="O212" s="47">
        <v>17.119700732064715</v>
      </c>
      <c r="P212" s="47">
        <v>398.3698150962428</v>
      </c>
      <c r="Q212" s="47">
        <v>29.737850383470537</v>
      </c>
      <c r="R212" s="47">
        <v>76.370990943619532</v>
      </c>
      <c r="S212" s="47">
        <v>63.742087937553293</v>
      </c>
      <c r="T212" s="47">
        <v>67.363405789273372</v>
      </c>
      <c r="U212" s="47">
        <v>169.56741866212289</v>
      </c>
      <c r="V212" s="47">
        <v>15.409651699133708</v>
      </c>
      <c r="W212" s="47">
        <v>6.1040550963420985</v>
      </c>
      <c r="AH212" s="43"/>
    </row>
    <row r="213" spans="1:34" ht="13.9" customHeight="1" x14ac:dyDescent="0.2">
      <c r="A213" s="39">
        <v>53</v>
      </c>
      <c r="B213" s="39" t="s">
        <v>683</v>
      </c>
      <c r="C213" s="40">
        <v>1</v>
      </c>
      <c r="D213" s="40">
        <v>146.86917710582006</v>
      </c>
      <c r="E213" s="40">
        <v>322.33125852181161</v>
      </c>
      <c r="F213" s="40">
        <v>40.183799458231007</v>
      </c>
      <c r="G213" s="40">
        <v>11.875637518929757</v>
      </c>
      <c r="H213" s="40">
        <v>107.89499442739498</v>
      </c>
      <c r="I213" s="40">
        <v>431.167462902068</v>
      </c>
      <c r="J213" s="40">
        <v>15.737412796002296</v>
      </c>
      <c r="K213" s="40">
        <v>31.892664169741835</v>
      </c>
      <c r="L213" s="40">
        <v>29.062086632005936</v>
      </c>
      <c r="M213" s="40">
        <v>41.198929261084182</v>
      </c>
      <c r="N213" s="47">
        <v>7.8119999697937903</v>
      </c>
      <c r="O213" s="47">
        <v>20.92499439257772</v>
      </c>
      <c r="P213" s="47">
        <v>426.79807340230212</v>
      </c>
      <c r="Q213" s="47">
        <v>32.102139344351983</v>
      </c>
      <c r="R213" s="47">
        <v>31.402586445457015</v>
      </c>
      <c r="S213" s="47">
        <v>69.920681546370503</v>
      </c>
      <c r="T213" s="47">
        <v>73.898910176156122</v>
      </c>
      <c r="U213" s="47">
        <v>195.34209053238223</v>
      </c>
      <c r="V213" s="47">
        <v>16.877837189250577</v>
      </c>
      <c r="W213" s="47">
        <v>41.687811325810202</v>
      </c>
    </row>
    <row r="214" spans="1:34" ht="13.9" customHeight="1" x14ac:dyDescent="0.2">
      <c r="A214" s="39">
        <v>54</v>
      </c>
      <c r="B214" s="39" t="s">
        <v>684</v>
      </c>
      <c r="C214" s="40">
        <v>1</v>
      </c>
      <c r="D214" s="40">
        <v>127.2925005332927</v>
      </c>
      <c r="E214" s="40">
        <v>274.47683914366655</v>
      </c>
      <c r="F214" s="40">
        <v>34.63858100024698</v>
      </c>
      <c r="G214" s="40">
        <v>10.395836949402048</v>
      </c>
      <c r="H214" s="40">
        <v>94.764114053978531</v>
      </c>
      <c r="I214" s="40">
        <v>379.07827710239042</v>
      </c>
      <c r="J214" s="40">
        <v>14.650917885090944</v>
      </c>
      <c r="K214" s="40">
        <v>27.915059863398788</v>
      </c>
      <c r="L214" s="40">
        <v>25.620092877952239</v>
      </c>
      <c r="M214" s="40">
        <v>34.772424950042719</v>
      </c>
      <c r="N214" s="47">
        <v>5.8444762783418991</v>
      </c>
      <c r="O214" s="47">
        <v>16.184639086633503</v>
      </c>
      <c r="P214" s="47">
        <v>389.89193137468743</v>
      </c>
      <c r="Q214" s="47">
        <v>28.89769461042544</v>
      </c>
      <c r="R214" s="47">
        <v>48.856956046265367</v>
      </c>
      <c r="S214" s="47">
        <v>61.096474680217113</v>
      </c>
      <c r="T214" s="47">
        <v>64.426118407403408</v>
      </c>
      <c r="U214" s="47">
        <v>143.4931127927116</v>
      </c>
      <c r="V214" s="47">
        <v>14.95949457364673</v>
      </c>
      <c r="W214" s="47">
        <v>38.47514042226306</v>
      </c>
    </row>
    <row r="215" spans="1:34" ht="13.9" customHeight="1" x14ac:dyDescent="0.2">
      <c r="A215" s="39">
        <v>55</v>
      </c>
      <c r="B215" s="39" t="s">
        <v>685</v>
      </c>
      <c r="C215" s="40">
        <v>1</v>
      </c>
      <c r="D215" s="40">
        <v>105.84223033791254</v>
      </c>
      <c r="E215" s="40">
        <v>246.22557841140852</v>
      </c>
      <c r="F215" s="40">
        <v>30.4414638006707</v>
      </c>
      <c r="G215" s="40">
        <v>9.4327098110953109</v>
      </c>
      <c r="H215" s="40">
        <v>85.050612186613336</v>
      </c>
      <c r="I215" s="40">
        <v>325.15418720784504</v>
      </c>
      <c r="J215" s="40">
        <v>13.630462417002507</v>
      </c>
      <c r="K215" s="40">
        <v>23.99053495369305</v>
      </c>
      <c r="L215" s="40">
        <v>21.850794432293362</v>
      </c>
      <c r="M215" s="40">
        <v>28.392684048298726</v>
      </c>
      <c r="N215" s="47" t="s">
        <v>39</v>
      </c>
      <c r="O215" s="47">
        <v>13.265182578208019</v>
      </c>
      <c r="P215" s="47">
        <v>355.84125323306733</v>
      </c>
      <c r="Q215" s="47">
        <v>25.130692031911629</v>
      </c>
      <c r="R215" s="47">
        <v>80.936906750473071</v>
      </c>
      <c r="S215" s="47">
        <v>52.468439599437048</v>
      </c>
      <c r="T215" s="47">
        <v>52.792416112299868</v>
      </c>
      <c r="U215" s="47">
        <v>88.633261946823296</v>
      </c>
      <c r="V215" s="47">
        <v>13.373873132518433</v>
      </c>
      <c r="W215" s="47">
        <v>34.169732046241187</v>
      </c>
    </row>
    <row r="216" spans="1:34" ht="13.9" customHeight="1" x14ac:dyDescent="0.2">
      <c r="A216" s="39">
        <v>56</v>
      </c>
      <c r="B216" s="39" t="s">
        <v>686</v>
      </c>
      <c r="C216" s="40">
        <v>1</v>
      </c>
      <c r="D216" s="40">
        <v>128.14226262049681</v>
      </c>
      <c r="E216" s="40">
        <v>288.41856025409794</v>
      </c>
      <c r="F216" s="40">
        <v>34.032569539982745</v>
      </c>
      <c r="G216" s="40">
        <v>10.767040643883417</v>
      </c>
      <c r="H216" s="40">
        <v>96.093674867215569</v>
      </c>
      <c r="I216" s="40">
        <v>365.40535453276669</v>
      </c>
      <c r="J216" s="40">
        <v>16.470124260711209</v>
      </c>
      <c r="K216" s="40">
        <v>26.38407309632905</v>
      </c>
      <c r="L216" s="40">
        <v>24.421629024691356</v>
      </c>
      <c r="M216" s="40">
        <v>30.925529040479532</v>
      </c>
      <c r="N216" s="47">
        <v>1.1692145054185892</v>
      </c>
      <c r="O216" s="47">
        <v>15.628629959124133</v>
      </c>
      <c r="P216" s="47">
        <v>387.43893682510486</v>
      </c>
      <c r="Q216" s="47">
        <v>28.249266803073301</v>
      </c>
      <c r="R216" s="47">
        <v>62.459788483640438</v>
      </c>
      <c r="S216" s="47">
        <v>58.651398938832841</v>
      </c>
      <c r="T216" s="47">
        <v>59.611671330418545</v>
      </c>
      <c r="U216" s="47">
        <v>101.04880158522376</v>
      </c>
      <c r="V216" s="47">
        <v>15.114565973453789</v>
      </c>
      <c r="W216" s="47">
        <v>37.812482584798161</v>
      </c>
    </row>
    <row r="217" spans="1:34" ht="13.9" customHeight="1" x14ac:dyDescent="0.2">
      <c r="A217" s="39">
        <v>57</v>
      </c>
      <c r="B217" s="39" t="s">
        <v>687</v>
      </c>
      <c r="C217" s="40">
        <v>1</v>
      </c>
      <c r="D217" s="40">
        <v>126.2385760471461</v>
      </c>
      <c r="E217" s="40">
        <v>255.16649279678364</v>
      </c>
      <c r="F217" s="40">
        <v>33.209882162231864</v>
      </c>
      <c r="G217" s="40">
        <v>10.450512980695711</v>
      </c>
      <c r="H217" s="40">
        <v>94.504320847319335</v>
      </c>
      <c r="I217" s="40">
        <v>361.47139073233797</v>
      </c>
      <c r="J217" s="40">
        <v>15.011062734711867</v>
      </c>
      <c r="K217" s="40">
        <v>26.774918555359452</v>
      </c>
      <c r="L217" s="40">
        <v>23.791336865107695</v>
      </c>
      <c r="M217" s="40">
        <v>30.614162398119717</v>
      </c>
      <c r="N217" s="47">
        <v>1.2225744473004809</v>
      </c>
      <c r="O217" s="47">
        <v>12.8891033870032</v>
      </c>
      <c r="P217" s="47">
        <v>386.81179897418735</v>
      </c>
      <c r="Q217" s="47">
        <v>27.570977688140648</v>
      </c>
      <c r="R217" s="47">
        <v>50.054623910185782</v>
      </c>
      <c r="S217" s="47">
        <v>58.093024777604839</v>
      </c>
      <c r="T217" s="47">
        <v>59.324222066498763</v>
      </c>
      <c r="U217" s="47">
        <v>95.968221197281579</v>
      </c>
      <c r="V217" s="47">
        <v>14.857343204491489</v>
      </c>
      <c r="W217" s="47">
        <v>37.532864696529828</v>
      </c>
    </row>
    <row r="218" spans="1:34" ht="13.9" customHeight="1" x14ac:dyDescent="0.2">
      <c r="A218" s="39">
        <v>59</v>
      </c>
      <c r="B218" s="39" t="s">
        <v>688</v>
      </c>
      <c r="C218" s="40">
        <v>1</v>
      </c>
      <c r="D218" s="40">
        <v>126.71246828223084</v>
      </c>
      <c r="E218" s="40">
        <v>267.90332341768948</v>
      </c>
      <c r="F218" s="40">
        <v>32.766682887776611</v>
      </c>
      <c r="G218" s="40">
        <v>10.61716901992499</v>
      </c>
      <c r="H218" s="40">
        <v>93.62904853246124</v>
      </c>
      <c r="I218" s="40">
        <v>361.80778349584796</v>
      </c>
      <c r="J218" s="40">
        <v>17.073133627920676</v>
      </c>
      <c r="K218" s="40">
        <v>26.271714600782566</v>
      </c>
      <c r="L218" s="40">
        <v>23.24829630390068</v>
      </c>
      <c r="M218" s="40">
        <v>29.978697233121522</v>
      </c>
      <c r="N218" s="47">
        <v>0.81696192628218678</v>
      </c>
      <c r="O218" s="47">
        <v>12.217071828784043</v>
      </c>
      <c r="P218" s="47">
        <v>383.93124724557742</v>
      </c>
      <c r="Q218" s="47">
        <v>27.839108186656688</v>
      </c>
      <c r="R218" s="47">
        <v>48.204772169231632</v>
      </c>
      <c r="S218" s="47">
        <v>57.576171700064833</v>
      </c>
      <c r="T218" s="47">
        <v>59.095682586051439</v>
      </c>
      <c r="U218" s="47">
        <v>96.568460187640952</v>
      </c>
      <c r="V218" s="47">
        <v>14.910436624238542</v>
      </c>
      <c r="W218" s="47">
        <v>37.737588551237138</v>
      </c>
    </row>
    <row r="219" spans="1:34" ht="13.9" customHeight="1" x14ac:dyDescent="0.2">
      <c r="A219" s="39">
        <v>60</v>
      </c>
      <c r="B219" s="39" t="s">
        <v>689</v>
      </c>
      <c r="C219" s="40">
        <v>1</v>
      </c>
      <c r="D219" s="40">
        <v>134.16251596262339</v>
      </c>
      <c r="E219" s="40">
        <v>278.98284022806087</v>
      </c>
      <c r="F219" s="40">
        <v>34.9353970990798</v>
      </c>
      <c r="G219" s="40">
        <v>10.941618426337175</v>
      </c>
      <c r="H219" s="40">
        <v>98.514340989014215</v>
      </c>
      <c r="I219" s="40">
        <v>382.77967204213729</v>
      </c>
      <c r="J219" s="40">
        <v>18.178964752545209</v>
      </c>
      <c r="K219" s="40">
        <v>27.865841709608183</v>
      </c>
      <c r="L219" s="40">
        <v>24.909886485084435</v>
      </c>
      <c r="M219" s="40">
        <v>32.505592093602012</v>
      </c>
      <c r="N219" s="47">
        <v>1.9205722784843597</v>
      </c>
      <c r="O219" s="47">
        <v>15.442279045436024</v>
      </c>
      <c r="P219" s="47">
        <v>399.58350126763406</v>
      </c>
      <c r="Q219" s="47">
        <v>29.460700431452906</v>
      </c>
      <c r="R219" s="47">
        <v>47.222643225013243</v>
      </c>
      <c r="S219" s="47">
        <v>61.154997886135867</v>
      </c>
      <c r="T219" s="47">
        <v>63.391501105478333</v>
      </c>
      <c r="U219" s="47">
        <v>105.05720581690268</v>
      </c>
      <c r="V219" s="47">
        <v>15.622343001169138</v>
      </c>
      <c r="W219" s="47">
        <v>38.815895921570402</v>
      </c>
    </row>
    <row r="220" spans="1:34" ht="13.9" customHeight="1" x14ac:dyDescent="0.2">
      <c r="A220" s="39">
        <v>61</v>
      </c>
      <c r="B220" s="39" t="s">
        <v>690</v>
      </c>
      <c r="C220" s="40">
        <v>1</v>
      </c>
      <c r="D220" s="40">
        <v>120.23481278968828</v>
      </c>
      <c r="E220" s="40">
        <v>242.06764295302645</v>
      </c>
      <c r="F220" s="40">
        <v>30.10806945731153</v>
      </c>
      <c r="G220" s="40">
        <v>10.092893900239503</v>
      </c>
      <c r="H220" s="40">
        <v>88.94224037405813</v>
      </c>
      <c r="I220" s="40">
        <v>337.29591547928152</v>
      </c>
      <c r="J220" s="40">
        <v>15.554714717138747</v>
      </c>
      <c r="K220" s="40">
        <v>23.667183401667224</v>
      </c>
      <c r="L220" s="40">
        <v>21.572769546112994</v>
      </c>
      <c r="M220" s="40">
        <v>26.561638201116121</v>
      </c>
      <c r="N220" s="47" t="s">
        <v>39</v>
      </c>
      <c r="O220" s="47">
        <v>10.741904303319286</v>
      </c>
      <c r="P220" s="47">
        <v>363.35827535761729</v>
      </c>
      <c r="Q220" s="47">
        <v>25.558906843516048</v>
      </c>
      <c r="R220" s="47">
        <v>65.473817207330057</v>
      </c>
      <c r="S220" s="47">
        <v>52.604345542327643</v>
      </c>
      <c r="T220" s="47">
        <v>53.255135529318594</v>
      </c>
      <c r="U220" s="47">
        <v>76.976911864089132</v>
      </c>
      <c r="V220" s="47">
        <v>14.390091835673866</v>
      </c>
      <c r="W220" s="47">
        <v>6.4476938135435171</v>
      </c>
    </row>
    <row r="221" spans="1:34" ht="13.9" customHeight="1" x14ac:dyDescent="0.2">
      <c r="A221" s="39">
        <v>62</v>
      </c>
      <c r="B221" s="39" t="s">
        <v>691</v>
      </c>
      <c r="C221" s="40">
        <v>1</v>
      </c>
      <c r="D221" s="40">
        <v>110.65730150424278</v>
      </c>
      <c r="E221" s="40">
        <v>200.39225394037842</v>
      </c>
      <c r="F221" s="40">
        <v>23.3058879410796</v>
      </c>
      <c r="G221" s="40">
        <v>9.6189337547523213</v>
      </c>
      <c r="H221" s="40">
        <v>86.80355861587833</v>
      </c>
      <c r="I221" s="40">
        <v>256.98982287805597</v>
      </c>
      <c r="J221" s="40">
        <v>15.703088260062181</v>
      </c>
      <c r="K221" s="40">
        <v>16.632353734474631</v>
      </c>
      <c r="L221" s="40">
        <v>16.276751943823147</v>
      </c>
      <c r="M221" s="40">
        <v>13.742687013232745</v>
      </c>
      <c r="N221" s="47" t="s">
        <v>39</v>
      </c>
      <c r="O221" s="47">
        <v>4.6484466756422629</v>
      </c>
      <c r="P221" s="47">
        <v>310.37592405941496</v>
      </c>
      <c r="Q221" s="47">
        <v>20.603610150063147</v>
      </c>
      <c r="R221" s="47">
        <v>64.721704369442662</v>
      </c>
      <c r="S221" s="47">
        <v>34.939921042696582</v>
      </c>
      <c r="T221" s="47">
        <v>34.019077038121807</v>
      </c>
      <c r="U221" s="47">
        <v>104.76857371375129</v>
      </c>
      <c r="V221" s="47">
        <v>13.57566972747343</v>
      </c>
      <c r="W221" s="47">
        <v>32.172092494200818</v>
      </c>
    </row>
    <row r="222" spans="1:34" ht="13.9" customHeight="1" x14ac:dyDescent="0.2">
      <c r="A222" s="39">
        <v>63</v>
      </c>
      <c r="B222" s="39" t="s">
        <v>692</v>
      </c>
      <c r="C222" s="40">
        <v>1</v>
      </c>
      <c r="D222" s="40">
        <v>120.99466547078659</v>
      </c>
      <c r="E222" s="40">
        <v>204.75943139168322</v>
      </c>
      <c r="F222" s="40">
        <v>24.170025635781968</v>
      </c>
      <c r="G222" s="40">
        <v>10.158359719318694</v>
      </c>
      <c r="H222" s="40">
        <v>90.404840926598837</v>
      </c>
      <c r="I222" s="40">
        <v>266.14903840127261</v>
      </c>
      <c r="J222" s="40">
        <v>15.48878274038546</v>
      </c>
      <c r="K222" s="40">
        <v>16.959549794151062</v>
      </c>
      <c r="L222" s="40">
        <v>16.820664271921274</v>
      </c>
      <c r="M222" s="40">
        <v>14.230206776272558</v>
      </c>
      <c r="N222" s="47" t="s">
        <v>39</v>
      </c>
      <c r="O222" s="47">
        <v>4.7650129200158124</v>
      </c>
      <c r="P222" s="47">
        <v>316.76457113456127</v>
      </c>
      <c r="Q222" s="47">
        <v>21.281468834388374</v>
      </c>
      <c r="R222" s="47">
        <v>49.413837114239705</v>
      </c>
      <c r="S222" s="47">
        <v>36.074282316696866</v>
      </c>
      <c r="T222" s="47">
        <v>34.309636797870688</v>
      </c>
      <c r="U222" s="47">
        <v>101.42574712219974</v>
      </c>
      <c r="V222" s="47">
        <v>14.133986396370474</v>
      </c>
      <c r="W222" s="47">
        <v>31.714499033980793</v>
      </c>
    </row>
    <row r="223" spans="1:34" ht="13.9" customHeight="1" x14ac:dyDescent="0.2">
      <c r="A223" s="54">
        <v>64</v>
      </c>
      <c r="B223" s="54" t="s">
        <v>693</v>
      </c>
      <c r="C223" s="55">
        <v>1</v>
      </c>
      <c r="D223" s="55">
        <v>112.7117066793586</v>
      </c>
      <c r="E223" s="40">
        <v>225.3615423418222</v>
      </c>
      <c r="F223" s="40">
        <v>26.699526417136919</v>
      </c>
      <c r="G223" s="55">
        <v>10.293201923776675</v>
      </c>
      <c r="H223" s="55">
        <v>89.370730726709965</v>
      </c>
      <c r="I223" s="55">
        <v>288.78095051991443</v>
      </c>
      <c r="J223" s="55">
        <v>14.800472085802006</v>
      </c>
      <c r="K223" s="55">
        <v>18.649792898922314</v>
      </c>
      <c r="L223" s="55">
        <v>18.790774321079169</v>
      </c>
      <c r="M223" s="55">
        <v>18.056685537297632</v>
      </c>
      <c r="N223" s="47" t="s">
        <v>39</v>
      </c>
      <c r="O223" s="47">
        <v>8.0889777406436156</v>
      </c>
      <c r="P223" s="47">
        <v>335.11882680270645</v>
      </c>
      <c r="Q223" s="47">
        <v>22.713024425310458</v>
      </c>
      <c r="R223" s="47">
        <v>76.730744567038556</v>
      </c>
      <c r="S223" s="47">
        <v>41.486434082705586</v>
      </c>
      <c r="T223" s="47">
        <v>39.572956656614437</v>
      </c>
      <c r="U223" s="47">
        <v>91.449627567618165</v>
      </c>
      <c r="V223" s="47">
        <v>13.707389979974531</v>
      </c>
      <c r="W223" s="47">
        <v>32.96410414287697</v>
      </c>
    </row>
    <row r="224" spans="1:34" ht="12.75" customHeight="1" x14ac:dyDescent="0.2">
      <c r="A224" s="56">
        <v>65</v>
      </c>
      <c r="B224" s="57" t="s">
        <v>694</v>
      </c>
      <c r="C224" s="40">
        <v>1</v>
      </c>
      <c r="D224" s="40">
        <v>100.23519068373787</v>
      </c>
      <c r="E224" s="40">
        <v>196.87183788681702</v>
      </c>
      <c r="F224" s="40">
        <v>18.440076291526992</v>
      </c>
      <c r="G224" s="40">
        <v>9.6769707221314292</v>
      </c>
      <c r="H224" s="40">
        <v>72.202973996405419</v>
      </c>
      <c r="I224" s="40">
        <v>241.70458063016662</v>
      </c>
      <c r="J224" s="40">
        <v>14.507372739714278</v>
      </c>
      <c r="K224" s="40">
        <v>14.996836268065412</v>
      </c>
      <c r="L224" s="40">
        <v>11.920360199613505</v>
      </c>
      <c r="M224" s="40">
        <v>8.7196503323542167</v>
      </c>
      <c r="N224" s="47" t="s">
        <v>39</v>
      </c>
      <c r="O224" s="47">
        <v>3.0251291528542046</v>
      </c>
      <c r="P224" s="47">
        <v>290.11187283903695</v>
      </c>
      <c r="Q224" s="47">
        <v>16.839890015477259</v>
      </c>
      <c r="R224" s="47">
        <v>61.057677041752882</v>
      </c>
      <c r="S224" s="47">
        <v>29.38834191834772</v>
      </c>
      <c r="T224" s="47">
        <v>27.607481900192699</v>
      </c>
      <c r="U224" s="47">
        <v>61.706503760648637</v>
      </c>
      <c r="V224" s="47">
        <v>13.039496671351289</v>
      </c>
      <c r="W224" s="47">
        <v>27.389326518866088</v>
      </c>
      <c r="Y224" s="58"/>
      <c r="Z224" s="59"/>
    </row>
    <row r="225" spans="1:26" ht="12.75" customHeight="1" x14ac:dyDescent="0.2">
      <c r="A225" s="56">
        <v>66</v>
      </c>
      <c r="B225" s="57" t="s">
        <v>695</v>
      </c>
      <c r="C225" s="40">
        <v>1</v>
      </c>
      <c r="D225" s="40">
        <v>110.32585649101492</v>
      </c>
      <c r="E225" s="40">
        <v>220.15903176074292</v>
      </c>
      <c r="F225" s="40">
        <v>23.677957718854071</v>
      </c>
      <c r="G225" s="40">
        <v>10.06128563348439</v>
      </c>
      <c r="H225" s="40">
        <v>82.535272916716806</v>
      </c>
      <c r="I225" s="40">
        <v>286.67405036753939</v>
      </c>
      <c r="J225" s="40">
        <v>17.633951910757705</v>
      </c>
      <c r="K225" s="40">
        <v>18.897740634701236</v>
      </c>
      <c r="L225" s="40">
        <v>16.028200176553629</v>
      </c>
      <c r="M225" s="40">
        <v>13.755593977851287</v>
      </c>
      <c r="N225" s="47" t="s">
        <v>39</v>
      </c>
      <c r="O225" s="47">
        <v>4.8770168458556515</v>
      </c>
      <c r="P225" s="47">
        <v>325.22711689857306</v>
      </c>
      <c r="Q225" s="47">
        <v>20.705278979566792</v>
      </c>
      <c r="R225" s="47">
        <v>54.152296612229406</v>
      </c>
      <c r="S225" s="47">
        <v>38.953384457061887</v>
      </c>
      <c r="T225" s="47">
        <v>37.600526621730523</v>
      </c>
      <c r="U225" s="47">
        <v>53.333704585568157</v>
      </c>
      <c r="V225" s="47">
        <v>14.009566999540144</v>
      </c>
      <c r="W225" s="47">
        <v>30.475913209914538</v>
      </c>
      <c r="Y225" s="58"/>
      <c r="Z225" s="59"/>
    </row>
    <row r="226" spans="1:26" ht="12.75" customHeight="1" x14ac:dyDescent="0.2">
      <c r="A226" s="56">
        <v>67</v>
      </c>
      <c r="B226" s="57" t="s">
        <v>696</v>
      </c>
      <c r="C226" s="40">
        <v>1</v>
      </c>
      <c r="D226" s="40">
        <v>94.539932826738266</v>
      </c>
      <c r="E226" s="40">
        <v>170.06205140710918</v>
      </c>
      <c r="F226" s="40">
        <v>14.540651138889647</v>
      </c>
      <c r="G226" s="40">
        <v>9.3357294193878975</v>
      </c>
      <c r="H226" s="40">
        <v>70.162930500753419</v>
      </c>
      <c r="I226" s="40">
        <v>185.47166464281912</v>
      </c>
      <c r="J226" s="40">
        <v>14.620302068170753</v>
      </c>
      <c r="K226" s="40">
        <v>10.71257808141001</v>
      </c>
      <c r="L226" s="40">
        <v>8.4266626918281009</v>
      </c>
      <c r="M226" s="40">
        <v>3.8180852084022754</v>
      </c>
      <c r="N226" s="47" t="s">
        <v>39</v>
      </c>
      <c r="O226" s="47" t="s">
        <v>39</v>
      </c>
      <c r="P226" s="47">
        <v>245.91236811723653</v>
      </c>
      <c r="Q226" s="47">
        <v>13.078069356486701</v>
      </c>
      <c r="R226" s="47">
        <v>67.545889569638177</v>
      </c>
      <c r="S226" s="47">
        <v>19.684707041634994</v>
      </c>
      <c r="T226" s="47">
        <v>17.867299942373013</v>
      </c>
      <c r="U226" s="47">
        <v>69.646842698594469</v>
      </c>
      <c r="V226" s="47">
        <v>11.755164332276577</v>
      </c>
      <c r="W226" s="47">
        <v>23.606050224247166</v>
      </c>
      <c r="Y226" s="58"/>
      <c r="Z226" s="59"/>
    </row>
  </sheetData>
  <printOptions gridLines="1"/>
  <pageMargins left="0.35" right="0.25" top="0.75" bottom="0.75" header="0.3" footer="0.3"/>
  <pageSetup orientation="landscape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F76E-B02A-4564-A2A6-CE1C16905252}">
  <dimension ref="A1:R26"/>
  <sheetViews>
    <sheetView workbookViewId="0">
      <selection activeCell="B3" sqref="B3:J17"/>
    </sheetView>
  </sheetViews>
  <sheetFormatPr baseColWidth="10" defaultColWidth="9.140625" defaultRowHeight="15" x14ac:dyDescent="0.25"/>
  <cols>
    <col min="18" max="18" width="9.28515625" customWidth="1"/>
  </cols>
  <sheetData>
    <row r="1" spans="1:18" x14ac:dyDescent="0.25">
      <c r="A1" t="s">
        <v>697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P2" t="s">
        <v>708</v>
      </c>
      <c r="Q2" t="s">
        <v>709</v>
      </c>
    </row>
    <row r="3" spans="1:18" x14ac:dyDescent="0.25">
      <c r="A3" t="s">
        <v>710</v>
      </c>
      <c r="B3" s="66">
        <v>22</v>
      </c>
      <c r="C3" t="s">
        <v>711</v>
      </c>
      <c r="D3" t="s">
        <v>712</v>
      </c>
      <c r="E3" t="s">
        <v>713</v>
      </c>
      <c r="F3" t="s">
        <v>714</v>
      </c>
      <c r="G3">
        <v>23.993941777762998</v>
      </c>
      <c r="H3">
        <v>1.5934220835926601E-2</v>
      </c>
      <c r="I3">
        <v>23.587827276671501</v>
      </c>
      <c r="J3">
        <v>3.4121824004704503E-2</v>
      </c>
      <c r="K3">
        <v>0.85629999999999995</v>
      </c>
      <c r="L3" s="61">
        <v>2.0299999999999999E-2</v>
      </c>
      <c r="N3">
        <f t="shared" ref="N3:N17" si="0">(K3*100)/(K3+1)</f>
        <v>46.129397187954531</v>
      </c>
      <c r="O3">
        <f t="shared" ref="O3:O17" si="1">100-N3</f>
        <v>53.870602812045469</v>
      </c>
      <c r="P3">
        <f>AVERAGE(N3:N5)</f>
        <v>46.836023572621798</v>
      </c>
      <c r="Q3">
        <f>AVERAGE(O3:O5)</f>
        <v>53.163976427378202</v>
      </c>
      <c r="R3">
        <f>STDEV(N3:N5)</f>
        <v>5.0467555186615547</v>
      </c>
    </row>
    <row r="4" spans="1:18" x14ac:dyDescent="0.25">
      <c r="A4" t="s">
        <v>710</v>
      </c>
      <c r="B4" s="66"/>
      <c r="C4" t="s">
        <v>715</v>
      </c>
      <c r="D4" t="s">
        <v>716</v>
      </c>
      <c r="E4" t="s">
        <v>713</v>
      </c>
      <c r="F4" t="s">
        <v>714</v>
      </c>
      <c r="G4">
        <v>23.473077657058401</v>
      </c>
      <c r="H4">
        <v>6.2226460997015599E-2</v>
      </c>
      <c r="I4">
        <v>22.8355996758395</v>
      </c>
      <c r="J4">
        <v>1.6315777715142799E-2</v>
      </c>
      <c r="K4">
        <v>0.72950000000000004</v>
      </c>
      <c r="L4" s="61">
        <v>3.7199999999999997E-2</v>
      </c>
      <c r="N4">
        <f t="shared" si="0"/>
        <v>42.179820757444347</v>
      </c>
      <c r="O4">
        <f t="shared" si="1"/>
        <v>57.820179242555653</v>
      </c>
    </row>
    <row r="5" spans="1:18" x14ac:dyDescent="0.25">
      <c r="A5" t="s">
        <v>710</v>
      </c>
      <c r="B5" s="66"/>
      <c r="C5" t="s">
        <v>717</v>
      </c>
      <c r="D5" t="s">
        <v>718</v>
      </c>
      <c r="E5" t="s">
        <v>713</v>
      </c>
      <c r="F5" t="s">
        <v>714</v>
      </c>
      <c r="G5">
        <v>24.132103568706299</v>
      </c>
      <c r="H5">
        <v>4.2807412432155197E-2</v>
      </c>
      <c r="I5">
        <v>24.081171653551301</v>
      </c>
      <c r="J5">
        <v>0.14963025246981099</v>
      </c>
      <c r="K5">
        <v>1.0920000000000001</v>
      </c>
      <c r="L5">
        <v>0.1009</v>
      </c>
      <c r="N5">
        <f t="shared" si="0"/>
        <v>52.198852772466537</v>
      </c>
      <c r="O5">
        <f t="shared" si="1"/>
        <v>47.801147227533463</v>
      </c>
    </row>
    <row r="6" spans="1:18" x14ac:dyDescent="0.25">
      <c r="A6" t="s">
        <v>710</v>
      </c>
      <c r="B6" s="66">
        <v>72</v>
      </c>
      <c r="C6" t="s">
        <v>719</v>
      </c>
      <c r="D6" t="s">
        <v>720</v>
      </c>
      <c r="E6" t="s">
        <v>713</v>
      </c>
      <c r="F6" t="s">
        <v>714</v>
      </c>
      <c r="G6">
        <v>19.5091802941973</v>
      </c>
      <c r="H6">
        <v>0.47735017479418002</v>
      </c>
      <c r="I6">
        <v>20.835053006825699</v>
      </c>
      <c r="J6">
        <v>8.2333240238907507E-2</v>
      </c>
      <c r="K6">
        <v>2.7250000000000001</v>
      </c>
      <c r="N6">
        <f t="shared" si="0"/>
        <v>73.154362416107375</v>
      </c>
      <c r="O6">
        <f t="shared" si="1"/>
        <v>26.845637583892625</v>
      </c>
      <c r="P6">
        <f>AVERAGE(N6:N8)</f>
        <v>65.042271224028255</v>
      </c>
      <c r="Q6">
        <f>AVERAGE(O6:O8)</f>
        <v>34.957728775971752</v>
      </c>
      <c r="R6">
        <f>STDEV(N6:N8)</f>
        <v>7.1010041240873507</v>
      </c>
    </row>
    <row r="7" spans="1:18" x14ac:dyDescent="0.25">
      <c r="A7" t="s">
        <v>710</v>
      </c>
      <c r="B7" s="66"/>
      <c r="C7" t="s">
        <v>721</v>
      </c>
      <c r="D7" t="s">
        <v>722</v>
      </c>
      <c r="E7" t="s">
        <v>713</v>
      </c>
      <c r="F7" t="s">
        <v>714</v>
      </c>
      <c r="G7">
        <v>21.316130313088401</v>
      </c>
      <c r="H7">
        <v>0.20242576264413401</v>
      </c>
      <c r="I7">
        <v>21.7497212796548</v>
      </c>
      <c r="J7">
        <v>0.10356830642585001</v>
      </c>
      <c r="K7">
        <v>1.4970000000000001</v>
      </c>
      <c r="N7">
        <f t="shared" si="0"/>
        <v>59.951942330796967</v>
      </c>
      <c r="O7">
        <f t="shared" si="1"/>
        <v>40.048057669203033</v>
      </c>
    </row>
    <row r="8" spans="1:18" x14ac:dyDescent="0.25">
      <c r="A8" t="s">
        <v>710</v>
      </c>
      <c r="B8" s="66"/>
      <c r="C8" t="s">
        <v>723</v>
      </c>
      <c r="D8" t="s">
        <v>724</v>
      </c>
      <c r="E8" t="s">
        <v>713</v>
      </c>
      <c r="F8" t="s">
        <v>714</v>
      </c>
      <c r="G8">
        <v>22.878900145431199</v>
      </c>
      <c r="H8">
        <v>6.3795442691955695E-2</v>
      </c>
      <c r="I8">
        <v>23.428638113663499</v>
      </c>
      <c r="J8">
        <v>0.23009859587289999</v>
      </c>
      <c r="K8">
        <v>1.633</v>
      </c>
      <c r="L8">
        <v>0.2442</v>
      </c>
      <c r="N8">
        <f t="shared" si="0"/>
        <v>62.020508925180408</v>
      </c>
      <c r="O8">
        <f t="shared" si="1"/>
        <v>37.979491074819592</v>
      </c>
    </row>
    <row r="9" spans="1:18" x14ac:dyDescent="0.25">
      <c r="A9" t="s">
        <v>710</v>
      </c>
      <c r="B9" s="66">
        <v>96</v>
      </c>
      <c r="C9" t="s">
        <v>725</v>
      </c>
      <c r="D9" t="s">
        <v>726</v>
      </c>
      <c r="E9" t="s">
        <v>713</v>
      </c>
      <c r="F9" t="s">
        <v>714</v>
      </c>
      <c r="G9">
        <v>21.896829623318801</v>
      </c>
      <c r="H9">
        <v>7.4385424926109694E-2</v>
      </c>
      <c r="I9">
        <v>22.619201274889502</v>
      </c>
      <c r="J9">
        <v>5.5054441289877902E-2</v>
      </c>
      <c r="K9">
        <v>1.8280000000000001</v>
      </c>
      <c r="L9">
        <v>0.1149</v>
      </c>
      <c r="N9">
        <f t="shared" si="0"/>
        <v>64.639321074964641</v>
      </c>
      <c r="O9">
        <f t="shared" si="1"/>
        <v>35.360678925035359</v>
      </c>
      <c r="P9">
        <f>AVERAGE(N9:N11)</f>
        <v>57.670251515492112</v>
      </c>
      <c r="Q9">
        <f>AVERAGE(O9:O11)</f>
        <v>42.329748484507888</v>
      </c>
      <c r="R9">
        <f>STDEV(N9:N11)</f>
        <v>6.6238663417139998</v>
      </c>
    </row>
    <row r="10" spans="1:18" x14ac:dyDescent="0.25">
      <c r="A10" t="s">
        <v>710</v>
      </c>
      <c r="B10" s="66"/>
      <c r="C10" t="s">
        <v>727</v>
      </c>
      <c r="D10" t="s">
        <v>728</v>
      </c>
      <c r="E10" t="s">
        <v>713</v>
      </c>
      <c r="F10" t="s">
        <v>714</v>
      </c>
      <c r="G10">
        <v>21.314134053059501</v>
      </c>
      <c r="H10">
        <v>3.34688154550635E-2</v>
      </c>
      <c r="I10">
        <v>21.564171385920599</v>
      </c>
      <c r="J10">
        <v>2.32390615029868E-2</v>
      </c>
      <c r="K10">
        <v>1.321</v>
      </c>
      <c r="L10" s="61">
        <v>1.83E-2</v>
      </c>
      <c r="N10">
        <f t="shared" si="0"/>
        <v>56.915122791900046</v>
      </c>
      <c r="O10">
        <f t="shared" si="1"/>
        <v>43.084877208099954</v>
      </c>
    </row>
    <row r="11" spans="1:18" x14ac:dyDescent="0.25">
      <c r="A11" t="s">
        <v>710</v>
      </c>
      <c r="B11" s="66"/>
      <c r="C11" t="s">
        <v>729</v>
      </c>
      <c r="D11" t="s">
        <v>730</v>
      </c>
      <c r="E11" t="s">
        <v>713</v>
      </c>
      <c r="F11" t="s">
        <v>714</v>
      </c>
      <c r="G11">
        <v>21.165506526725299</v>
      </c>
      <c r="H11">
        <v>4.8075345315489099E-2</v>
      </c>
      <c r="I11">
        <v>21.093861486611001</v>
      </c>
      <c r="J11">
        <v>1.25688165057179E-2</v>
      </c>
      <c r="K11">
        <v>1.06</v>
      </c>
      <c r="L11" s="61">
        <v>3.5400000000000001E-2</v>
      </c>
      <c r="N11">
        <f t="shared" si="0"/>
        <v>51.456310679611647</v>
      </c>
      <c r="O11">
        <f t="shared" si="1"/>
        <v>48.543689320388353</v>
      </c>
    </row>
    <row r="12" spans="1:18" x14ac:dyDescent="0.25">
      <c r="A12" t="s">
        <v>710</v>
      </c>
      <c r="B12" s="66">
        <v>260</v>
      </c>
      <c r="C12" t="s">
        <v>731</v>
      </c>
      <c r="D12" t="s">
        <v>732</v>
      </c>
      <c r="E12" t="s">
        <v>713</v>
      </c>
      <c r="F12" t="s">
        <v>714</v>
      </c>
      <c r="G12">
        <v>23.888324950617498</v>
      </c>
      <c r="H12">
        <v>1.34005941924434E-2</v>
      </c>
      <c r="I12">
        <v>24.784103779563601</v>
      </c>
      <c r="J12">
        <v>3.5026536705351899E-2</v>
      </c>
      <c r="K12">
        <v>2.0790000000000002</v>
      </c>
      <c r="L12" s="61">
        <v>4.7399999999999998E-2</v>
      </c>
      <c r="N12">
        <f t="shared" si="0"/>
        <v>67.521922702176028</v>
      </c>
      <c r="O12">
        <f t="shared" si="1"/>
        <v>32.478077297823972</v>
      </c>
      <c r="P12">
        <f>AVERAGE(N12:N14)</f>
        <v>60.107197171346193</v>
      </c>
      <c r="Q12">
        <f>AVERAGE(O12:O14)</f>
        <v>39.892802828653807</v>
      </c>
      <c r="R12">
        <f>STDEV(N12:N14)</f>
        <v>7.7754276362651229</v>
      </c>
    </row>
    <row r="13" spans="1:18" x14ac:dyDescent="0.25">
      <c r="A13" t="s">
        <v>710</v>
      </c>
      <c r="B13" s="66"/>
      <c r="C13" t="s">
        <v>733</v>
      </c>
      <c r="D13" t="s">
        <v>734</v>
      </c>
      <c r="E13" t="s">
        <v>713</v>
      </c>
      <c r="F13" t="s">
        <v>714</v>
      </c>
      <c r="G13">
        <v>22.9155193182748</v>
      </c>
      <c r="H13">
        <v>8.5267765171984103E-2</v>
      </c>
      <c r="I13">
        <v>22.862693954223399</v>
      </c>
      <c r="J13">
        <v>1.16594627952093E-2</v>
      </c>
      <c r="K13">
        <v>1.0840000000000001</v>
      </c>
      <c r="L13" s="61">
        <v>7.8100000000000003E-2</v>
      </c>
      <c r="N13">
        <f t="shared" si="0"/>
        <v>52.015355086372359</v>
      </c>
      <c r="O13">
        <f t="shared" si="1"/>
        <v>47.984644913627641</v>
      </c>
    </row>
    <row r="14" spans="1:18" x14ac:dyDescent="0.25">
      <c r="A14" t="s">
        <v>710</v>
      </c>
      <c r="B14" s="66"/>
      <c r="C14" t="s">
        <v>735</v>
      </c>
      <c r="D14" t="s">
        <v>736</v>
      </c>
      <c r="E14" t="s">
        <v>713</v>
      </c>
      <c r="F14" t="s">
        <v>714</v>
      </c>
      <c r="G14">
        <v>22.3191457488407</v>
      </c>
      <c r="H14">
        <v>2.7032091890497701E-2</v>
      </c>
      <c r="I14">
        <v>22.796391851668499</v>
      </c>
      <c r="J14">
        <v>2.6213220914851301E-2</v>
      </c>
      <c r="K14">
        <v>1.55</v>
      </c>
      <c r="L14" s="61">
        <v>2.9499999999999998E-2</v>
      </c>
      <c r="N14">
        <f t="shared" si="0"/>
        <v>60.7843137254902</v>
      </c>
      <c r="O14">
        <f t="shared" si="1"/>
        <v>39.2156862745098</v>
      </c>
    </row>
    <row r="15" spans="1:18" x14ac:dyDescent="0.25">
      <c r="A15" t="s">
        <v>710</v>
      </c>
      <c r="B15" s="66">
        <v>336</v>
      </c>
      <c r="C15" t="s">
        <v>737</v>
      </c>
      <c r="D15" t="s">
        <v>738</v>
      </c>
      <c r="E15" t="s">
        <v>713</v>
      </c>
      <c r="F15" t="s">
        <v>714</v>
      </c>
      <c r="G15">
        <v>24.346219617400799</v>
      </c>
      <c r="H15">
        <v>0.118561936321276</v>
      </c>
      <c r="I15">
        <v>24.894053554265799</v>
      </c>
      <c r="J15">
        <v>7.4079929961303997E-2</v>
      </c>
      <c r="K15">
        <v>1.6439999999999999</v>
      </c>
      <c r="L15">
        <v>0.14960000000000001</v>
      </c>
      <c r="N15">
        <f t="shared" si="0"/>
        <v>62.178517397881983</v>
      </c>
      <c r="O15">
        <f t="shared" si="1"/>
        <v>37.821482602118017</v>
      </c>
      <c r="P15">
        <f>AVERAGE(N15:N17)</f>
        <v>55.874233256755417</v>
      </c>
      <c r="Q15">
        <f>AVERAGE(O15:O17)</f>
        <v>44.125766743244583</v>
      </c>
      <c r="R15">
        <f>STDEV(N15:N17)</f>
        <v>5.6820501838845301</v>
      </c>
    </row>
    <row r="16" spans="1:18" x14ac:dyDescent="0.25">
      <c r="A16" t="s">
        <v>710</v>
      </c>
      <c r="B16" s="66"/>
      <c r="C16" t="s">
        <v>739</v>
      </c>
      <c r="D16" t="s">
        <v>740</v>
      </c>
      <c r="E16" t="s">
        <v>713</v>
      </c>
      <c r="F16" t="s">
        <v>714</v>
      </c>
      <c r="G16">
        <v>25.110936064467101</v>
      </c>
      <c r="H16">
        <v>3.8448148882100901E-2</v>
      </c>
      <c r="I16">
        <v>24.991573651996401</v>
      </c>
      <c r="J16">
        <v>8.1460925844959398E-2</v>
      </c>
      <c r="K16">
        <v>1.0469999999999999</v>
      </c>
      <c r="L16" s="61">
        <v>5.45E-2</v>
      </c>
      <c r="N16">
        <f t="shared" si="0"/>
        <v>51.148021494870541</v>
      </c>
      <c r="O16">
        <f t="shared" si="1"/>
        <v>48.851978505129459</v>
      </c>
    </row>
    <row r="17" spans="1:16" x14ac:dyDescent="0.25">
      <c r="A17" t="s">
        <v>710</v>
      </c>
      <c r="B17" s="66"/>
      <c r="C17" t="s">
        <v>741</v>
      </c>
      <c r="D17" t="s">
        <v>742</v>
      </c>
      <c r="E17" t="s">
        <v>713</v>
      </c>
      <c r="F17" t="s">
        <v>714</v>
      </c>
      <c r="G17">
        <v>23.187921511934601</v>
      </c>
      <c r="H17">
        <v>3.5114947629120298E-2</v>
      </c>
      <c r="I17">
        <v>23.267968088278501</v>
      </c>
      <c r="J17">
        <v>8.8647615953657305E-2</v>
      </c>
      <c r="K17">
        <v>1.1879999999999999</v>
      </c>
      <c r="L17" s="61">
        <v>6.3299999999999995E-2</v>
      </c>
      <c r="N17">
        <f t="shared" si="0"/>
        <v>54.296160877513714</v>
      </c>
      <c r="O17">
        <f t="shared" si="1"/>
        <v>45.703839122486286</v>
      </c>
    </row>
    <row r="20" spans="1:16" x14ac:dyDescent="0.25">
      <c r="N20" t="s">
        <v>709</v>
      </c>
      <c r="O20" t="s">
        <v>708</v>
      </c>
    </row>
    <row r="21" spans="1:16" x14ac:dyDescent="0.25">
      <c r="M21">
        <v>0</v>
      </c>
      <c r="N21" s="62">
        <v>50</v>
      </c>
      <c r="O21" s="62">
        <v>50</v>
      </c>
      <c r="P21">
        <v>0</v>
      </c>
    </row>
    <row r="22" spans="1:16" x14ac:dyDescent="0.25">
      <c r="M22">
        <v>22</v>
      </c>
      <c r="N22" s="62">
        <v>53.163976427378202</v>
      </c>
      <c r="O22" s="62">
        <v>46.836023572621798</v>
      </c>
      <c r="P22">
        <v>5.0467555186615547</v>
      </c>
    </row>
    <row r="23" spans="1:16" x14ac:dyDescent="0.25">
      <c r="M23">
        <v>72</v>
      </c>
      <c r="N23" s="62">
        <v>34.957728775971752</v>
      </c>
      <c r="O23" s="62">
        <v>65.042271224028255</v>
      </c>
      <c r="P23">
        <v>7.1010041240873507</v>
      </c>
    </row>
    <row r="24" spans="1:16" x14ac:dyDescent="0.25">
      <c r="M24">
        <v>96</v>
      </c>
      <c r="N24" s="62">
        <v>42.329748484507888</v>
      </c>
      <c r="O24" s="62">
        <v>57.670251515492112</v>
      </c>
      <c r="P24">
        <v>6.6238663417139998</v>
      </c>
    </row>
    <row r="25" spans="1:16" x14ac:dyDescent="0.25">
      <c r="M25">
        <v>260</v>
      </c>
      <c r="N25" s="62">
        <v>39.892802828653807</v>
      </c>
      <c r="O25" s="62">
        <v>60.107197171346193</v>
      </c>
      <c r="P25">
        <v>7.7754276362651229</v>
      </c>
    </row>
    <row r="26" spans="1:16" x14ac:dyDescent="0.25">
      <c r="M26">
        <v>336</v>
      </c>
      <c r="N26" s="62">
        <v>44.125766743244583</v>
      </c>
      <c r="O26" s="62">
        <v>55.874233256755417</v>
      </c>
      <c r="P26">
        <v>5.6820501838845301</v>
      </c>
    </row>
  </sheetData>
  <mergeCells count="5">
    <mergeCell ref="B3:B5"/>
    <mergeCell ref="B6:B8"/>
    <mergeCell ref="B9:B11"/>
    <mergeCell ref="B12:B14"/>
    <mergeCell ref="B15:B1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4565-5049-4AEA-996C-17269AE3AF3F}">
  <dimension ref="A1:R26"/>
  <sheetViews>
    <sheetView workbookViewId="0">
      <selection activeCell="O14" sqref="O14:O16"/>
    </sheetView>
  </sheetViews>
  <sheetFormatPr baseColWidth="10" defaultColWidth="9.140625" defaultRowHeight="15" x14ac:dyDescent="0.25"/>
  <sheetData>
    <row r="1" spans="1:18" x14ac:dyDescent="0.25">
      <c r="A1" t="s">
        <v>743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M2" t="s">
        <v>744</v>
      </c>
      <c r="N2" t="s">
        <v>745</v>
      </c>
      <c r="O2" t="s">
        <v>746</v>
      </c>
      <c r="P2" t="s">
        <v>708</v>
      </c>
      <c r="Q2" t="s">
        <v>709</v>
      </c>
    </row>
    <row r="3" spans="1:18" x14ac:dyDescent="0.25">
      <c r="A3" t="s">
        <v>710</v>
      </c>
      <c r="B3" s="66">
        <v>22</v>
      </c>
      <c r="C3" t="s">
        <v>711</v>
      </c>
      <c r="D3" t="s">
        <v>712</v>
      </c>
      <c r="E3" t="s">
        <v>713</v>
      </c>
      <c r="F3" t="s">
        <v>714</v>
      </c>
      <c r="G3">
        <v>23.9032092326871</v>
      </c>
      <c r="H3">
        <v>8.7465820196281796E-2</v>
      </c>
      <c r="I3">
        <v>24.749509529624198</v>
      </c>
      <c r="J3">
        <v>5.3428115817871297E-2</v>
      </c>
      <c r="K3">
        <v>1.6080000000000001</v>
      </c>
      <c r="L3" s="61">
        <v>9.0499999999999997E-2</v>
      </c>
      <c r="N3">
        <f t="shared" ref="N3:N16" si="0">(K3*100)/(K3+1)</f>
        <v>61.656441717791417</v>
      </c>
      <c r="O3">
        <f t="shared" ref="O3:O16" si="1">100-N3</f>
        <v>38.343558282208583</v>
      </c>
      <c r="P3">
        <f>AVERAGE(N3:N5)</f>
        <v>66.752913953218282</v>
      </c>
      <c r="Q3">
        <f>AVERAGE(O3:O5)</f>
        <v>33.24708604678171</v>
      </c>
      <c r="R3">
        <f>STDEV(N3:N5)</f>
        <v>9.2960104329657423</v>
      </c>
    </row>
    <row r="4" spans="1:18" x14ac:dyDescent="0.25">
      <c r="A4" t="s">
        <v>710</v>
      </c>
      <c r="B4" s="66"/>
      <c r="C4" t="s">
        <v>715</v>
      </c>
      <c r="D4" t="s">
        <v>716</v>
      </c>
      <c r="E4" t="s">
        <v>713</v>
      </c>
      <c r="F4" t="s">
        <v>714</v>
      </c>
      <c r="G4">
        <v>21.579817383560702</v>
      </c>
      <c r="H4">
        <v>5.2600079173815602E-2</v>
      </c>
      <c r="I4">
        <v>23.561940388167301</v>
      </c>
      <c r="J4">
        <v>9.5625196874307303E-2</v>
      </c>
      <c r="K4">
        <v>3.4409999999999998</v>
      </c>
      <c r="L4">
        <v>0.2135</v>
      </c>
      <c r="N4">
        <f t="shared" si="0"/>
        <v>77.48254897545597</v>
      </c>
      <c r="O4">
        <f t="shared" si="1"/>
        <v>22.51745102454403</v>
      </c>
    </row>
    <row r="5" spans="1:18" x14ac:dyDescent="0.25">
      <c r="A5" t="s">
        <v>710</v>
      </c>
      <c r="B5" s="66"/>
      <c r="C5" t="s">
        <v>717</v>
      </c>
      <c r="D5" t="s">
        <v>718</v>
      </c>
      <c r="E5" t="s">
        <v>713</v>
      </c>
      <c r="F5" t="s">
        <v>714</v>
      </c>
      <c r="G5">
        <v>24.657326526312399</v>
      </c>
      <c r="H5">
        <v>7.4044755320715099E-3</v>
      </c>
      <c r="I5">
        <v>25.4739615692718</v>
      </c>
      <c r="J5">
        <v>2.3891659379138199E-2</v>
      </c>
      <c r="K5">
        <v>1.5720000000000001</v>
      </c>
      <c r="L5" s="61">
        <v>2.3699999999999999E-2</v>
      </c>
      <c r="N5">
        <f t="shared" si="0"/>
        <v>61.119751166407468</v>
      </c>
      <c r="O5">
        <f t="shared" si="1"/>
        <v>38.880248833592532</v>
      </c>
    </row>
    <row r="6" spans="1:18" x14ac:dyDescent="0.25">
      <c r="A6" t="s">
        <v>710</v>
      </c>
      <c r="B6" s="66">
        <v>72</v>
      </c>
      <c r="C6" t="s">
        <v>747</v>
      </c>
      <c r="D6" t="s">
        <v>720</v>
      </c>
      <c r="E6" t="s">
        <v>713</v>
      </c>
      <c r="F6" t="s">
        <v>714</v>
      </c>
      <c r="G6">
        <v>22.971534726501499</v>
      </c>
      <c r="H6">
        <v>1.79236505930323E-2</v>
      </c>
      <c r="I6">
        <v>29.335232624685101</v>
      </c>
      <c r="J6">
        <v>0.148909505103826</v>
      </c>
      <c r="K6">
        <v>62.45</v>
      </c>
      <c r="L6">
        <v>5.657</v>
      </c>
      <c r="N6">
        <f t="shared" si="0"/>
        <v>98.423955870764374</v>
      </c>
      <c r="O6">
        <f t="shared" si="1"/>
        <v>1.5760441292356262</v>
      </c>
      <c r="P6">
        <f>AVERAGE(N6:N8)</f>
        <v>97.364490702763021</v>
      </c>
      <c r="Q6">
        <f>AVERAGE(O6:O8)</f>
        <v>2.635509297236974</v>
      </c>
      <c r="R6">
        <f>STDEV(N6:N8)</f>
        <v>1.3711026768353853</v>
      </c>
    </row>
    <row r="7" spans="1:18" x14ac:dyDescent="0.25">
      <c r="A7" t="s">
        <v>710</v>
      </c>
      <c r="B7" s="66"/>
      <c r="C7" t="s">
        <v>723</v>
      </c>
      <c r="D7" t="s">
        <v>724</v>
      </c>
      <c r="E7" t="s">
        <v>713</v>
      </c>
      <c r="F7" t="s">
        <v>714</v>
      </c>
      <c r="G7">
        <v>22.439819755771499</v>
      </c>
      <c r="H7">
        <v>8.5105019169228593E-2</v>
      </c>
      <c r="I7">
        <v>28.325588735891099</v>
      </c>
      <c r="J7">
        <v>0.19507466419456801</v>
      </c>
      <c r="K7">
        <v>45.59</v>
      </c>
      <c r="L7">
        <v>6.5439999999999996</v>
      </c>
      <c r="N7">
        <f t="shared" si="0"/>
        <v>97.853616655934744</v>
      </c>
      <c r="O7">
        <f t="shared" si="1"/>
        <v>2.1463833440652564</v>
      </c>
    </row>
    <row r="8" spans="1:18" x14ac:dyDescent="0.25">
      <c r="A8" t="s">
        <v>710</v>
      </c>
      <c r="B8" s="66">
        <v>96</v>
      </c>
      <c r="C8" t="s">
        <v>725</v>
      </c>
      <c r="D8" t="s">
        <v>726</v>
      </c>
      <c r="E8" t="s">
        <v>713</v>
      </c>
      <c r="F8" t="s">
        <v>714</v>
      </c>
      <c r="G8">
        <v>20.256071617474799</v>
      </c>
      <c r="H8">
        <v>4.0214024502265501E-2</v>
      </c>
      <c r="I8">
        <v>25.091185059023701</v>
      </c>
      <c r="J8">
        <v>4.0018595196026602E-2</v>
      </c>
      <c r="K8">
        <v>22.9</v>
      </c>
      <c r="L8">
        <v>0.87429999999999997</v>
      </c>
      <c r="N8">
        <f t="shared" si="0"/>
        <v>95.81589958158996</v>
      </c>
      <c r="O8">
        <f t="shared" si="1"/>
        <v>4.1841004184100399</v>
      </c>
    </row>
    <row r="9" spans="1:18" x14ac:dyDescent="0.25">
      <c r="A9" t="s">
        <v>710</v>
      </c>
      <c r="B9" s="66"/>
      <c r="C9" t="s">
        <v>727</v>
      </c>
      <c r="D9" t="s">
        <v>728</v>
      </c>
      <c r="E9" t="s">
        <v>713</v>
      </c>
      <c r="F9" t="s">
        <v>714</v>
      </c>
      <c r="G9">
        <v>20.884829043923201</v>
      </c>
      <c r="H9">
        <v>2.7118008955976301E-2</v>
      </c>
      <c r="I9">
        <v>25.220079879729099</v>
      </c>
      <c r="J9">
        <v>9.8101216708510498E-3</v>
      </c>
      <c r="K9">
        <v>16.41</v>
      </c>
      <c r="L9">
        <v>0.26140000000000002</v>
      </c>
      <c r="N9">
        <f t="shared" si="0"/>
        <v>94.256174612291787</v>
      </c>
      <c r="O9">
        <f t="shared" si="1"/>
        <v>5.7438253877082133</v>
      </c>
      <c r="P9">
        <f>AVERAGE(N9:N11)</f>
        <v>94.567704216926373</v>
      </c>
      <c r="Q9">
        <f>AVERAGE(O9:O11)</f>
        <v>5.4322957830736227</v>
      </c>
      <c r="R9">
        <f>STDEV(N9:N11)</f>
        <v>1.4555984226827332</v>
      </c>
    </row>
    <row r="10" spans="1:18" x14ac:dyDescent="0.25">
      <c r="A10" t="s">
        <v>710</v>
      </c>
      <c r="B10" s="66"/>
      <c r="C10" t="s">
        <v>729</v>
      </c>
      <c r="D10" t="s">
        <v>730</v>
      </c>
      <c r="E10" t="s">
        <v>713</v>
      </c>
      <c r="F10" t="s">
        <v>714</v>
      </c>
      <c r="G10">
        <v>20.664126289510101</v>
      </c>
      <c r="H10">
        <v>6.2818959109410905E-2</v>
      </c>
      <c r="I10">
        <v>25.633627873167701</v>
      </c>
      <c r="J10">
        <v>6.7257925523629303E-2</v>
      </c>
      <c r="K10">
        <v>25</v>
      </c>
      <c r="L10">
        <v>0.97489999999999999</v>
      </c>
      <c r="N10">
        <f t="shared" si="0"/>
        <v>96.15384615384616</v>
      </c>
      <c r="O10">
        <f t="shared" si="1"/>
        <v>3.8461538461538396</v>
      </c>
    </row>
    <row r="11" spans="1:18" x14ac:dyDescent="0.25">
      <c r="A11" t="s">
        <v>710</v>
      </c>
      <c r="B11" s="66">
        <v>216</v>
      </c>
      <c r="C11" t="s">
        <v>731</v>
      </c>
      <c r="D11" t="s">
        <v>748</v>
      </c>
      <c r="E11" t="s">
        <v>713</v>
      </c>
      <c r="F11" t="s">
        <v>714</v>
      </c>
      <c r="G11">
        <v>21.879890499520801</v>
      </c>
      <c r="H11">
        <v>4.5235227123390301E-2</v>
      </c>
      <c r="I11">
        <v>25.971290275574798</v>
      </c>
      <c r="J11">
        <v>2.3319552731712101E-2</v>
      </c>
      <c r="K11">
        <v>13.91</v>
      </c>
      <c r="N11">
        <f t="shared" si="0"/>
        <v>93.293091884641186</v>
      </c>
      <c r="O11">
        <f t="shared" si="1"/>
        <v>6.7069081153588144</v>
      </c>
    </row>
    <row r="12" spans="1:18" x14ac:dyDescent="0.25">
      <c r="A12" t="s">
        <v>710</v>
      </c>
      <c r="B12" s="66"/>
      <c r="C12" t="s">
        <v>733</v>
      </c>
      <c r="D12" t="s">
        <v>749</v>
      </c>
      <c r="E12" t="s">
        <v>713</v>
      </c>
      <c r="F12" t="s">
        <v>714</v>
      </c>
      <c r="G12">
        <v>22.2392103787653</v>
      </c>
      <c r="H12">
        <v>0.10190656815235501</v>
      </c>
      <c r="I12">
        <v>25.548391203447501</v>
      </c>
      <c r="J12">
        <v>8.7660214594373995E-2</v>
      </c>
      <c r="K12">
        <v>8.2720000000000002</v>
      </c>
      <c r="L12">
        <v>0.40939999999999999</v>
      </c>
      <c r="N12">
        <f t="shared" si="0"/>
        <v>89.214840379637621</v>
      </c>
      <c r="O12">
        <f t="shared" si="1"/>
        <v>10.785159620362379</v>
      </c>
      <c r="P12">
        <f>AVERAGE(N12:N14)</f>
        <v>92.229410059812778</v>
      </c>
      <c r="Q12">
        <f>AVERAGE(O12:O14)</f>
        <v>7.7705899401872216</v>
      </c>
      <c r="R12">
        <f>STDEV(N12:N14)</f>
        <v>3.2647831511557976</v>
      </c>
    </row>
    <row r="13" spans="1:18" x14ac:dyDescent="0.25">
      <c r="A13" t="s">
        <v>710</v>
      </c>
      <c r="B13" s="66"/>
      <c r="C13" t="s">
        <v>735</v>
      </c>
      <c r="D13" t="s">
        <v>750</v>
      </c>
      <c r="E13" t="s">
        <v>713</v>
      </c>
      <c r="F13" t="s">
        <v>714</v>
      </c>
      <c r="G13">
        <v>22.242631804539599</v>
      </c>
      <c r="H13">
        <v>4.5150452088504101E-2</v>
      </c>
      <c r="I13">
        <v>27.044246709744801</v>
      </c>
      <c r="J13">
        <v>4.1738582205351003E-2</v>
      </c>
      <c r="K13">
        <v>22.24</v>
      </c>
      <c r="L13">
        <v>0.94</v>
      </c>
      <c r="N13">
        <f t="shared" si="0"/>
        <v>95.697074010327029</v>
      </c>
      <c r="O13">
        <f t="shared" si="1"/>
        <v>4.3029259896729712</v>
      </c>
    </row>
    <row r="14" spans="1:18" x14ac:dyDescent="0.25">
      <c r="A14" t="s">
        <v>710</v>
      </c>
      <c r="B14" s="66">
        <v>260</v>
      </c>
      <c r="C14" t="s">
        <v>737</v>
      </c>
      <c r="D14" t="s">
        <v>732</v>
      </c>
      <c r="E14" t="s">
        <v>713</v>
      </c>
      <c r="F14" t="s">
        <v>714</v>
      </c>
      <c r="G14">
        <v>23.008757243498799</v>
      </c>
      <c r="H14">
        <v>4.9138492728420101E-2</v>
      </c>
      <c r="I14">
        <v>26.773451226350701</v>
      </c>
      <c r="J14">
        <v>1.7700947669066901E-2</v>
      </c>
      <c r="K14">
        <v>11.16</v>
      </c>
      <c r="L14">
        <v>0.47120000000000001</v>
      </c>
      <c r="N14">
        <f t="shared" si="0"/>
        <v>91.776315789473685</v>
      </c>
      <c r="O14">
        <f t="shared" si="1"/>
        <v>8.223684210526315</v>
      </c>
    </row>
    <row r="15" spans="1:18" x14ac:dyDescent="0.25">
      <c r="A15" t="s">
        <v>710</v>
      </c>
      <c r="B15" s="66"/>
      <c r="C15" t="s">
        <v>739</v>
      </c>
      <c r="D15" t="s">
        <v>734</v>
      </c>
      <c r="E15" t="s">
        <v>713</v>
      </c>
      <c r="F15" t="s">
        <v>714</v>
      </c>
      <c r="G15">
        <v>22.673435276779198</v>
      </c>
      <c r="H15">
        <v>4.9613328680576198E-2</v>
      </c>
      <c r="I15">
        <v>25.7171365429272</v>
      </c>
      <c r="J15">
        <v>4.8974481452154203E-2</v>
      </c>
      <c r="K15">
        <v>6.9269999999999996</v>
      </c>
      <c r="L15">
        <v>0.32419999999999999</v>
      </c>
      <c r="N15">
        <f t="shared" si="0"/>
        <v>87.384887094739497</v>
      </c>
      <c r="O15">
        <f t="shared" si="1"/>
        <v>12.615112905260503</v>
      </c>
      <c r="P15">
        <f>AVERAGE(N15:N17)</f>
        <v>90.835300690226887</v>
      </c>
      <c r="Q15">
        <f>AVERAGE(O15:O17)</f>
        <v>9.1646993097731055</v>
      </c>
      <c r="R15">
        <f>STDEV(N15:N17)</f>
        <v>4.8796217025347914</v>
      </c>
    </row>
    <row r="16" spans="1:18" x14ac:dyDescent="0.25">
      <c r="A16" t="s">
        <v>710</v>
      </c>
      <c r="B16" s="66"/>
      <c r="C16" t="s">
        <v>741</v>
      </c>
      <c r="D16" t="s">
        <v>736</v>
      </c>
      <c r="E16" t="s">
        <v>713</v>
      </c>
      <c r="F16" t="s">
        <v>714</v>
      </c>
      <c r="G16">
        <v>23.025434471985001</v>
      </c>
      <c r="H16">
        <v>0.14071651004703201</v>
      </c>
      <c r="I16">
        <v>27.380789122445599</v>
      </c>
      <c r="J16">
        <v>0.18435342404362601</v>
      </c>
      <c r="K16">
        <v>16.5</v>
      </c>
      <c r="N16">
        <f t="shared" si="0"/>
        <v>94.285714285714292</v>
      </c>
      <c r="O16">
        <f t="shared" si="1"/>
        <v>5.7142857142857082</v>
      </c>
    </row>
    <row r="20" spans="14:17" x14ac:dyDescent="0.25">
      <c r="O20" t="s">
        <v>709</v>
      </c>
      <c r="P20" t="s">
        <v>708</v>
      </c>
    </row>
    <row r="21" spans="14:17" x14ac:dyDescent="0.25">
      <c r="N21">
        <v>0</v>
      </c>
      <c r="O21" s="63">
        <v>50</v>
      </c>
      <c r="P21" s="63">
        <v>50</v>
      </c>
      <c r="Q21" s="63">
        <v>0</v>
      </c>
    </row>
    <row r="22" spans="14:17" x14ac:dyDescent="0.25">
      <c r="N22">
        <v>20</v>
      </c>
      <c r="O22" s="63">
        <v>33.24708604678171</v>
      </c>
      <c r="P22" s="63">
        <v>66.752913953218282</v>
      </c>
      <c r="Q22" s="63">
        <v>9.2960104329657423</v>
      </c>
    </row>
    <row r="23" spans="14:17" x14ac:dyDescent="0.25">
      <c r="N23">
        <v>30</v>
      </c>
      <c r="O23" s="63">
        <v>2.635509297236974</v>
      </c>
      <c r="P23" s="63">
        <v>97.364490702763021</v>
      </c>
      <c r="Q23" s="63">
        <v>1.3711026768353853</v>
      </c>
    </row>
    <row r="24" spans="14:17" x14ac:dyDescent="0.25">
      <c r="N24">
        <v>50</v>
      </c>
      <c r="O24" s="63">
        <v>5.4322957830736227</v>
      </c>
      <c r="P24" s="63">
        <v>94.567704216926373</v>
      </c>
      <c r="Q24" s="63">
        <v>1.4555984226827332</v>
      </c>
    </row>
    <row r="25" spans="14:17" x14ac:dyDescent="0.25">
      <c r="N25">
        <v>95</v>
      </c>
      <c r="O25" s="63">
        <v>7.7705899401872216</v>
      </c>
      <c r="P25" s="63">
        <v>92.229410059812778</v>
      </c>
      <c r="Q25" s="63">
        <v>3.2647831511557976</v>
      </c>
    </row>
    <row r="26" spans="14:17" x14ac:dyDescent="0.25">
      <c r="N26">
        <v>100</v>
      </c>
      <c r="O26" s="63">
        <v>9.1646993097731055</v>
      </c>
      <c r="P26" s="63">
        <v>90.835300690226887</v>
      </c>
      <c r="Q26" s="63">
        <v>4.8796217025347914</v>
      </c>
    </row>
  </sheetData>
  <mergeCells count="5">
    <mergeCell ref="B3:B5"/>
    <mergeCell ref="B6:B7"/>
    <mergeCell ref="B8:B10"/>
    <mergeCell ref="B11:B13"/>
    <mergeCell ref="B14:B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74C9-1541-4F7A-BF39-C65ADE02AAE3}">
  <dimension ref="A1:S27"/>
  <sheetViews>
    <sheetView topLeftCell="C1" workbookViewId="0">
      <selection activeCell="E24" sqref="E24"/>
    </sheetView>
  </sheetViews>
  <sheetFormatPr baseColWidth="10" defaultColWidth="9.140625" defaultRowHeight="15" x14ac:dyDescent="0.25"/>
  <cols>
    <col min="13" max="13" width="13.28515625" customWidth="1"/>
    <col min="17" max="17" width="11.140625" customWidth="1"/>
    <col min="18" max="18" width="10.7109375" customWidth="1"/>
  </cols>
  <sheetData>
    <row r="1" spans="1:19" x14ac:dyDescent="0.25">
      <c r="A1" t="s">
        <v>751</v>
      </c>
    </row>
    <row r="2" spans="1:19" x14ac:dyDescent="0.25">
      <c r="A2" t="s">
        <v>698</v>
      </c>
      <c r="C2" t="s">
        <v>699</v>
      </c>
      <c r="E2" t="s">
        <v>700</v>
      </c>
      <c r="F2" t="s">
        <v>701</v>
      </c>
      <c r="G2" t="s">
        <v>702</v>
      </c>
      <c r="H2" t="s">
        <v>703</v>
      </c>
      <c r="I2" t="s">
        <v>704</v>
      </c>
      <c r="J2" t="s">
        <v>703</v>
      </c>
      <c r="K2" t="s">
        <v>705</v>
      </c>
      <c r="L2" s="60" t="s">
        <v>706</v>
      </c>
      <c r="M2" t="s">
        <v>707</v>
      </c>
      <c r="O2" t="s">
        <v>752</v>
      </c>
      <c r="P2" t="s">
        <v>753</v>
      </c>
      <c r="Q2" t="s">
        <v>754</v>
      </c>
      <c r="R2" t="s">
        <v>755</v>
      </c>
    </row>
    <row r="3" spans="1:19" x14ac:dyDescent="0.25">
      <c r="A3" t="s">
        <v>710</v>
      </c>
      <c r="B3" s="67" t="s">
        <v>756</v>
      </c>
      <c r="C3" t="s">
        <v>711</v>
      </c>
      <c r="D3" s="66">
        <v>22</v>
      </c>
      <c r="E3" t="s">
        <v>712</v>
      </c>
      <c r="F3" t="s">
        <v>713</v>
      </c>
      <c r="G3" t="s">
        <v>714</v>
      </c>
      <c r="H3">
        <v>27.686907213543599</v>
      </c>
      <c r="I3">
        <v>3.9371204925062901E-2</v>
      </c>
      <c r="J3">
        <v>25.778847824371699</v>
      </c>
      <c r="K3">
        <v>0.13939510998162599</v>
      </c>
      <c r="L3">
        <v>0.51590000000000003</v>
      </c>
      <c r="M3" s="61">
        <v>4.58E-2</v>
      </c>
      <c r="O3">
        <f t="shared" ref="O3:O17" si="0">(L3*100)/(L3+1)</f>
        <v>34.032587901576626</v>
      </c>
      <c r="P3">
        <f t="shared" ref="P3:P17" si="1">100-O3</f>
        <v>65.967412098423381</v>
      </c>
      <c r="Q3">
        <f>AVERAGE(O3:O5)</f>
        <v>37.77276998915076</v>
      </c>
      <c r="R3">
        <f>AVERAGE(P3:P5)</f>
        <v>62.22723001084924</v>
      </c>
      <c r="S3">
        <f>STDEV(O3:O5)</f>
        <v>3.2543840526946015</v>
      </c>
    </row>
    <row r="4" spans="1:19" x14ac:dyDescent="0.25">
      <c r="A4" t="s">
        <v>710</v>
      </c>
      <c r="B4" s="67"/>
      <c r="C4" t="s">
        <v>715</v>
      </c>
      <c r="D4" s="66"/>
      <c r="E4" t="s">
        <v>716</v>
      </c>
      <c r="F4" t="s">
        <v>713</v>
      </c>
      <c r="G4" t="s">
        <v>714</v>
      </c>
      <c r="H4">
        <v>26.633640422809599</v>
      </c>
      <c r="I4">
        <v>0.16206672650224599</v>
      </c>
      <c r="J4">
        <v>25.149780747822401</v>
      </c>
      <c r="K4">
        <v>0.17060178193980899</v>
      </c>
      <c r="L4">
        <v>0.66549999999999998</v>
      </c>
      <c r="M4">
        <v>0.1157</v>
      </c>
      <c r="O4">
        <f t="shared" si="0"/>
        <v>39.957970579405583</v>
      </c>
      <c r="P4">
        <f t="shared" si="1"/>
        <v>60.042029420594417</v>
      </c>
    </row>
    <row r="5" spans="1:19" x14ac:dyDescent="0.25">
      <c r="A5" t="s">
        <v>710</v>
      </c>
      <c r="B5" s="67"/>
      <c r="C5" t="s">
        <v>717</v>
      </c>
      <c r="D5" s="66"/>
      <c r="E5" t="s">
        <v>718</v>
      </c>
      <c r="F5" t="s">
        <v>713</v>
      </c>
      <c r="G5" t="s">
        <v>714</v>
      </c>
      <c r="H5">
        <v>25.499301459724101</v>
      </c>
      <c r="I5">
        <v>1.60262264906431E-2</v>
      </c>
      <c r="J5">
        <v>24.011584522505899</v>
      </c>
      <c r="K5">
        <v>3.2488046522126203E-2</v>
      </c>
      <c r="L5">
        <v>0.6482</v>
      </c>
      <c r="M5" s="61">
        <v>1.2699999999999999E-2</v>
      </c>
      <c r="O5">
        <f t="shared" si="0"/>
        <v>39.327751486470085</v>
      </c>
      <c r="P5">
        <f t="shared" si="1"/>
        <v>60.672248513529915</v>
      </c>
    </row>
    <row r="6" spans="1:19" x14ac:dyDescent="0.25">
      <c r="A6" t="s">
        <v>710</v>
      </c>
      <c r="B6" s="67" t="s">
        <v>757</v>
      </c>
      <c r="C6" t="s">
        <v>747</v>
      </c>
      <c r="D6" s="66">
        <v>72</v>
      </c>
      <c r="E6" t="s">
        <v>720</v>
      </c>
      <c r="F6" t="s">
        <v>713</v>
      </c>
      <c r="G6" t="s">
        <v>714</v>
      </c>
      <c r="H6">
        <v>28.432393600865701</v>
      </c>
      <c r="I6">
        <v>8.4815817796001405E-2</v>
      </c>
      <c r="J6">
        <v>24.102373407947301</v>
      </c>
      <c r="K6">
        <v>1.03626792141356E-2</v>
      </c>
      <c r="L6">
        <v>0.108</v>
      </c>
      <c r="M6" s="61">
        <v>4.0200000000000001E-3</v>
      </c>
      <c r="O6" s="64">
        <f t="shared" si="0"/>
        <v>9.7472924187725631</v>
      </c>
      <c r="P6" s="64">
        <f t="shared" si="1"/>
        <v>90.25270758122744</v>
      </c>
      <c r="Q6">
        <f>AVERAGE(O6:O8)</f>
        <v>14.729815431228973</v>
      </c>
      <c r="R6">
        <f>AVERAGE(P6:P8)</f>
        <v>85.270184568771029</v>
      </c>
      <c r="S6">
        <f>STDEV(O6:O8)</f>
        <v>4.8195186535753152</v>
      </c>
    </row>
    <row r="7" spans="1:19" x14ac:dyDescent="0.25">
      <c r="A7" t="s">
        <v>710</v>
      </c>
      <c r="B7" s="67"/>
      <c r="C7" t="s">
        <v>721</v>
      </c>
      <c r="D7" s="66"/>
      <c r="E7" t="s">
        <v>722</v>
      </c>
      <c r="F7" t="s">
        <v>713</v>
      </c>
      <c r="G7" t="s">
        <v>714</v>
      </c>
      <c r="H7">
        <v>26.986379940865699</v>
      </c>
      <c r="I7">
        <v>0.168686339294737</v>
      </c>
      <c r="J7">
        <v>23.929051685107599</v>
      </c>
      <c r="K7">
        <v>0.10043036191497499</v>
      </c>
      <c r="L7">
        <v>0.2402</v>
      </c>
      <c r="M7" s="61">
        <v>3.0499999999999999E-2</v>
      </c>
      <c r="O7">
        <f t="shared" si="0"/>
        <v>19.367843896145782</v>
      </c>
      <c r="P7">
        <f t="shared" si="1"/>
        <v>80.632156103854214</v>
      </c>
    </row>
    <row r="8" spans="1:19" x14ac:dyDescent="0.25">
      <c r="A8" t="s">
        <v>710</v>
      </c>
      <c r="B8" s="67"/>
      <c r="C8" t="s">
        <v>723</v>
      </c>
      <c r="D8" s="66"/>
      <c r="E8" t="s">
        <v>724</v>
      </c>
      <c r="F8" t="s">
        <v>713</v>
      </c>
      <c r="G8" t="s">
        <v>714</v>
      </c>
      <c r="H8">
        <v>27.496586023516102</v>
      </c>
      <c r="I8">
        <v>6.0612509260376E-2</v>
      </c>
      <c r="J8">
        <v>23.959240166881099</v>
      </c>
      <c r="K8">
        <v>4.2617723659650497E-2</v>
      </c>
      <c r="L8">
        <v>0.17749999999999999</v>
      </c>
      <c r="M8" s="61">
        <v>4.28E-3</v>
      </c>
      <c r="O8">
        <f t="shared" si="0"/>
        <v>15.074309978768577</v>
      </c>
      <c r="P8">
        <f t="shared" si="1"/>
        <v>84.925690021231418</v>
      </c>
    </row>
    <row r="9" spans="1:19" x14ac:dyDescent="0.25">
      <c r="A9" t="s">
        <v>710</v>
      </c>
      <c r="B9" s="67" t="s">
        <v>758</v>
      </c>
      <c r="C9" t="s">
        <v>725</v>
      </c>
      <c r="D9" s="66">
        <v>96</v>
      </c>
      <c r="E9" t="s">
        <v>726</v>
      </c>
      <c r="F9" t="s">
        <v>713</v>
      </c>
      <c r="G9" t="s">
        <v>714</v>
      </c>
      <c r="H9">
        <v>27.703325748816599</v>
      </c>
      <c r="I9">
        <v>5.6169330357290999E-2</v>
      </c>
      <c r="J9">
        <v>23.674677656811699</v>
      </c>
      <c r="K9">
        <v>1.26182603544605E-2</v>
      </c>
      <c r="L9">
        <v>0.12939999999999999</v>
      </c>
      <c r="M9" s="61">
        <v>4.4200000000000003E-3</v>
      </c>
      <c r="O9">
        <f t="shared" si="0"/>
        <v>11.457411014698069</v>
      </c>
      <c r="P9">
        <f t="shared" si="1"/>
        <v>88.542588985301933</v>
      </c>
      <c r="Q9">
        <f>AVERAGE(O9:O11)</f>
        <v>11.80702707206035</v>
      </c>
      <c r="R9">
        <f>AVERAGE(P9:P11)</f>
        <v>88.19297292793965</v>
      </c>
      <c r="S9">
        <f>STDEV(O9:O11)</f>
        <v>2.384362015772894</v>
      </c>
    </row>
    <row r="10" spans="1:19" x14ac:dyDescent="0.25">
      <c r="A10" t="s">
        <v>710</v>
      </c>
      <c r="B10" s="67"/>
      <c r="C10" t="s">
        <v>727</v>
      </c>
      <c r="D10" s="66"/>
      <c r="E10" t="s">
        <v>728</v>
      </c>
      <c r="F10" t="s">
        <v>713</v>
      </c>
      <c r="G10" t="s">
        <v>714</v>
      </c>
      <c r="H10">
        <v>26.3130593295502</v>
      </c>
      <c r="I10">
        <v>2.2131261454373601E-2</v>
      </c>
      <c r="J10">
        <v>22.724335550754301</v>
      </c>
      <c r="K10">
        <v>5.0883329006188902E-2</v>
      </c>
      <c r="L10">
        <v>0.16750000000000001</v>
      </c>
      <c r="M10" s="61">
        <v>5.5300000000000002E-3</v>
      </c>
      <c r="O10">
        <f t="shared" si="0"/>
        <v>14.346895074946467</v>
      </c>
      <c r="P10">
        <f t="shared" si="1"/>
        <v>85.653104925053526</v>
      </c>
    </row>
    <row r="11" spans="1:19" x14ac:dyDescent="0.25">
      <c r="A11" t="s">
        <v>710</v>
      </c>
      <c r="B11" s="67"/>
      <c r="C11" t="s">
        <v>729</v>
      </c>
      <c r="D11" s="66"/>
      <c r="E11" t="s">
        <v>730</v>
      </c>
      <c r="F11" t="s">
        <v>713</v>
      </c>
      <c r="G11" t="s">
        <v>714</v>
      </c>
      <c r="H11">
        <v>27.677131399462699</v>
      </c>
      <c r="I11">
        <v>1.9089605132442001E-2</v>
      </c>
      <c r="J11">
        <v>23.348844131779401</v>
      </c>
      <c r="K11">
        <v>0.10476406688711799</v>
      </c>
      <c r="L11">
        <v>0.10639999999999999</v>
      </c>
      <c r="M11" s="61">
        <v>6.4099999999999999E-3</v>
      </c>
      <c r="O11">
        <f t="shared" si="0"/>
        <v>9.6167751265365133</v>
      </c>
      <c r="P11">
        <f t="shared" si="1"/>
        <v>90.38322487346349</v>
      </c>
    </row>
    <row r="12" spans="1:19" x14ac:dyDescent="0.25">
      <c r="A12" t="s">
        <v>710</v>
      </c>
      <c r="B12" s="67" t="s">
        <v>759</v>
      </c>
      <c r="C12" t="s">
        <v>731</v>
      </c>
      <c r="D12" s="66">
        <v>336</v>
      </c>
      <c r="E12" t="s">
        <v>738</v>
      </c>
      <c r="F12" t="s">
        <v>713</v>
      </c>
      <c r="G12" t="s">
        <v>714</v>
      </c>
      <c r="H12">
        <v>27.424403557180302</v>
      </c>
      <c r="I12">
        <v>0.170583352572407</v>
      </c>
      <c r="J12">
        <v>24.949357800925402</v>
      </c>
      <c r="K12">
        <v>7.4413477257742194E-2</v>
      </c>
      <c r="L12">
        <v>0.35449999999999998</v>
      </c>
      <c r="M12" s="61">
        <v>4.7100000000000003E-2</v>
      </c>
      <c r="O12">
        <f t="shared" si="0"/>
        <v>26.172019195275006</v>
      </c>
      <c r="P12">
        <f t="shared" si="1"/>
        <v>73.827980804725001</v>
      </c>
      <c r="Q12">
        <f>AVERAGE(O12:O14)</f>
        <v>17.568398992865507</v>
      </c>
      <c r="R12">
        <f>AVERAGE(P12:P14)</f>
        <v>82.431601007134489</v>
      </c>
      <c r="S12">
        <f>STDEV(O12:O14)</f>
        <v>7.7477476731659971</v>
      </c>
    </row>
    <row r="13" spans="1:19" x14ac:dyDescent="0.25">
      <c r="A13" t="s">
        <v>710</v>
      </c>
      <c r="B13" s="67"/>
      <c r="C13" t="s">
        <v>733</v>
      </c>
      <c r="D13" s="66"/>
      <c r="E13" t="s">
        <v>740</v>
      </c>
      <c r="F13" t="s">
        <v>713</v>
      </c>
      <c r="G13" t="s">
        <v>714</v>
      </c>
      <c r="H13">
        <v>27.6388361528481</v>
      </c>
      <c r="I13">
        <v>0.18912768305561301</v>
      </c>
      <c r="J13">
        <v>24.1344289555974</v>
      </c>
      <c r="K13">
        <v>0.41566305911727103</v>
      </c>
      <c r="L13">
        <v>0.18190000000000001</v>
      </c>
      <c r="M13" s="61">
        <v>5.28E-2</v>
      </c>
      <c r="O13">
        <f t="shared" si="0"/>
        <v>15.390472967256114</v>
      </c>
      <c r="P13">
        <f t="shared" si="1"/>
        <v>84.609527032743884</v>
      </c>
    </row>
    <row r="14" spans="1:19" x14ac:dyDescent="0.25">
      <c r="A14" t="s">
        <v>710</v>
      </c>
      <c r="B14" s="67"/>
      <c r="C14" t="s">
        <v>760</v>
      </c>
      <c r="D14" s="66"/>
      <c r="E14" t="s">
        <v>742</v>
      </c>
      <c r="F14" t="s">
        <v>713</v>
      </c>
      <c r="G14" t="s">
        <v>714</v>
      </c>
      <c r="H14">
        <v>28.099435084648601</v>
      </c>
      <c r="I14">
        <v>0.19405730386714701</v>
      </c>
      <c r="J14">
        <v>24.009501000346201</v>
      </c>
      <c r="K14">
        <v>4.3063788844869402E-2</v>
      </c>
      <c r="L14">
        <v>0.12540000000000001</v>
      </c>
      <c r="O14">
        <f t="shared" si="0"/>
        <v>11.1427048160654</v>
      </c>
      <c r="P14">
        <f t="shared" si="1"/>
        <v>88.857295183934596</v>
      </c>
    </row>
    <row r="15" spans="1:19" x14ac:dyDescent="0.25">
      <c r="A15" t="s">
        <v>710</v>
      </c>
      <c r="B15" s="67" t="s">
        <v>761</v>
      </c>
      <c r="C15" t="s">
        <v>737</v>
      </c>
      <c r="D15" s="66">
        <v>432</v>
      </c>
      <c r="E15" t="s">
        <v>762</v>
      </c>
      <c r="F15" t="s">
        <v>713</v>
      </c>
      <c r="G15" t="s">
        <v>714</v>
      </c>
      <c r="H15">
        <v>27.813204229135302</v>
      </c>
      <c r="I15">
        <v>0.16417521372628499</v>
      </c>
      <c r="J15">
        <v>25.045093084374798</v>
      </c>
      <c r="K15">
        <v>8.9751949145503301E-2</v>
      </c>
      <c r="L15">
        <v>0.29520000000000002</v>
      </c>
      <c r="O15">
        <f t="shared" si="0"/>
        <v>22.791846819024094</v>
      </c>
      <c r="P15">
        <f t="shared" si="1"/>
        <v>77.208153180975899</v>
      </c>
      <c r="Q15">
        <f>AVERAGE(O15:O17)</f>
        <v>19.725393609372379</v>
      </c>
      <c r="R15">
        <f>AVERAGE(P15:P17)</f>
        <v>80.274606390627625</v>
      </c>
      <c r="S15">
        <f t="shared" ref="S15" si="2">STDEV(O15:O17)</f>
        <v>2.8284792870369295</v>
      </c>
    </row>
    <row r="16" spans="1:19" x14ac:dyDescent="0.25">
      <c r="A16" t="s">
        <v>710</v>
      </c>
      <c r="B16" s="67"/>
      <c r="C16" t="s">
        <v>741</v>
      </c>
      <c r="D16" s="66"/>
      <c r="E16" t="s">
        <v>763</v>
      </c>
      <c r="F16" t="s">
        <v>713</v>
      </c>
      <c r="G16" t="s">
        <v>714</v>
      </c>
      <c r="H16">
        <v>27.762573301452601</v>
      </c>
      <c r="I16">
        <v>0.16482081016346101</v>
      </c>
      <c r="J16">
        <v>24.6601961462307</v>
      </c>
      <c r="K16">
        <v>6.3803971380853697E-2</v>
      </c>
      <c r="L16">
        <v>0.23710000000000001</v>
      </c>
      <c r="M16" s="61">
        <v>2.35E-2</v>
      </c>
      <c r="O16">
        <f t="shared" si="0"/>
        <v>19.165790962735429</v>
      </c>
      <c r="P16">
        <f t="shared" si="1"/>
        <v>80.834209037264571</v>
      </c>
    </row>
    <row r="17" spans="1:18" x14ac:dyDescent="0.25">
      <c r="A17" t="s">
        <v>710</v>
      </c>
      <c r="B17" s="67"/>
      <c r="C17" t="s">
        <v>739</v>
      </c>
      <c r="D17" s="66"/>
      <c r="E17" t="s">
        <v>764</v>
      </c>
      <c r="F17" t="s">
        <v>713</v>
      </c>
      <c r="G17" t="s">
        <v>714</v>
      </c>
      <c r="H17">
        <v>28.1141209433763</v>
      </c>
      <c r="I17">
        <v>0.123418235829773</v>
      </c>
      <c r="J17">
        <v>24.799673858386001</v>
      </c>
      <c r="K17">
        <v>7.7498487191661899E-2</v>
      </c>
      <c r="L17">
        <v>0.20799999999999999</v>
      </c>
      <c r="M17" s="61">
        <v>2.0899999999999998E-2</v>
      </c>
      <c r="O17">
        <f t="shared" si="0"/>
        <v>17.218543046357617</v>
      </c>
      <c r="P17">
        <f t="shared" si="1"/>
        <v>82.78145695364239</v>
      </c>
    </row>
    <row r="21" spans="1:18" x14ac:dyDescent="0.25">
      <c r="P21" t="s">
        <v>709</v>
      </c>
      <c r="Q21" t="s">
        <v>708</v>
      </c>
    </row>
    <row r="22" spans="1:18" x14ac:dyDescent="0.25">
      <c r="O22">
        <v>0</v>
      </c>
      <c r="P22" s="63">
        <v>50</v>
      </c>
      <c r="Q22" s="63">
        <v>50</v>
      </c>
      <c r="R22" s="63">
        <v>0</v>
      </c>
    </row>
    <row r="23" spans="1:18" x14ac:dyDescent="0.25">
      <c r="O23">
        <v>20</v>
      </c>
      <c r="P23" s="63">
        <v>62.22723001084924</v>
      </c>
      <c r="Q23" s="63">
        <v>37.77276998915076</v>
      </c>
      <c r="R23" s="63">
        <v>3.2543840526946015</v>
      </c>
    </row>
    <row r="24" spans="1:18" x14ac:dyDescent="0.25">
      <c r="O24">
        <v>30</v>
      </c>
      <c r="P24" s="63">
        <v>85.270184568771029</v>
      </c>
      <c r="Q24" s="63">
        <v>14.729815431228973</v>
      </c>
      <c r="R24" s="63">
        <v>4.8195186535753152</v>
      </c>
    </row>
    <row r="25" spans="1:18" x14ac:dyDescent="0.25">
      <c r="O25">
        <v>50</v>
      </c>
      <c r="P25" s="63">
        <v>88.19297292793965</v>
      </c>
      <c r="Q25" s="63">
        <v>11.80702707206035</v>
      </c>
      <c r="R25" s="63">
        <v>2.384362015772894</v>
      </c>
    </row>
    <row r="26" spans="1:18" x14ac:dyDescent="0.25">
      <c r="O26">
        <v>95</v>
      </c>
      <c r="P26" s="63">
        <v>82.431601007134489</v>
      </c>
      <c r="Q26" s="63">
        <v>17.568398992865507</v>
      </c>
      <c r="R26" s="63">
        <v>7.7477476731659971</v>
      </c>
    </row>
    <row r="27" spans="1:18" x14ac:dyDescent="0.25">
      <c r="O27">
        <v>100</v>
      </c>
      <c r="P27" s="63">
        <v>80.274606390627625</v>
      </c>
      <c r="Q27" s="63">
        <v>19.725393609372379</v>
      </c>
      <c r="R27" s="63">
        <v>2.8284792870369295</v>
      </c>
    </row>
  </sheetData>
  <mergeCells count="10">
    <mergeCell ref="B12:B14"/>
    <mergeCell ref="D12:D14"/>
    <mergeCell ref="B15:B17"/>
    <mergeCell ref="D15:D17"/>
    <mergeCell ref="B3:B5"/>
    <mergeCell ref="D3:D5"/>
    <mergeCell ref="B6:B8"/>
    <mergeCell ref="D6:D8"/>
    <mergeCell ref="B9:B11"/>
    <mergeCell ref="D9:D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16C34-48BA-4AA5-8A06-3AE0FEE15A73}">
  <dimension ref="A1:R26"/>
  <sheetViews>
    <sheetView topLeftCell="C1" workbookViewId="0">
      <selection activeCell="O12" sqref="O12:O14"/>
    </sheetView>
  </sheetViews>
  <sheetFormatPr baseColWidth="10" defaultColWidth="9.140625" defaultRowHeight="15" x14ac:dyDescent="0.25"/>
  <sheetData>
    <row r="1" spans="1:18" x14ac:dyDescent="0.25">
      <c r="A1" t="s">
        <v>765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P2" t="s">
        <v>754</v>
      </c>
      <c r="Q2" t="s">
        <v>755</v>
      </c>
    </row>
    <row r="3" spans="1:18" x14ac:dyDescent="0.25">
      <c r="A3" t="s">
        <v>710</v>
      </c>
      <c r="B3" s="66">
        <v>22</v>
      </c>
      <c r="C3" t="s">
        <v>766</v>
      </c>
      <c r="D3" t="s">
        <v>712</v>
      </c>
      <c r="E3" t="s">
        <v>713</v>
      </c>
      <c r="F3" t="s">
        <v>714</v>
      </c>
      <c r="G3">
        <v>26.015459088708099</v>
      </c>
      <c r="H3">
        <v>6.7331470052983899E-2</v>
      </c>
      <c r="I3">
        <v>22.951227675371399</v>
      </c>
      <c r="J3">
        <v>0.145910085898247</v>
      </c>
      <c r="K3">
        <v>0.19889999999999999</v>
      </c>
      <c r="N3">
        <f>(K3*100)/(K3+1)</f>
        <v>16.590207690382851</v>
      </c>
      <c r="O3">
        <f>100-N3</f>
        <v>83.409792309617146</v>
      </c>
      <c r="P3">
        <f>AVERAGE(N3:N5)</f>
        <v>21.754642670986431</v>
      </c>
      <c r="Q3">
        <f>AVERAGE(O3:O5)</f>
        <v>78.245357329013558</v>
      </c>
      <c r="R3">
        <f>STDEV(N3:N5)</f>
        <v>8.4824279950046364</v>
      </c>
    </row>
    <row r="4" spans="1:18" x14ac:dyDescent="0.25">
      <c r="A4" t="s">
        <v>710</v>
      </c>
      <c r="B4" s="66"/>
      <c r="C4" t="s">
        <v>715</v>
      </c>
      <c r="D4" t="s">
        <v>716</v>
      </c>
      <c r="E4" t="s">
        <v>713</v>
      </c>
      <c r="F4" t="s">
        <v>714</v>
      </c>
      <c r="G4">
        <v>26.686840055713901</v>
      </c>
      <c r="H4">
        <v>5.2485641800286399E-2</v>
      </c>
      <c r="I4">
        <v>23.664281940084301</v>
      </c>
      <c r="J4">
        <v>3.6543643871730501E-2</v>
      </c>
      <c r="K4">
        <v>0.20669999999999999</v>
      </c>
      <c r="L4" s="61">
        <v>4.4799999999999996E-3</v>
      </c>
      <c r="N4">
        <f>(K4*100)/(K4+1)</f>
        <v>17.129361067373825</v>
      </c>
      <c r="O4">
        <f>100-N4</f>
        <v>82.870638932626179</v>
      </c>
    </row>
    <row r="5" spans="1:18" x14ac:dyDescent="0.25">
      <c r="A5" t="s">
        <v>710</v>
      </c>
      <c r="B5" s="66"/>
      <c r="C5" t="s">
        <v>717</v>
      </c>
      <c r="D5" t="s">
        <v>718</v>
      </c>
      <c r="E5" t="s">
        <v>713</v>
      </c>
      <c r="F5" t="s">
        <v>714</v>
      </c>
      <c r="G5">
        <v>24.417178669851399</v>
      </c>
      <c r="H5">
        <v>6.4579654065445496E-2</v>
      </c>
      <c r="I5">
        <v>22.657917323641101</v>
      </c>
      <c r="J5">
        <v>8.8324414732966094E-2</v>
      </c>
      <c r="K5">
        <v>0.46079999999999999</v>
      </c>
      <c r="L5" s="61">
        <v>2.87E-2</v>
      </c>
      <c r="N5">
        <f>(K5*100)/(K5+1)</f>
        <v>31.544359255202629</v>
      </c>
      <c r="O5">
        <f>100-N5</f>
        <v>68.455640744797364</v>
      </c>
    </row>
    <row r="6" spans="1:18" x14ac:dyDescent="0.25">
      <c r="A6" t="s">
        <v>710</v>
      </c>
      <c r="B6" s="66">
        <v>72</v>
      </c>
      <c r="C6" t="s">
        <v>747</v>
      </c>
      <c r="D6" t="s">
        <v>720</v>
      </c>
      <c r="E6" t="s">
        <v>713</v>
      </c>
      <c r="F6" t="s">
        <v>714</v>
      </c>
      <c r="G6">
        <v>25.051380729399401</v>
      </c>
      <c r="H6">
        <v>0.349804080657309</v>
      </c>
      <c r="I6">
        <v>24.517348249824298</v>
      </c>
      <c r="J6">
        <v>4.3528801828569802E-2</v>
      </c>
      <c r="K6">
        <v>1.05</v>
      </c>
      <c r="L6">
        <v>0.1439</v>
      </c>
      <c r="N6">
        <f>(K6*100)/(K6+1)</f>
        <v>51.219512195121958</v>
      </c>
      <c r="O6">
        <f>100-N6</f>
        <v>48.780487804878042</v>
      </c>
      <c r="P6">
        <f>AVERAGE(N6:N8)</f>
        <v>56.689622781752185</v>
      </c>
      <c r="Q6">
        <f>AVERAGE(O6:O8)</f>
        <v>43.310377218247815</v>
      </c>
      <c r="R6">
        <f>STDEV(N6:N8)</f>
        <v>5.1061480275276736</v>
      </c>
    </row>
    <row r="7" spans="1:18" x14ac:dyDescent="0.25">
      <c r="A7" t="s">
        <v>710</v>
      </c>
      <c r="B7" s="66"/>
      <c r="C7" t="s">
        <v>721</v>
      </c>
      <c r="D7" t="s">
        <v>722</v>
      </c>
      <c r="E7" t="s">
        <v>713</v>
      </c>
      <c r="F7" t="s">
        <v>714</v>
      </c>
      <c r="G7">
        <v>25.075692574757401</v>
      </c>
      <c r="H7">
        <v>9.0350714466314902E-2</v>
      </c>
      <c r="I7">
        <v>25.162716881845402</v>
      </c>
      <c r="J7">
        <v>0.108370800527505</v>
      </c>
      <c r="K7">
        <v>1.5860000000000001</v>
      </c>
      <c r="L7">
        <v>0.1246</v>
      </c>
      <c r="N7">
        <f t="shared" ref="N7:N17" si="0">(K7*100)/(K7+1)</f>
        <v>61.330239752513528</v>
      </c>
      <c r="O7">
        <f t="shared" ref="O7:O17" si="1">100-N7</f>
        <v>38.669760247486472</v>
      </c>
    </row>
    <row r="8" spans="1:18" x14ac:dyDescent="0.25">
      <c r="A8" t="s">
        <v>710</v>
      </c>
      <c r="B8" s="66"/>
      <c r="C8" t="s">
        <v>723</v>
      </c>
      <c r="D8" t="s">
        <v>724</v>
      </c>
      <c r="E8" t="s">
        <v>713</v>
      </c>
      <c r="F8" t="s">
        <v>714</v>
      </c>
      <c r="G8">
        <v>26.477421056913101</v>
      </c>
      <c r="H8">
        <v>0.18687064510549101</v>
      </c>
      <c r="I8">
        <v>26.292213484477301</v>
      </c>
      <c r="J8">
        <v>2.6703424645943101E-2</v>
      </c>
      <c r="K8">
        <v>1.3540000000000001</v>
      </c>
      <c r="L8">
        <v>0.21609999999999999</v>
      </c>
      <c r="N8">
        <f>(K8*100)/(K8+1)</f>
        <v>57.519116397621069</v>
      </c>
      <c r="O8">
        <f>100-N8</f>
        <v>42.480883602378931</v>
      </c>
    </row>
    <row r="9" spans="1:18" x14ac:dyDescent="0.25">
      <c r="A9" t="s">
        <v>710</v>
      </c>
      <c r="B9" s="66">
        <v>168</v>
      </c>
      <c r="C9" t="s">
        <v>725</v>
      </c>
      <c r="D9" t="s">
        <v>767</v>
      </c>
      <c r="E9" t="s">
        <v>713</v>
      </c>
      <c r="F9" t="s">
        <v>714</v>
      </c>
      <c r="G9">
        <v>29.775260135825299</v>
      </c>
      <c r="H9">
        <v>0.24129596876943399</v>
      </c>
      <c r="I9">
        <v>27.255762369240699</v>
      </c>
      <c r="J9">
        <v>1.0070305603128001E-2</v>
      </c>
      <c r="K9">
        <v>0.30330000000000001</v>
      </c>
      <c r="N9" s="65">
        <f>(K9*100)/(K9+1)</f>
        <v>23.271694928259034</v>
      </c>
      <c r="O9" s="65">
        <f>100-N9</f>
        <v>76.728305071740962</v>
      </c>
      <c r="P9">
        <f>AVERAGE(N10:N11)</f>
        <v>63.563449626766904</v>
      </c>
      <c r="Q9">
        <f>AVERAGE(O10:O11)</f>
        <v>36.436550373233096</v>
      </c>
      <c r="R9">
        <f>STDEV(N10:N11)</f>
        <v>2.8637656181254219</v>
      </c>
    </row>
    <row r="10" spans="1:18" x14ac:dyDescent="0.25">
      <c r="A10" t="s">
        <v>710</v>
      </c>
      <c r="B10" s="66"/>
      <c r="C10" t="s">
        <v>727</v>
      </c>
      <c r="D10" t="s">
        <v>768</v>
      </c>
      <c r="E10" t="s">
        <v>713</v>
      </c>
      <c r="F10" t="s">
        <v>714</v>
      </c>
      <c r="G10">
        <v>26.608555665848499</v>
      </c>
      <c r="H10">
        <v>0.13524119184278299</v>
      </c>
      <c r="I10">
        <v>26.671831933464102</v>
      </c>
      <c r="J10">
        <v>7.2060654979282698E-2</v>
      </c>
      <c r="K10">
        <v>1.6</v>
      </c>
      <c r="L10">
        <v>0.1915</v>
      </c>
      <c r="N10">
        <f>(K10*100)/(K10+1)</f>
        <v>61.538461538461533</v>
      </c>
      <c r="O10">
        <f>100-N10</f>
        <v>38.461538461538467</v>
      </c>
    </row>
    <row r="11" spans="1:18" x14ac:dyDescent="0.25">
      <c r="A11" t="s">
        <v>710</v>
      </c>
      <c r="B11" s="66"/>
      <c r="C11" t="s">
        <v>729</v>
      </c>
      <c r="D11" t="s">
        <v>769</v>
      </c>
      <c r="E11" t="s">
        <v>713</v>
      </c>
      <c r="F11" t="s">
        <v>714</v>
      </c>
      <c r="G11">
        <v>26.520329973499202</v>
      </c>
      <c r="H11">
        <v>3.9471501849701301E-2</v>
      </c>
      <c r="I11">
        <v>26.849237169090401</v>
      </c>
      <c r="J11">
        <v>8.5807916239544604E-2</v>
      </c>
      <c r="K11">
        <v>1.9059999999999999</v>
      </c>
      <c r="L11">
        <v>0.10829999999999999</v>
      </c>
      <c r="N11">
        <f>(K11*100)/(K11+1)</f>
        <v>65.588437715072274</v>
      </c>
      <c r="O11">
        <f>100-N11</f>
        <v>34.411562284927726</v>
      </c>
    </row>
    <row r="12" spans="1:18" x14ac:dyDescent="0.25">
      <c r="A12" t="s">
        <v>710</v>
      </c>
      <c r="B12" s="66">
        <v>384</v>
      </c>
      <c r="C12" t="s">
        <v>731</v>
      </c>
      <c r="D12" t="s">
        <v>770</v>
      </c>
      <c r="E12" t="s">
        <v>713</v>
      </c>
      <c r="F12" t="s">
        <v>714</v>
      </c>
      <c r="G12">
        <v>27.230357191914798</v>
      </c>
      <c r="H12">
        <v>0.26993266661145898</v>
      </c>
      <c r="I12">
        <v>25.581829270340599</v>
      </c>
      <c r="J12">
        <v>5.9505102827219603E-2</v>
      </c>
      <c r="K12">
        <v>0.51890000000000003</v>
      </c>
      <c r="L12" s="61">
        <v>7.3300000000000004E-2</v>
      </c>
      <c r="N12">
        <f>(K12*100)/(K12+1)</f>
        <v>34.162881032326027</v>
      </c>
      <c r="O12">
        <f>100-N12</f>
        <v>65.837118967673973</v>
      </c>
      <c r="P12">
        <f>AVERAGE(N12:N14)</f>
        <v>38.536282679562348</v>
      </c>
      <c r="Q12">
        <f>AVERAGE(O12:O14)</f>
        <v>61.463717320437659</v>
      </c>
      <c r="R12">
        <f>STDEV(N12:N14)</f>
        <v>4.1930783350695622</v>
      </c>
    </row>
    <row r="13" spans="1:18" x14ac:dyDescent="0.25">
      <c r="A13" t="s">
        <v>710</v>
      </c>
      <c r="B13" s="66"/>
      <c r="C13" t="s">
        <v>733</v>
      </c>
      <c r="D13" t="s">
        <v>771</v>
      </c>
      <c r="E13" t="s">
        <v>713</v>
      </c>
      <c r="F13" t="s">
        <v>714</v>
      </c>
      <c r="G13">
        <v>27.021348668850699</v>
      </c>
      <c r="H13">
        <v>0.180960336784149</v>
      </c>
      <c r="I13">
        <v>25.9121029749315</v>
      </c>
      <c r="J13">
        <v>0.39715622662970201</v>
      </c>
      <c r="K13">
        <v>0.73980000000000001</v>
      </c>
      <c r="L13">
        <v>0.22450000000000001</v>
      </c>
      <c r="N13">
        <f t="shared" si="0"/>
        <v>42.522128980342572</v>
      </c>
      <c r="O13">
        <f t="shared" si="1"/>
        <v>57.477871019657428</v>
      </c>
    </row>
    <row r="14" spans="1:18" x14ac:dyDescent="0.25">
      <c r="A14" t="s">
        <v>710</v>
      </c>
      <c r="B14" s="66"/>
      <c r="C14" t="s">
        <v>735</v>
      </c>
      <c r="D14" t="s">
        <v>772</v>
      </c>
      <c r="E14" t="s">
        <v>713</v>
      </c>
      <c r="F14" t="s">
        <v>714</v>
      </c>
      <c r="G14">
        <v>27.265574317388602</v>
      </c>
      <c r="H14">
        <v>0.26276978133307299</v>
      </c>
      <c r="I14">
        <v>25.925698703303599</v>
      </c>
      <c r="J14">
        <v>6.8866206561310706E-2</v>
      </c>
      <c r="K14">
        <v>0.63729999999999998</v>
      </c>
      <c r="L14">
        <v>0.14169999999999999</v>
      </c>
      <c r="N14">
        <f>(K14*100)/(K14+1)</f>
        <v>38.923838026018444</v>
      </c>
      <c r="O14">
        <f>100-N14</f>
        <v>61.076161973981556</v>
      </c>
    </row>
    <row r="15" spans="1:18" x14ac:dyDescent="0.25">
      <c r="A15" t="s">
        <v>710</v>
      </c>
      <c r="B15" s="66">
        <v>504</v>
      </c>
      <c r="C15" t="s">
        <v>737</v>
      </c>
      <c r="D15" t="s">
        <v>773</v>
      </c>
      <c r="E15" t="s">
        <v>713</v>
      </c>
      <c r="F15" t="s">
        <v>714</v>
      </c>
      <c r="G15">
        <v>26.888637717143499</v>
      </c>
      <c r="H15">
        <v>0.121723098012156</v>
      </c>
      <c r="I15">
        <v>25.278718134783301</v>
      </c>
      <c r="J15">
        <v>3.8712193954273298E-2</v>
      </c>
      <c r="K15">
        <v>0.52949999999999997</v>
      </c>
      <c r="L15" s="61">
        <v>4.9399999999999999E-2</v>
      </c>
      <c r="N15">
        <f>(K15*100)/(K15+1)</f>
        <v>34.619156587119967</v>
      </c>
      <c r="O15">
        <f>100-N15</f>
        <v>65.38084341288004</v>
      </c>
      <c r="P15">
        <f>AVERAGE(N15:N17)</f>
        <v>36.180580161246148</v>
      </c>
      <c r="Q15">
        <f>AVERAGE(O15:O17)</f>
        <v>63.819419838753845</v>
      </c>
      <c r="R15">
        <f t="shared" ref="R15" si="2">STDEV(N15:N17)</f>
        <v>1.3734382461114394</v>
      </c>
    </row>
    <row r="16" spans="1:18" x14ac:dyDescent="0.25">
      <c r="A16" t="s">
        <v>710</v>
      </c>
      <c r="B16" s="66"/>
      <c r="C16" t="s">
        <v>739</v>
      </c>
      <c r="D16" t="s">
        <v>774</v>
      </c>
      <c r="E16" t="s">
        <v>713</v>
      </c>
      <c r="F16" t="s">
        <v>714</v>
      </c>
      <c r="G16">
        <v>27.717307591777701</v>
      </c>
      <c r="H16">
        <v>0.10786483066970699</v>
      </c>
      <c r="I16">
        <v>26.2252989622299</v>
      </c>
      <c r="J16">
        <v>0.54296248894256205</v>
      </c>
      <c r="K16">
        <v>0.58030000000000004</v>
      </c>
      <c r="L16">
        <v>0.22670000000000001</v>
      </c>
      <c r="N16">
        <f>(K16*100)/(K16+1)</f>
        <v>36.720875783079165</v>
      </c>
      <c r="O16">
        <f>100-N16</f>
        <v>63.279124216920835</v>
      </c>
    </row>
    <row r="17" spans="1:17" x14ac:dyDescent="0.25">
      <c r="A17" t="s">
        <v>710</v>
      </c>
      <c r="B17" s="66"/>
      <c r="C17" t="s">
        <v>741</v>
      </c>
      <c r="D17" t="s">
        <v>775</v>
      </c>
      <c r="E17" t="s">
        <v>713</v>
      </c>
      <c r="F17" t="s">
        <v>714</v>
      </c>
      <c r="G17">
        <v>27.166621111401401</v>
      </c>
      <c r="H17">
        <v>0.34104718354134</v>
      </c>
      <c r="I17">
        <v>25.7191363563661</v>
      </c>
      <c r="J17">
        <v>9.5197615524244703E-2</v>
      </c>
      <c r="K17">
        <v>0.59240000000000004</v>
      </c>
      <c r="L17" s="61">
        <v>9.6000000000000002E-2</v>
      </c>
      <c r="N17">
        <f t="shared" si="0"/>
        <v>37.201708113539311</v>
      </c>
      <c r="O17">
        <f t="shared" si="1"/>
        <v>62.798291886460689</v>
      </c>
    </row>
    <row r="20" spans="1:17" x14ac:dyDescent="0.25">
      <c r="O20" t="s">
        <v>709</v>
      </c>
      <c r="P20" t="s">
        <v>708</v>
      </c>
    </row>
    <row r="21" spans="1:17" x14ac:dyDescent="0.25">
      <c r="N21">
        <v>0</v>
      </c>
      <c r="O21" s="63">
        <v>50</v>
      </c>
      <c r="P21" s="63">
        <v>50</v>
      </c>
      <c r="Q21" s="63">
        <v>0</v>
      </c>
    </row>
    <row r="22" spans="1:17" x14ac:dyDescent="0.25">
      <c r="N22">
        <v>20</v>
      </c>
      <c r="O22" s="63">
        <v>78.245357329013558</v>
      </c>
      <c r="P22" s="63">
        <v>21.754642670986431</v>
      </c>
      <c r="Q22" s="63">
        <v>8.4824279950046364</v>
      </c>
    </row>
    <row r="23" spans="1:17" x14ac:dyDescent="0.25">
      <c r="N23">
        <v>30</v>
      </c>
      <c r="O23" s="63">
        <v>43.310377218247815</v>
      </c>
      <c r="P23" s="63">
        <v>56.689622781752185</v>
      </c>
      <c r="Q23" s="63">
        <v>5.1061480275276736</v>
      </c>
    </row>
    <row r="24" spans="1:17" x14ac:dyDescent="0.25">
      <c r="N24">
        <v>50</v>
      </c>
      <c r="O24" s="63">
        <v>63.563449626766904</v>
      </c>
      <c r="P24" s="63">
        <v>36.436550373233096</v>
      </c>
      <c r="Q24" s="63">
        <v>2.8637656181254219</v>
      </c>
    </row>
    <row r="25" spans="1:17" x14ac:dyDescent="0.25">
      <c r="N25">
        <v>95</v>
      </c>
      <c r="O25" s="63">
        <v>61.463717320437659</v>
      </c>
      <c r="P25" s="63">
        <v>38.536282679562348</v>
      </c>
      <c r="Q25" s="63">
        <v>4.1930783350695622</v>
      </c>
    </row>
    <row r="26" spans="1:17" x14ac:dyDescent="0.25">
      <c r="N26">
        <v>100</v>
      </c>
      <c r="O26" s="63">
        <v>63.819419838753845</v>
      </c>
      <c r="P26" s="63">
        <v>36.180580161246148</v>
      </c>
      <c r="Q26" s="63">
        <v>1.3734382461114394</v>
      </c>
    </row>
  </sheetData>
  <mergeCells count="5">
    <mergeCell ref="B3:B5"/>
    <mergeCell ref="B6:B8"/>
    <mergeCell ref="B9:B11"/>
    <mergeCell ref="B12:B14"/>
    <mergeCell ref="B15:B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929F-F187-4C75-9C2D-B6DC7640F5F4}">
  <dimension ref="A1:Q27"/>
  <sheetViews>
    <sheetView workbookViewId="0">
      <selection activeCell="N14" sqref="N14:N16"/>
    </sheetView>
  </sheetViews>
  <sheetFormatPr baseColWidth="10" defaultColWidth="9.140625" defaultRowHeight="15" x14ac:dyDescent="0.25"/>
  <cols>
    <col min="12" max="12" width="14.7109375" customWidth="1"/>
  </cols>
  <sheetData>
    <row r="1" spans="1:17" x14ac:dyDescent="0.25">
      <c r="A1" t="s">
        <v>776</v>
      </c>
    </row>
    <row r="2" spans="1:17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M2" t="s">
        <v>752</v>
      </c>
      <c r="N2" t="s">
        <v>753</v>
      </c>
      <c r="O2" t="s">
        <v>777</v>
      </c>
      <c r="P2" t="s">
        <v>778</v>
      </c>
      <c r="Q2" t="s">
        <v>779</v>
      </c>
    </row>
    <row r="3" spans="1:17" x14ac:dyDescent="0.25">
      <c r="A3" t="s">
        <v>710</v>
      </c>
      <c r="B3" s="67" t="s">
        <v>756</v>
      </c>
      <c r="C3" t="s">
        <v>715</v>
      </c>
      <c r="D3" t="s">
        <v>716</v>
      </c>
      <c r="E3" t="s">
        <v>713</v>
      </c>
      <c r="F3" t="s">
        <v>714</v>
      </c>
      <c r="G3">
        <v>24.426979694749701</v>
      </c>
      <c r="H3">
        <v>8.7098391168165895E-2</v>
      </c>
      <c r="I3">
        <v>23.8297766463646</v>
      </c>
      <c r="J3">
        <v>4.5725913326868199E-2</v>
      </c>
      <c r="K3">
        <v>0.82210000000000005</v>
      </c>
      <c r="L3" s="61">
        <v>3.4000000000000002E-2</v>
      </c>
      <c r="M3">
        <f t="shared" ref="M3:M16" si="0">(K3*100)/(K3+1)</f>
        <v>45.118270127874432</v>
      </c>
      <c r="N3">
        <f>100-M3</f>
        <v>54.881729872125568</v>
      </c>
      <c r="O3">
        <f>AVERAGE(M3:M4)</f>
        <v>48.192663329044429</v>
      </c>
      <c r="P3">
        <f>AVERAGE(N3:N4)</f>
        <v>51.807336670955571</v>
      </c>
      <c r="Q3">
        <f>STDEV(M3:M4)</f>
        <v>4.3478485611622446</v>
      </c>
    </row>
    <row r="4" spans="1:17" x14ac:dyDescent="0.25">
      <c r="A4" t="s">
        <v>710</v>
      </c>
      <c r="B4" s="67"/>
      <c r="C4" t="s">
        <v>780</v>
      </c>
      <c r="D4" t="s">
        <v>718</v>
      </c>
      <c r="E4" t="s">
        <v>713</v>
      </c>
      <c r="F4" t="s">
        <v>714</v>
      </c>
      <c r="G4">
        <v>23.5553111455493</v>
      </c>
      <c r="H4">
        <v>1.02154832271596E-3</v>
      </c>
      <c r="I4">
        <v>23.338881793085601</v>
      </c>
      <c r="J4">
        <v>0.45970350586618602</v>
      </c>
      <c r="K4">
        <v>1.052</v>
      </c>
      <c r="M4">
        <f t="shared" si="0"/>
        <v>51.267056530214425</v>
      </c>
      <c r="N4">
        <f t="shared" ref="N4:N16" si="1">100-M4</f>
        <v>48.732943469785575</v>
      </c>
    </row>
    <row r="5" spans="1:17" x14ac:dyDescent="0.25">
      <c r="A5" t="s">
        <v>710</v>
      </c>
      <c r="B5" s="67" t="s">
        <v>781</v>
      </c>
      <c r="C5" t="s">
        <v>747</v>
      </c>
      <c r="D5" t="s">
        <v>720</v>
      </c>
      <c r="E5" t="s">
        <v>713</v>
      </c>
      <c r="F5" t="s">
        <v>714</v>
      </c>
      <c r="G5">
        <v>21.432901528979801</v>
      </c>
      <c r="H5">
        <v>0.12186600089329699</v>
      </c>
      <c r="I5">
        <v>21.824914841084698</v>
      </c>
      <c r="J5">
        <v>0.103494751148224</v>
      </c>
      <c r="K5">
        <v>1.55</v>
      </c>
      <c r="L5">
        <v>0.18840000000000001</v>
      </c>
      <c r="M5">
        <f t="shared" si="0"/>
        <v>60.7843137254902</v>
      </c>
      <c r="N5">
        <f t="shared" si="1"/>
        <v>39.2156862745098</v>
      </c>
      <c r="O5">
        <f>AVERAGE(M5:M7)</f>
        <v>64.830968353290999</v>
      </c>
      <c r="P5">
        <f>AVERAGE(N5:N7)</f>
        <v>35.169031646709008</v>
      </c>
      <c r="Q5">
        <f>STDEV(M5:M7)</f>
        <v>6.1840731197665972</v>
      </c>
    </row>
    <row r="6" spans="1:17" x14ac:dyDescent="0.25">
      <c r="A6" t="s">
        <v>710</v>
      </c>
      <c r="B6" s="67"/>
      <c r="C6" t="s">
        <v>721</v>
      </c>
      <c r="D6" t="s">
        <v>722</v>
      </c>
      <c r="E6" t="s">
        <v>713</v>
      </c>
      <c r="F6" t="s">
        <v>714</v>
      </c>
      <c r="G6">
        <v>21.782245567842399</v>
      </c>
      <c r="H6">
        <v>1.70801097221032E-2</v>
      </c>
      <c r="I6">
        <v>22.9267789559531</v>
      </c>
      <c r="J6">
        <v>8.0401203293290702E-2</v>
      </c>
      <c r="K6">
        <v>2.5649999999999999</v>
      </c>
      <c r="L6">
        <v>0.1258</v>
      </c>
      <c r="M6">
        <f t="shared" si="0"/>
        <v>71.949509116409544</v>
      </c>
      <c r="N6">
        <f t="shared" si="1"/>
        <v>28.050490883590456</v>
      </c>
    </row>
    <row r="7" spans="1:17" x14ac:dyDescent="0.25">
      <c r="A7" t="s">
        <v>710</v>
      </c>
      <c r="B7" s="67"/>
      <c r="C7" t="s">
        <v>723</v>
      </c>
      <c r="D7" t="s">
        <v>724</v>
      </c>
      <c r="E7" t="s">
        <v>713</v>
      </c>
      <c r="F7" t="s">
        <v>714</v>
      </c>
      <c r="G7">
        <v>22.126279325748101</v>
      </c>
      <c r="H7">
        <v>4.4180596601859898E-2</v>
      </c>
      <c r="I7">
        <v>22.5718739843647</v>
      </c>
      <c r="J7">
        <v>8.6013472723119003E-2</v>
      </c>
      <c r="K7">
        <v>1.615</v>
      </c>
      <c r="L7" s="61">
        <v>9.9500000000000005E-2</v>
      </c>
      <c r="M7">
        <f t="shared" si="0"/>
        <v>61.759082217973223</v>
      </c>
      <c r="N7">
        <f t="shared" si="1"/>
        <v>38.240917782026777</v>
      </c>
    </row>
    <row r="8" spans="1:17" x14ac:dyDescent="0.25">
      <c r="A8" t="s">
        <v>710</v>
      </c>
      <c r="B8" s="67" t="s">
        <v>782</v>
      </c>
      <c r="C8" t="s">
        <v>725</v>
      </c>
      <c r="D8" t="s">
        <v>726</v>
      </c>
      <c r="E8" t="s">
        <v>713</v>
      </c>
      <c r="F8" t="s">
        <v>714</v>
      </c>
      <c r="G8">
        <v>23.0844106861813</v>
      </c>
      <c r="H8">
        <v>5.1717930009678899E-2</v>
      </c>
      <c r="I8">
        <v>25.591313406318701</v>
      </c>
      <c r="J8">
        <v>4.0174396137334797E-2</v>
      </c>
      <c r="K8">
        <v>6.4210000000000003</v>
      </c>
      <c r="L8">
        <v>0.23669999999999999</v>
      </c>
      <c r="M8">
        <f t="shared" si="0"/>
        <v>86.524727125724297</v>
      </c>
      <c r="N8">
        <f t="shared" si="1"/>
        <v>13.475272874275703</v>
      </c>
      <c r="O8">
        <f>AVERAGE(M8:M10)</f>
        <v>80.01420505080948</v>
      </c>
      <c r="P8">
        <f>AVERAGE(N8:N10)</f>
        <v>19.98579494919052</v>
      </c>
      <c r="Q8">
        <f>STDEV(N8:N10)</f>
        <v>7.7033684584868443</v>
      </c>
    </row>
    <row r="9" spans="1:17" x14ac:dyDescent="0.25">
      <c r="A9" t="s">
        <v>710</v>
      </c>
      <c r="B9" s="67"/>
      <c r="C9" t="s">
        <v>727</v>
      </c>
      <c r="D9" t="s">
        <v>728</v>
      </c>
      <c r="E9" t="s">
        <v>713</v>
      </c>
      <c r="F9" t="s">
        <v>714</v>
      </c>
      <c r="G9">
        <v>23.1203185861633</v>
      </c>
      <c r="H9">
        <v>0.15382672387384</v>
      </c>
      <c r="I9">
        <v>25.1119486608406</v>
      </c>
      <c r="J9">
        <v>8.8858040050732501E-2</v>
      </c>
      <c r="K9">
        <v>4.5579999999999998</v>
      </c>
      <c r="M9">
        <f t="shared" si="0"/>
        <v>82.007916516732635</v>
      </c>
      <c r="N9">
        <f t="shared" si="1"/>
        <v>17.992083483267365</v>
      </c>
    </row>
    <row r="10" spans="1:17" x14ac:dyDescent="0.25">
      <c r="A10" t="s">
        <v>710</v>
      </c>
      <c r="B10" s="67"/>
      <c r="C10" t="s">
        <v>729</v>
      </c>
      <c r="D10" t="s">
        <v>730</v>
      </c>
      <c r="E10" t="s">
        <v>713</v>
      </c>
      <c r="F10" t="s">
        <v>714</v>
      </c>
      <c r="G10">
        <v>23.5732002580481</v>
      </c>
      <c r="H10">
        <v>1.9672286449092299E-2</v>
      </c>
      <c r="I10">
        <v>24.663297838562301</v>
      </c>
      <c r="J10">
        <v>4.6565790055750497E-2</v>
      </c>
      <c r="K10">
        <v>2.5099999999999998</v>
      </c>
      <c r="L10" s="61">
        <v>7.4099999999999999E-2</v>
      </c>
      <c r="M10">
        <f t="shared" si="0"/>
        <v>71.509971509971507</v>
      </c>
      <c r="N10">
        <f t="shared" si="1"/>
        <v>28.490028490028493</v>
      </c>
    </row>
    <row r="11" spans="1:17" x14ac:dyDescent="0.25">
      <c r="A11" t="s">
        <v>710</v>
      </c>
      <c r="B11" s="67" t="s">
        <v>783</v>
      </c>
      <c r="C11" t="s">
        <v>731</v>
      </c>
      <c r="D11" t="s">
        <v>732</v>
      </c>
      <c r="E11" t="s">
        <v>713</v>
      </c>
      <c r="F11" t="s">
        <v>714</v>
      </c>
      <c r="G11">
        <v>23.6814555364444</v>
      </c>
      <c r="H11">
        <v>2.5519027595696199E-3</v>
      </c>
      <c r="I11">
        <v>23.4865760000976</v>
      </c>
      <c r="J11">
        <v>2.29178588501096E-2</v>
      </c>
      <c r="K11">
        <v>1.0680000000000001</v>
      </c>
      <c r="M11">
        <f t="shared" si="0"/>
        <v>51.644100580270795</v>
      </c>
      <c r="N11">
        <f t="shared" si="1"/>
        <v>48.355899419729205</v>
      </c>
      <c r="O11">
        <f>AVERAGE(M11:M13)</f>
        <v>55.686912927503876</v>
      </c>
      <c r="P11">
        <f>AVERAGE(N11:N13)</f>
        <v>44.313087072496124</v>
      </c>
      <c r="Q11">
        <f>STDEV(M11:M13)</f>
        <v>6.3370647515889198</v>
      </c>
    </row>
    <row r="12" spans="1:17" x14ac:dyDescent="0.25">
      <c r="A12" t="s">
        <v>710</v>
      </c>
      <c r="B12" s="67"/>
      <c r="C12" t="s">
        <v>733</v>
      </c>
      <c r="D12" t="s">
        <v>734</v>
      </c>
      <c r="E12" t="s">
        <v>713</v>
      </c>
      <c r="F12" t="s">
        <v>714</v>
      </c>
      <c r="G12">
        <v>23.8489102058365</v>
      </c>
      <c r="H12">
        <v>5.6824854717984402E-2</v>
      </c>
      <c r="I12">
        <v>24.351909458733498</v>
      </c>
      <c r="J12">
        <v>8.0197932192695304E-2</v>
      </c>
      <c r="K12">
        <v>1.702</v>
      </c>
      <c r="L12">
        <v>0.1153</v>
      </c>
      <c r="M12">
        <f t="shared" si="0"/>
        <v>62.990377498149513</v>
      </c>
      <c r="N12">
        <f t="shared" si="1"/>
        <v>37.009622501850487</v>
      </c>
    </row>
    <row r="13" spans="1:17" x14ac:dyDescent="0.25">
      <c r="A13" t="s">
        <v>710</v>
      </c>
      <c r="B13" s="67"/>
      <c r="C13" t="s">
        <v>735</v>
      </c>
      <c r="D13" t="s">
        <v>736</v>
      </c>
      <c r="E13" t="s">
        <v>713</v>
      </c>
      <c r="F13" t="s">
        <v>714</v>
      </c>
      <c r="G13">
        <v>24.734856233756599</v>
      </c>
      <c r="H13">
        <v>0.13360109298335299</v>
      </c>
      <c r="I13">
        <v>24.574588548535399</v>
      </c>
      <c r="J13">
        <v>4.9008232503706999E-2</v>
      </c>
      <c r="K13">
        <v>1.1020000000000001</v>
      </c>
      <c r="L13" s="61">
        <v>5.7200000000000001E-2</v>
      </c>
      <c r="M13">
        <f t="shared" si="0"/>
        <v>52.426260704091334</v>
      </c>
      <c r="N13">
        <f t="shared" si="1"/>
        <v>47.573739295908666</v>
      </c>
    </row>
    <row r="14" spans="1:17" x14ac:dyDescent="0.25">
      <c r="A14" t="s">
        <v>710</v>
      </c>
      <c r="B14" s="67" t="s">
        <v>784</v>
      </c>
      <c r="C14" t="s">
        <v>737</v>
      </c>
      <c r="D14" t="s">
        <v>738</v>
      </c>
      <c r="E14" t="s">
        <v>713</v>
      </c>
      <c r="F14" t="s">
        <v>714</v>
      </c>
      <c r="G14">
        <v>25.252364599739099</v>
      </c>
      <c r="H14">
        <v>0.123901302041966</v>
      </c>
      <c r="I14">
        <v>24.271922996808801</v>
      </c>
      <c r="J14">
        <v>6.7110994925290199E-2</v>
      </c>
      <c r="K14">
        <v>0.64129999999999998</v>
      </c>
      <c r="L14" s="61">
        <v>7.22E-2</v>
      </c>
      <c r="M14">
        <f t="shared" si="0"/>
        <v>39.072686285261682</v>
      </c>
      <c r="N14">
        <f t="shared" si="1"/>
        <v>60.927313714738318</v>
      </c>
      <c r="O14">
        <f>AVERAGE(M14:M16)</f>
        <v>41.399086560916466</v>
      </c>
      <c r="P14">
        <f>AVERAGE(N14:N16)</f>
        <v>58.600913439083534</v>
      </c>
      <c r="Q14">
        <f>STDEV(M14:M16)</f>
        <v>2.5843498016387176</v>
      </c>
    </row>
    <row r="15" spans="1:17" x14ac:dyDescent="0.25">
      <c r="A15" t="s">
        <v>710</v>
      </c>
      <c r="B15" s="67"/>
      <c r="C15" t="s">
        <v>785</v>
      </c>
      <c r="D15" t="s">
        <v>740</v>
      </c>
      <c r="E15" t="s">
        <v>713</v>
      </c>
      <c r="F15" t="s">
        <v>714</v>
      </c>
      <c r="G15">
        <v>25.406459988607601</v>
      </c>
      <c r="H15">
        <v>0.228774768683495</v>
      </c>
      <c r="I15">
        <v>24.74019258733</v>
      </c>
      <c r="J15">
        <v>3.4728360241669101E-2</v>
      </c>
      <c r="K15">
        <v>0.79149999999999998</v>
      </c>
      <c r="M15">
        <f t="shared" si="0"/>
        <v>44.18085403293329</v>
      </c>
      <c r="N15">
        <f t="shared" si="1"/>
        <v>55.81914596706671</v>
      </c>
    </row>
    <row r="16" spans="1:17" x14ac:dyDescent="0.25">
      <c r="A16" t="s">
        <v>710</v>
      </c>
      <c r="B16" s="67"/>
      <c r="C16" t="s">
        <v>741</v>
      </c>
      <c r="D16" t="s">
        <v>742</v>
      </c>
      <c r="E16" t="s">
        <v>713</v>
      </c>
      <c r="F16" t="s">
        <v>714</v>
      </c>
      <c r="G16">
        <v>25.4335310520798</v>
      </c>
      <c r="H16">
        <v>0.40908629872122698</v>
      </c>
      <c r="I16">
        <v>24.567900763728801</v>
      </c>
      <c r="J16">
        <v>0.130673540986949</v>
      </c>
      <c r="K16">
        <v>0.69330000000000003</v>
      </c>
      <c r="M16">
        <f t="shared" si="0"/>
        <v>40.943719364554418</v>
      </c>
      <c r="N16">
        <f t="shared" si="1"/>
        <v>59.056280635445582</v>
      </c>
    </row>
    <row r="21" spans="13:16" x14ac:dyDescent="0.25">
      <c r="N21" t="s">
        <v>709</v>
      </c>
      <c r="O21" t="s">
        <v>708</v>
      </c>
    </row>
    <row r="22" spans="13:16" x14ac:dyDescent="0.25">
      <c r="M22">
        <v>0</v>
      </c>
      <c r="N22" s="63">
        <v>50</v>
      </c>
      <c r="O22" s="63">
        <v>50</v>
      </c>
      <c r="P22" s="63">
        <v>0</v>
      </c>
    </row>
    <row r="23" spans="13:16" x14ac:dyDescent="0.25">
      <c r="M23">
        <v>20</v>
      </c>
      <c r="N23" s="63">
        <v>51.807336670955571</v>
      </c>
      <c r="O23" s="63">
        <v>48.192663329044429</v>
      </c>
      <c r="P23" s="63">
        <v>4.3478485611622446</v>
      </c>
    </row>
    <row r="24" spans="13:16" x14ac:dyDescent="0.25">
      <c r="M24">
        <v>30</v>
      </c>
      <c r="N24" s="63">
        <v>35.169031646709008</v>
      </c>
      <c r="O24" s="63">
        <v>64.830968353290999</v>
      </c>
      <c r="P24" s="63">
        <v>6.1840731197665972</v>
      </c>
    </row>
    <row r="25" spans="13:16" x14ac:dyDescent="0.25">
      <c r="M25">
        <v>50</v>
      </c>
      <c r="N25" s="63">
        <v>19.98579494919052</v>
      </c>
      <c r="O25" s="63">
        <v>80.01420505080948</v>
      </c>
      <c r="P25" s="63">
        <v>7.7033684584868443</v>
      </c>
    </row>
    <row r="26" spans="13:16" x14ac:dyDescent="0.25">
      <c r="M26">
        <v>95</v>
      </c>
      <c r="N26" s="63">
        <v>44.313087072496124</v>
      </c>
      <c r="O26" s="63">
        <v>55.686912927503876</v>
      </c>
      <c r="P26" s="63">
        <v>6.3370647515889198</v>
      </c>
    </row>
    <row r="27" spans="13:16" x14ac:dyDescent="0.25">
      <c r="M27">
        <v>100</v>
      </c>
      <c r="N27" s="63">
        <v>58.600913439083534</v>
      </c>
      <c r="O27" s="63">
        <v>41.399086560916466</v>
      </c>
      <c r="P27" s="63">
        <v>2.5843498016387176</v>
      </c>
    </row>
  </sheetData>
  <mergeCells count="5">
    <mergeCell ref="B3:B4"/>
    <mergeCell ref="B5:B7"/>
    <mergeCell ref="B8:B10"/>
    <mergeCell ref="B11:B13"/>
    <mergeCell ref="B14:B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B65B2-DDD7-4763-B667-51DD26E5BD2A}">
  <dimension ref="A1:R27"/>
  <sheetViews>
    <sheetView workbookViewId="0">
      <selection activeCell="O8" sqref="O8:O10"/>
    </sheetView>
  </sheetViews>
  <sheetFormatPr baseColWidth="10" defaultColWidth="9.140625" defaultRowHeight="15" x14ac:dyDescent="0.25"/>
  <sheetData>
    <row r="1" spans="1:18" x14ac:dyDescent="0.25">
      <c r="A1" t="s">
        <v>786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N2" t="s">
        <v>708</v>
      </c>
      <c r="O2" t="s">
        <v>709</v>
      </c>
      <c r="P2" t="s">
        <v>777</v>
      </c>
      <c r="Q2" t="s">
        <v>778</v>
      </c>
      <c r="R2" t="s">
        <v>779</v>
      </c>
    </row>
    <row r="3" spans="1:18" x14ac:dyDescent="0.25">
      <c r="A3" t="s">
        <v>710</v>
      </c>
      <c r="B3" s="66">
        <v>22</v>
      </c>
      <c r="C3" t="s">
        <v>711</v>
      </c>
      <c r="D3" t="s">
        <v>712</v>
      </c>
      <c r="E3" t="s">
        <v>713</v>
      </c>
      <c r="F3" t="s">
        <v>714</v>
      </c>
      <c r="G3">
        <v>23.730143340698799</v>
      </c>
      <c r="H3">
        <v>4.7920365437229398E-2</v>
      </c>
      <c r="I3">
        <v>22.856084034359601</v>
      </c>
      <c r="J3">
        <v>0.12769333481071299</v>
      </c>
      <c r="K3">
        <v>0.62819999999999998</v>
      </c>
      <c r="L3" s="61">
        <v>4.87E-2</v>
      </c>
      <c r="N3">
        <f t="shared" ref="N3:N16" si="0">(K3*100)/(K3+1)</f>
        <v>38.582483724358184</v>
      </c>
      <c r="O3">
        <f t="shared" ref="O3:O16" si="1">100-N3</f>
        <v>61.417516275641816</v>
      </c>
      <c r="P3">
        <f>AVERAGE(N3:N4)</f>
        <v>40.732868547123118</v>
      </c>
      <c r="Q3">
        <f>AVERAGE(O3:O4)</f>
        <v>59.267131452876882</v>
      </c>
      <c r="R3">
        <f>STDEV(N3:N4)</f>
        <v>3.0411033806754344</v>
      </c>
    </row>
    <row r="4" spans="1:18" x14ac:dyDescent="0.25">
      <c r="A4" t="s">
        <v>710</v>
      </c>
      <c r="B4" s="66"/>
      <c r="C4" t="s">
        <v>717</v>
      </c>
      <c r="D4" t="s">
        <v>718</v>
      </c>
      <c r="E4" t="s">
        <v>713</v>
      </c>
      <c r="F4" t="s">
        <v>714</v>
      </c>
      <c r="G4">
        <v>23.348810239936899</v>
      </c>
      <c r="H4">
        <v>0.100986666941594</v>
      </c>
      <c r="I4">
        <v>22.7387586732094</v>
      </c>
      <c r="J4">
        <v>9.5192392830941497E-2</v>
      </c>
      <c r="K4">
        <v>0.75080000000000002</v>
      </c>
      <c r="L4" s="61">
        <v>6.7500000000000004E-2</v>
      </c>
      <c r="N4">
        <f t="shared" si="0"/>
        <v>42.883253369888052</v>
      </c>
      <c r="O4">
        <f t="shared" si="1"/>
        <v>57.116746630111948</v>
      </c>
    </row>
    <row r="5" spans="1:18" x14ac:dyDescent="0.25">
      <c r="A5" t="s">
        <v>710</v>
      </c>
      <c r="B5" s="66">
        <v>72</v>
      </c>
      <c r="C5" t="s">
        <v>747</v>
      </c>
      <c r="D5" t="s">
        <v>720</v>
      </c>
      <c r="E5" t="s">
        <v>713</v>
      </c>
      <c r="F5" t="s">
        <v>714</v>
      </c>
      <c r="G5">
        <v>22.941306961345202</v>
      </c>
      <c r="H5">
        <v>2.3126849591631998E-2</v>
      </c>
      <c r="I5">
        <v>24.0442664976547</v>
      </c>
      <c r="J5">
        <v>0.28054870992790498</v>
      </c>
      <c r="K5">
        <v>2.4140000000000001</v>
      </c>
      <c r="L5">
        <v>0.42430000000000001</v>
      </c>
      <c r="N5">
        <f t="shared" si="0"/>
        <v>70.708845928529584</v>
      </c>
      <c r="O5">
        <f t="shared" si="1"/>
        <v>29.291154071470416</v>
      </c>
      <c r="P5">
        <f>AVERAGE(N5:N7)</f>
        <v>63.442995475130182</v>
      </c>
      <c r="Q5">
        <f>AVERAGE(O5:O7)</f>
        <v>36.557004524869818</v>
      </c>
      <c r="R5">
        <f>STDEV(N5:N7)</f>
        <v>6.9420227893437003</v>
      </c>
    </row>
    <row r="6" spans="1:18" x14ac:dyDescent="0.25">
      <c r="A6" t="s">
        <v>710</v>
      </c>
      <c r="B6" s="66"/>
      <c r="C6" t="s">
        <v>721</v>
      </c>
      <c r="D6" t="s">
        <v>722</v>
      </c>
      <c r="E6" t="s">
        <v>713</v>
      </c>
      <c r="F6" t="s">
        <v>714</v>
      </c>
      <c r="G6">
        <v>22.833432518369101</v>
      </c>
      <c r="H6">
        <v>1.8075222605626801E-2</v>
      </c>
      <c r="I6">
        <v>23.0527432058255</v>
      </c>
      <c r="J6">
        <v>4.2178084181673403E-2</v>
      </c>
      <c r="K6">
        <v>1.319</v>
      </c>
      <c r="L6" s="61">
        <v>3.7999999999999999E-2</v>
      </c>
      <c r="N6">
        <f t="shared" si="0"/>
        <v>56.877964639931008</v>
      </c>
      <c r="O6">
        <f t="shared" si="1"/>
        <v>43.122035360068992</v>
      </c>
    </row>
    <row r="7" spans="1:18" x14ac:dyDescent="0.25">
      <c r="A7" t="s">
        <v>710</v>
      </c>
      <c r="B7" s="66"/>
      <c r="C7" t="s">
        <v>723</v>
      </c>
      <c r="D7" t="s">
        <v>724</v>
      </c>
      <c r="E7" t="s">
        <v>713</v>
      </c>
      <c r="F7" t="s">
        <v>714</v>
      </c>
      <c r="G7">
        <v>23.6128746561408</v>
      </c>
      <c r="H7">
        <v>9.9494377708201506E-2</v>
      </c>
      <c r="I7">
        <v>24.183358974460901</v>
      </c>
      <c r="J7">
        <v>0.41643323079878197</v>
      </c>
      <c r="K7">
        <v>1.6839999999999999</v>
      </c>
      <c r="L7">
        <v>0.50829999999999997</v>
      </c>
      <c r="N7">
        <f t="shared" si="0"/>
        <v>62.742175856929954</v>
      </c>
      <c r="O7">
        <f t="shared" si="1"/>
        <v>37.257824143070046</v>
      </c>
    </row>
    <row r="8" spans="1:18" x14ac:dyDescent="0.25">
      <c r="A8" t="s">
        <v>710</v>
      </c>
      <c r="B8" s="66">
        <v>168</v>
      </c>
      <c r="C8" t="s">
        <v>725</v>
      </c>
      <c r="D8" t="s">
        <v>767</v>
      </c>
      <c r="E8" t="s">
        <v>713</v>
      </c>
      <c r="F8" t="s">
        <v>714</v>
      </c>
      <c r="G8">
        <v>26.9128157501681</v>
      </c>
      <c r="H8">
        <v>5.00771748838836E-2</v>
      </c>
      <c r="I8">
        <v>27.692488427451998</v>
      </c>
      <c r="J8">
        <v>0.145543818750306</v>
      </c>
      <c r="K8">
        <v>1.9790000000000001</v>
      </c>
      <c r="L8">
        <v>0.2024</v>
      </c>
      <c r="N8">
        <f t="shared" si="0"/>
        <v>66.431688486069149</v>
      </c>
      <c r="O8">
        <f t="shared" si="1"/>
        <v>33.568311513930851</v>
      </c>
      <c r="P8">
        <f>AVERAGE(N8:N10)</f>
        <v>58.51516598274295</v>
      </c>
      <c r="Q8">
        <f>AVERAGE(O8:O10)</f>
        <v>41.48483401725705</v>
      </c>
      <c r="R8">
        <f>STDEV(O8:O10)</f>
        <v>10.240827573742408</v>
      </c>
    </row>
    <row r="9" spans="1:18" x14ac:dyDescent="0.25">
      <c r="A9" t="s">
        <v>710</v>
      </c>
      <c r="B9" s="66"/>
      <c r="C9" t="s">
        <v>787</v>
      </c>
      <c r="D9" t="s">
        <v>768</v>
      </c>
      <c r="E9" t="s">
        <v>713</v>
      </c>
      <c r="F9" t="s">
        <v>714</v>
      </c>
      <c r="G9">
        <v>26.693543010809201</v>
      </c>
      <c r="H9">
        <v>0.58067205876970296</v>
      </c>
      <c r="I9">
        <v>26.297062972303902</v>
      </c>
      <c r="J9">
        <v>6.8414759525448801E-2</v>
      </c>
      <c r="K9">
        <v>0.88500000000000001</v>
      </c>
      <c r="N9">
        <f t="shared" si="0"/>
        <v>46.949602122015918</v>
      </c>
      <c r="O9">
        <f t="shared" si="1"/>
        <v>53.050397877984082</v>
      </c>
    </row>
    <row r="10" spans="1:18" x14ac:dyDescent="0.25">
      <c r="A10" t="s">
        <v>710</v>
      </c>
      <c r="B10" s="66"/>
      <c r="C10" t="s">
        <v>729</v>
      </c>
      <c r="D10" t="s">
        <v>769</v>
      </c>
      <c r="E10" t="s">
        <v>713</v>
      </c>
      <c r="F10" t="s">
        <v>714</v>
      </c>
      <c r="G10">
        <v>26.083043121522898</v>
      </c>
      <c r="H10">
        <v>0.122342220435305</v>
      </c>
      <c r="I10">
        <v>26.597034525318399</v>
      </c>
      <c r="J10">
        <v>9.8885233777058407E-2</v>
      </c>
      <c r="K10">
        <v>1.643</v>
      </c>
      <c r="L10">
        <v>0.19189999999999999</v>
      </c>
      <c r="N10">
        <f t="shared" si="0"/>
        <v>62.164207340143783</v>
      </c>
      <c r="O10">
        <f t="shared" si="1"/>
        <v>37.835792659856217</v>
      </c>
    </row>
    <row r="11" spans="1:18" x14ac:dyDescent="0.25">
      <c r="A11" t="s">
        <v>710</v>
      </c>
      <c r="B11" s="66">
        <v>432</v>
      </c>
      <c r="C11" t="s">
        <v>731</v>
      </c>
      <c r="D11" t="s">
        <v>762</v>
      </c>
      <c r="E11" t="s">
        <v>713</v>
      </c>
      <c r="F11" t="s">
        <v>714</v>
      </c>
      <c r="G11">
        <v>26.916893823914801</v>
      </c>
      <c r="H11">
        <v>0.119167204033878</v>
      </c>
      <c r="I11">
        <v>25.6503034137457</v>
      </c>
      <c r="J11">
        <v>7.4201483241569999E-2</v>
      </c>
      <c r="K11">
        <v>0.48909999999999998</v>
      </c>
      <c r="L11" s="61">
        <v>4.0399999999999998E-2</v>
      </c>
      <c r="N11">
        <f t="shared" si="0"/>
        <v>32.845342824524877</v>
      </c>
      <c r="O11">
        <f t="shared" si="1"/>
        <v>67.154657175475123</v>
      </c>
      <c r="P11">
        <f>AVERAGE(N11:N13)</f>
        <v>30.8783105973278</v>
      </c>
      <c r="Q11">
        <f>AVERAGE(O11:O13)</f>
        <v>69.121689402672203</v>
      </c>
      <c r="R11">
        <f>STDEV(N11:N13)</f>
        <v>2.0873087646375152</v>
      </c>
    </row>
    <row r="12" spans="1:18" x14ac:dyDescent="0.25">
      <c r="A12" t="s">
        <v>710</v>
      </c>
      <c r="B12" s="66"/>
      <c r="C12" t="s">
        <v>733</v>
      </c>
      <c r="D12" t="s">
        <v>764</v>
      </c>
      <c r="E12" t="s">
        <v>713</v>
      </c>
      <c r="F12" t="s">
        <v>714</v>
      </c>
      <c r="G12">
        <v>26.9921722272517</v>
      </c>
      <c r="H12">
        <v>0.126496695643566</v>
      </c>
      <c r="I12">
        <v>25.6074919610511</v>
      </c>
      <c r="J12">
        <v>3.9286739372174903E-2</v>
      </c>
      <c r="K12">
        <v>0.45140000000000002</v>
      </c>
      <c r="L12" s="61">
        <v>3.1699999999999999E-2</v>
      </c>
      <c r="N12">
        <f t="shared" si="0"/>
        <v>31.101005925313491</v>
      </c>
      <c r="O12">
        <f t="shared" si="1"/>
        <v>68.898994074686513</v>
      </c>
    </row>
    <row r="13" spans="1:18" x14ac:dyDescent="0.25">
      <c r="A13" t="s">
        <v>710</v>
      </c>
      <c r="B13" s="66"/>
      <c r="C13" t="s">
        <v>735</v>
      </c>
      <c r="D13" t="s">
        <v>763</v>
      </c>
      <c r="E13" t="s">
        <v>713</v>
      </c>
      <c r="F13" t="s">
        <v>714</v>
      </c>
      <c r="G13">
        <v>26.537992679214501</v>
      </c>
      <c r="H13">
        <v>7.9218249605246496E-2</v>
      </c>
      <c r="I13">
        <v>24.988648225539801</v>
      </c>
      <c r="J13">
        <v>9.7064740161926892E-3</v>
      </c>
      <c r="K13">
        <v>0.40229999999999999</v>
      </c>
      <c r="L13" s="61">
        <v>2.5700000000000001E-2</v>
      </c>
      <c r="N13">
        <f t="shared" si="0"/>
        <v>28.688583042145048</v>
      </c>
      <c r="O13">
        <f t="shared" si="1"/>
        <v>71.311416957854959</v>
      </c>
    </row>
    <row r="14" spans="1:18" x14ac:dyDescent="0.25">
      <c r="A14" t="s">
        <v>710</v>
      </c>
      <c r="B14" s="66">
        <v>500</v>
      </c>
      <c r="C14" t="s">
        <v>737</v>
      </c>
      <c r="D14" t="s">
        <v>773</v>
      </c>
      <c r="E14" t="s">
        <v>713</v>
      </c>
      <c r="F14" t="s">
        <v>714</v>
      </c>
      <c r="G14">
        <v>26.795339360035801</v>
      </c>
      <c r="H14">
        <v>0.28052046783265699</v>
      </c>
      <c r="I14">
        <v>25.700702722689702</v>
      </c>
      <c r="J14">
        <v>0.15334549932363001</v>
      </c>
      <c r="K14">
        <v>0.54969999999999997</v>
      </c>
      <c r="L14">
        <v>0.1169</v>
      </c>
      <c r="N14">
        <f t="shared" si="0"/>
        <v>35.471381557720846</v>
      </c>
      <c r="O14">
        <f t="shared" si="1"/>
        <v>64.528618442279154</v>
      </c>
      <c r="P14">
        <f>AVERAGE(N14:N16)</f>
        <v>32.365046967024341</v>
      </c>
      <c r="Q14">
        <f>AVERAGE(O14:O16)</f>
        <v>67.634953032975659</v>
      </c>
      <c r="R14">
        <f>STDEV(N14:N16)</f>
        <v>8.0445557702276052</v>
      </c>
    </row>
    <row r="15" spans="1:18" x14ac:dyDescent="0.25">
      <c r="A15" t="s">
        <v>710</v>
      </c>
      <c r="B15" s="66"/>
      <c r="C15" t="s">
        <v>739</v>
      </c>
      <c r="D15" t="s">
        <v>774</v>
      </c>
      <c r="E15" t="s">
        <v>713</v>
      </c>
      <c r="F15" t="s">
        <v>714</v>
      </c>
      <c r="G15">
        <v>26.897378002849901</v>
      </c>
      <c r="H15">
        <v>4.86922311988627E-2</v>
      </c>
      <c r="I15">
        <v>25.985644106677601</v>
      </c>
      <c r="J15">
        <v>0</v>
      </c>
      <c r="K15">
        <v>0.62319999999999998</v>
      </c>
      <c r="N15">
        <f t="shared" si="0"/>
        <v>38.393297190734351</v>
      </c>
      <c r="O15">
        <f t="shared" si="1"/>
        <v>61.606702809265649</v>
      </c>
    </row>
    <row r="16" spans="1:18" x14ac:dyDescent="0.25">
      <c r="A16" t="s">
        <v>710</v>
      </c>
      <c r="B16" s="66"/>
      <c r="C16" t="s">
        <v>741</v>
      </c>
      <c r="D16" t="s">
        <v>775</v>
      </c>
      <c r="E16" t="s">
        <v>713</v>
      </c>
      <c r="F16" t="s">
        <v>714</v>
      </c>
      <c r="G16">
        <v>27.091493328501599</v>
      </c>
      <c r="H16">
        <v>7.3524713140385806E-2</v>
      </c>
      <c r="I16">
        <v>25.1207430849703</v>
      </c>
      <c r="J16">
        <v>4.2831498615463004E-3</v>
      </c>
      <c r="K16">
        <v>0.30259999999999998</v>
      </c>
      <c r="N16">
        <f t="shared" si="0"/>
        <v>23.230462152617839</v>
      </c>
      <c r="O16">
        <f t="shared" si="1"/>
        <v>76.769537847382168</v>
      </c>
    </row>
    <row r="21" spans="14:17" x14ac:dyDescent="0.25">
      <c r="O21" t="s">
        <v>709</v>
      </c>
      <c r="P21" t="s">
        <v>708</v>
      </c>
    </row>
    <row r="22" spans="14:17" x14ac:dyDescent="0.25">
      <c r="N22">
        <v>0</v>
      </c>
      <c r="O22" s="63">
        <v>50</v>
      </c>
      <c r="P22" s="63">
        <v>50</v>
      </c>
      <c r="Q22" s="63">
        <v>0</v>
      </c>
    </row>
    <row r="23" spans="14:17" x14ac:dyDescent="0.25">
      <c r="N23">
        <v>20</v>
      </c>
      <c r="O23" s="63">
        <v>59.267131452876882</v>
      </c>
      <c r="P23" s="63">
        <v>40.732868547123118</v>
      </c>
      <c r="Q23" s="63">
        <v>3.0411033806754344</v>
      </c>
    </row>
    <row r="24" spans="14:17" x14ac:dyDescent="0.25">
      <c r="N24">
        <v>30</v>
      </c>
      <c r="O24" s="63">
        <v>36.557004524869818</v>
      </c>
      <c r="P24" s="63">
        <v>63.442995475130182</v>
      </c>
      <c r="Q24" s="63">
        <v>6.9420227893437003</v>
      </c>
    </row>
    <row r="25" spans="14:17" x14ac:dyDescent="0.25">
      <c r="N25">
        <v>50</v>
      </c>
      <c r="O25" s="63">
        <v>41.48483401725705</v>
      </c>
      <c r="P25" s="63">
        <v>58.51516598274295</v>
      </c>
      <c r="Q25" s="63">
        <v>10.240827573742408</v>
      </c>
    </row>
    <row r="26" spans="14:17" x14ac:dyDescent="0.25">
      <c r="N26">
        <v>95</v>
      </c>
      <c r="O26" s="63">
        <v>69.121689402672203</v>
      </c>
      <c r="P26" s="63">
        <v>30.8783105973278</v>
      </c>
      <c r="Q26" s="63">
        <v>2.0873087646375152</v>
      </c>
    </row>
    <row r="27" spans="14:17" x14ac:dyDescent="0.25">
      <c r="N27">
        <v>100</v>
      </c>
      <c r="O27" s="63">
        <v>67.634953032975659</v>
      </c>
      <c r="P27" s="63">
        <v>32.365046967024341</v>
      </c>
      <c r="Q27" s="63">
        <v>8.0445557702276052</v>
      </c>
    </row>
  </sheetData>
  <mergeCells count="5">
    <mergeCell ref="B3:B4"/>
    <mergeCell ref="B5:B7"/>
    <mergeCell ref="B8:B10"/>
    <mergeCell ref="B11:B13"/>
    <mergeCell ref="B14:B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C136-D0F8-422B-9524-8AB2B693117D}">
  <dimension ref="A1:R29"/>
  <sheetViews>
    <sheetView topLeftCell="B1" workbookViewId="0">
      <selection activeCell="O15" sqref="O15:O17"/>
    </sheetView>
  </sheetViews>
  <sheetFormatPr baseColWidth="10" defaultColWidth="9.140625" defaultRowHeight="15" x14ac:dyDescent="0.25"/>
  <sheetData>
    <row r="1" spans="1:18" x14ac:dyDescent="0.25">
      <c r="A1" t="s">
        <v>788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M2" t="s">
        <v>744</v>
      </c>
      <c r="N2" t="s">
        <v>745</v>
      </c>
      <c r="O2" t="s">
        <v>746</v>
      </c>
      <c r="P2" t="s">
        <v>777</v>
      </c>
      <c r="Q2" t="s">
        <v>778</v>
      </c>
      <c r="R2" t="s">
        <v>779</v>
      </c>
    </row>
    <row r="3" spans="1:18" x14ac:dyDescent="0.25">
      <c r="A3" t="s">
        <v>710</v>
      </c>
      <c r="B3" s="66">
        <v>22</v>
      </c>
      <c r="C3" t="s">
        <v>711</v>
      </c>
      <c r="D3" t="s">
        <v>712</v>
      </c>
      <c r="E3" t="s">
        <v>713</v>
      </c>
      <c r="F3" t="s">
        <v>714</v>
      </c>
      <c r="G3">
        <v>22.232742423553098</v>
      </c>
      <c r="H3">
        <v>3.17983763428401E-2</v>
      </c>
      <c r="I3">
        <v>23.515318862553201</v>
      </c>
      <c r="J3">
        <v>3.7963138612858702E-2</v>
      </c>
      <c r="K3">
        <v>2.9460000000000002</v>
      </c>
      <c r="L3" s="61">
        <v>6.6600000000000006E-2</v>
      </c>
      <c r="N3">
        <f>(K3*100)/(K3+1)</f>
        <v>74.657881398884953</v>
      </c>
      <c r="O3">
        <f>100-N3</f>
        <v>25.342118601115047</v>
      </c>
      <c r="P3">
        <f>AVERAGE(N3:N5)</f>
        <v>77.929827676241175</v>
      </c>
      <c r="Q3">
        <f>AVERAGE(O3:O5)</f>
        <v>22.070172323758822</v>
      </c>
      <c r="R3">
        <f>STDEV(N3:N5)</f>
        <v>4.1800830902989352</v>
      </c>
    </row>
    <row r="4" spans="1:18" x14ac:dyDescent="0.25">
      <c r="A4" t="s">
        <v>710</v>
      </c>
      <c r="B4" s="66"/>
      <c r="C4" t="s">
        <v>715</v>
      </c>
      <c r="D4" t="s">
        <v>716</v>
      </c>
      <c r="E4" t="s">
        <v>713</v>
      </c>
      <c r="F4" t="s">
        <v>714</v>
      </c>
      <c r="G4">
        <v>21.5740745077414</v>
      </c>
      <c r="H4">
        <v>4.4034158811177102E-2</v>
      </c>
      <c r="I4">
        <v>23.017031247729399</v>
      </c>
      <c r="J4">
        <v>3.1482680974800503E-2</v>
      </c>
      <c r="K4">
        <v>3.254</v>
      </c>
      <c r="L4" s="61">
        <v>8.6599999999999996E-2</v>
      </c>
      <c r="N4">
        <f>(K4*100)/(K4+1)</f>
        <v>76.492712740949699</v>
      </c>
      <c r="O4">
        <f>100-N4</f>
        <v>23.507287259050301</v>
      </c>
    </row>
    <row r="5" spans="1:18" x14ac:dyDescent="0.25">
      <c r="A5" t="s">
        <v>710</v>
      </c>
      <c r="B5" s="66"/>
      <c r="C5" t="s">
        <v>717</v>
      </c>
      <c r="D5" t="s">
        <v>718</v>
      </c>
      <c r="E5" t="s">
        <v>713</v>
      </c>
      <c r="F5" t="s">
        <v>714</v>
      </c>
      <c r="G5">
        <v>20.6880798878205</v>
      </c>
      <c r="H5">
        <v>0.130349322323731</v>
      </c>
      <c r="I5">
        <v>22.7190721425576</v>
      </c>
      <c r="J5">
        <v>6.5664165682753795E-2</v>
      </c>
      <c r="K5">
        <v>4.76</v>
      </c>
      <c r="L5">
        <v>0.50960000000000005</v>
      </c>
      <c r="N5">
        <f>(K5*100)/(K5+1)</f>
        <v>82.638888888888886</v>
      </c>
      <c r="O5">
        <f>100-N5</f>
        <v>17.361111111111114</v>
      </c>
    </row>
    <row r="6" spans="1:18" x14ac:dyDescent="0.25">
      <c r="A6" t="s">
        <v>710</v>
      </c>
      <c r="B6" s="66">
        <v>72</v>
      </c>
      <c r="C6" t="s">
        <v>747</v>
      </c>
      <c r="D6" t="s">
        <v>720</v>
      </c>
      <c r="E6" t="s">
        <v>713</v>
      </c>
      <c r="F6" t="s">
        <v>714</v>
      </c>
      <c r="G6">
        <v>19.144034740393401</v>
      </c>
      <c r="H6">
        <v>9.6423779207674004E-2</v>
      </c>
      <c r="I6">
        <v>23.920355875345599</v>
      </c>
      <c r="J6">
        <v>3.8708516533477802E-2</v>
      </c>
      <c r="K6">
        <v>28.89</v>
      </c>
      <c r="L6">
        <v>2.0230000000000001</v>
      </c>
      <c r="N6">
        <f>(K6*100)/(K6+1)</f>
        <v>96.654399464703914</v>
      </c>
      <c r="O6">
        <f>100-N6</f>
        <v>3.3456005352960858</v>
      </c>
      <c r="P6">
        <f>AVERAGE(N6:N8)</f>
        <v>96.985626703548817</v>
      </c>
      <c r="Q6">
        <f>AVERAGE(O6:O8)</f>
        <v>3.0143732964511685</v>
      </c>
      <c r="R6">
        <f>STDEV(N6:N8)</f>
        <v>0.30328672738329915</v>
      </c>
    </row>
    <row r="7" spans="1:18" x14ac:dyDescent="0.25">
      <c r="A7" t="s">
        <v>710</v>
      </c>
      <c r="B7" s="66"/>
      <c r="C7" t="s">
        <v>721</v>
      </c>
      <c r="D7" t="s">
        <v>722</v>
      </c>
      <c r="E7" t="s">
        <v>713</v>
      </c>
      <c r="F7" t="s">
        <v>714</v>
      </c>
      <c r="G7">
        <v>18.9717142037467</v>
      </c>
      <c r="H7">
        <v>4.7081348462331703E-2</v>
      </c>
      <c r="I7">
        <v>23.9481641609413</v>
      </c>
      <c r="J7">
        <v>5.1505693908656697E-2</v>
      </c>
      <c r="K7">
        <v>32.93</v>
      </c>
      <c r="L7">
        <v>1.5109999999999999</v>
      </c>
      <c r="N7">
        <f t="shared" ref="N7:N17" si="0">(K7*100)/(K7+1)</f>
        <v>97.052755673445333</v>
      </c>
      <c r="O7">
        <f t="shared" ref="O7:O17" si="1">100-N7</f>
        <v>2.9472443265546673</v>
      </c>
    </row>
    <row r="8" spans="1:18" x14ac:dyDescent="0.25">
      <c r="A8" t="s">
        <v>710</v>
      </c>
      <c r="B8" s="66"/>
      <c r="C8" t="s">
        <v>723</v>
      </c>
      <c r="D8" t="s">
        <v>724</v>
      </c>
      <c r="E8" t="s">
        <v>713</v>
      </c>
      <c r="F8" t="s">
        <v>714</v>
      </c>
      <c r="G8">
        <v>18.400744889578</v>
      </c>
      <c r="H8">
        <v>4.1775634948559598E-2</v>
      </c>
      <c r="I8">
        <v>23.493380123075301</v>
      </c>
      <c r="J8">
        <v>4.4801618343668498E-2</v>
      </c>
      <c r="K8">
        <v>35.36</v>
      </c>
      <c r="L8">
        <v>1.0609999999999999</v>
      </c>
      <c r="N8">
        <f t="shared" si="0"/>
        <v>97.249724972497248</v>
      </c>
      <c r="O8">
        <f t="shared" si="1"/>
        <v>2.7502750275027523</v>
      </c>
    </row>
    <row r="9" spans="1:18" x14ac:dyDescent="0.25">
      <c r="A9" t="s">
        <v>710</v>
      </c>
      <c r="B9" s="66">
        <v>96</v>
      </c>
      <c r="C9" t="s">
        <v>725</v>
      </c>
      <c r="D9" t="s">
        <v>726</v>
      </c>
      <c r="E9" t="s">
        <v>713</v>
      </c>
      <c r="F9" t="s">
        <v>714</v>
      </c>
      <c r="G9">
        <v>21.017089746577899</v>
      </c>
      <c r="H9">
        <v>7.5287656276120302E-2</v>
      </c>
      <c r="I9">
        <v>26.014263596872599</v>
      </c>
      <c r="J9">
        <v>1.8831565697567099E-2</v>
      </c>
      <c r="K9">
        <v>34.1</v>
      </c>
      <c r="L9">
        <v>2.11</v>
      </c>
      <c r="N9">
        <f t="shared" si="0"/>
        <v>97.150997150997142</v>
      </c>
      <c r="O9">
        <f t="shared" si="1"/>
        <v>2.8490028490028578</v>
      </c>
      <c r="P9">
        <f>AVERAGE(N9:N11)</f>
        <v>97.984602843445217</v>
      </c>
      <c r="Q9">
        <f>AVERAGE(O9:O11)</f>
        <v>2.0153971565547693</v>
      </c>
      <c r="R9">
        <f>STDEV(O9:O11)</f>
        <v>0.73841283903298449</v>
      </c>
    </row>
    <row r="10" spans="1:18" x14ac:dyDescent="0.25">
      <c r="A10" t="s">
        <v>710</v>
      </c>
      <c r="B10" s="66"/>
      <c r="C10" t="s">
        <v>727</v>
      </c>
      <c r="D10" t="s">
        <v>728</v>
      </c>
      <c r="E10" t="s">
        <v>713</v>
      </c>
      <c r="F10" t="s">
        <v>714</v>
      </c>
      <c r="G10">
        <v>21.629842495123899</v>
      </c>
      <c r="H10">
        <v>2.2867292068012499E-2</v>
      </c>
      <c r="I10">
        <v>27.366416088969999</v>
      </c>
      <c r="J10">
        <v>0.105563136253775</v>
      </c>
      <c r="K10">
        <v>56.02</v>
      </c>
      <c r="L10">
        <v>3.6819999999999999</v>
      </c>
      <c r="N10">
        <f t="shared" si="0"/>
        <v>98.246229393195364</v>
      </c>
      <c r="O10">
        <f t="shared" si="1"/>
        <v>1.7537706068046361</v>
      </c>
    </row>
    <row r="11" spans="1:18" x14ac:dyDescent="0.25">
      <c r="A11" t="s">
        <v>710</v>
      </c>
      <c r="B11" s="66"/>
      <c r="C11" t="s">
        <v>729</v>
      </c>
      <c r="D11" t="s">
        <v>730</v>
      </c>
      <c r="E11" t="s">
        <v>713</v>
      </c>
      <c r="F11" t="s">
        <v>714</v>
      </c>
      <c r="G11">
        <v>21.054052953853699</v>
      </c>
      <c r="H11">
        <v>0.11584356176041</v>
      </c>
      <c r="I11">
        <v>27.0983118194995</v>
      </c>
      <c r="J11">
        <v>8.1541501839372102E-2</v>
      </c>
      <c r="K11">
        <v>68.28</v>
      </c>
      <c r="L11">
        <v>3.698</v>
      </c>
      <c r="N11">
        <f t="shared" si="0"/>
        <v>98.556581986143186</v>
      </c>
      <c r="O11">
        <f t="shared" si="1"/>
        <v>1.4434180138568138</v>
      </c>
    </row>
    <row r="12" spans="1:18" x14ac:dyDescent="0.25">
      <c r="A12" t="s">
        <v>710</v>
      </c>
      <c r="B12" s="66">
        <v>216</v>
      </c>
      <c r="C12" t="s">
        <v>731</v>
      </c>
      <c r="D12" t="s">
        <v>748</v>
      </c>
      <c r="E12" t="s">
        <v>713</v>
      </c>
      <c r="F12" t="s">
        <v>714</v>
      </c>
      <c r="G12">
        <v>21.602816720115001</v>
      </c>
      <c r="H12">
        <v>5.3843023385348403E-2</v>
      </c>
      <c r="I12">
        <v>24.5849488273007</v>
      </c>
      <c r="J12">
        <v>5.3479224201563702E-2</v>
      </c>
      <c r="K12">
        <v>9.0259999999999998</v>
      </c>
      <c r="L12">
        <v>0.30049999999999999</v>
      </c>
      <c r="N12">
        <f t="shared" si="0"/>
        <v>90.025932575304211</v>
      </c>
      <c r="O12">
        <f t="shared" si="1"/>
        <v>9.9740674246957894</v>
      </c>
      <c r="P12">
        <f>AVERAGE(N12:N14)</f>
        <v>92.989027849307604</v>
      </c>
      <c r="Q12">
        <f>AVERAGE(O12:O14)</f>
        <v>7.0109721506923961</v>
      </c>
      <c r="R12">
        <f>STDEV(N12:N14)</f>
        <v>2.5921986492144589</v>
      </c>
    </row>
    <row r="13" spans="1:18" x14ac:dyDescent="0.25">
      <c r="A13" t="s">
        <v>710</v>
      </c>
      <c r="B13" s="66"/>
      <c r="C13" t="s">
        <v>733</v>
      </c>
      <c r="D13" t="s">
        <v>749</v>
      </c>
      <c r="E13" t="s">
        <v>713</v>
      </c>
      <c r="F13" t="s">
        <v>714</v>
      </c>
      <c r="G13">
        <v>21.591669258647698</v>
      </c>
      <c r="H13">
        <v>1.99542604412766E-2</v>
      </c>
      <c r="I13">
        <v>25.433783112906902</v>
      </c>
      <c r="J13">
        <v>9.5522887166532303E-2</v>
      </c>
      <c r="K13">
        <v>15.96</v>
      </c>
      <c r="L13">
        <v>0.9093</v>
      </c>
      <c r="N13">
        <f t="shared" si="0"/>
        <v>94.103773584905653</v>
      </c>
      <c r="O13">
        <f t="shared" si="1"/>
        <v>5.8962264150943469</v>
      </c>
    </row>
    <row r="14" spans="1:18" x14ac:dyDescent="0.25">
      <c r="A14" t="s">
        <v>710</v>
      </c>
      <c r="B14" s="66"/>
      <c r="C14" t="s">
        <v>760</v>
      </c>
      <c r="D14" t="s">
        <v>750</v>
      </c>
      <c r="E14" t="s">
        <v>713</v>
      </c>
      <c r="F14" t="s">
        <v>714</v>
      </c>
      <c r="G14">
        <v>21.5202707660426</v>
      </c>
      <c r="H14">
        <v>6.8501967848621295E-2</v>
      </c>
      <c r="I14">
        <v>25.575837106007299</v>
      </c>
      <c r="J14">
        <v>0.121865992009172</v>
      </c>
      <c r="K14">
        <v>18.37</v>
      </c>
      <c r="N14">
        <f t="shared" si="0"/>
        <v>94.837377387712948</v>
      </c>
      <c r="O14">
        <f t="shared" si="1"/>
        <v>5.162622612287052</v>
      </c>
    </row>
    <row r="15" spans="1:18" x14ac:dyDescent="0.25">
      <c r="A15" t="s">
        <v>710</v>
      </c>
      <c r="B15" s="66">
        <v>260</v>
      </c>
      <c r="C15" t="s">
        <v>737</v>
      </c>
      <c r="D15" t="s">
        <v>732</v>
      </c>
      <c r="E15" t="s">
        <v>713</v>
      </c>
      <c r="F15" t="s">
        <v>714</v>
      </c>
      <c r="G15">
        <v>21.6378488288398</v>
      </c>
      <c r="H15">
        <v>0.292925554435851</v>
      </c>
      <c r="I15">
        <v>24.604183698995602</v>
      </c>
      <c r="J15">
        <v>2.7469749059673799E-2</v>
      </c>
      <c r="K15">
        <v>8.9350000000000005</v>
      </c>
      <c r="L15">
        <v>0.76249999999999996</v>
      </c>
      <c r="N15">
        <f t="shared" si="0"/>
        <v>89.934574735782576</v>
      </c>
      <c r="O15">
        <f t="shared" si="1"/>
        <v>10.065425264217424</v>
      </c>
      <c r="P15">
        <f>AVERAGE(N14:N16)</f>
        <v>93.23792772688428</v>
      </c>
      <c r="Q15">
        <f>AVERAGE(O14:O16)</f>
        <v>6.7620722731157201</v>
      </c>
      <c r="R15">
        <f>STDEV(N15:N17)</f>
        <v>2.6411299295529314</v>
      </c>
    </row>
    <row r="16" spans="1:18" x14ac:dyDescent="0.25">
      <c r="A16" t="s">
        <v>710</v>
      </c>
      <c r="B16" s="66"/>
      <c r="C16" t="s">
        <v>739</v>
      </c>
      <c r="D16" t="s">
        <v>734</v>
      </c>
      <c r="E16" t="s">
        <v>713</v>
      </c>
      <c r="F16" t="s">
        <v>714</v>
      </c>
      <c r="G16">
        <v>22.183952377368101</v>
      </c>
      <c r="H16">
        <v>3.87886525763163E-2</v>
      </c>
      <c r="I16">
        <v>26.261535800160999</v>
      </c>
      <c r="J16">
        <v>5.7068945632184002E-2</v>
      </c>
      <c r="K16">
        <v>18.77</v>
      </c>
      <c r="L16">
        <v>0.8659</v>
      </c>
      <c r="N16">
        <f t="shared" si="0"/>
        <v>94.941831057157316</v>
      </c>
      <c r="O16">
        <f t="shared" si="1"/>
        <v>5.0581689428426841</v>
      </c>
    </row>
    <row r="17" spans="1:18" x14ac:dyDescent="0.25">
      <c r="A17" t="s">
        <v>710</v>
      </c>
      <c r="B17" s="66"/>
      <c r="C17" t="s">
        <v>741</v>
      </c>
      <c r="D17" t="s">
        <v>736</v>
      </c>
      <c r="E17" t="s">
        <v>713</v>
      </c>
      <c r="F17" t="s">
        <v>714</v>
      </c>
      <c r="G17">
        <v>22.663584369353998</v>
      </c>
      <c r="H17">
        <v>0.17303202240819099</v>
      </c>
      <c r="I17">
        <v>26.432942053222</v>
      </c>
      <c r="J17">
        <v>0.13055076968448401</v>
      </c>
      <c r="K17">
        <v>15.38</v>
      </c>
      <c r="L17">
        <v>2.0169999999999999</v>
      </c>
      <c r="N17">
        <f t="shared" si="0"/>
        <v>93.894993894993874</v>
      </c>
      <c r="O17">
        <f t="shared" si="1"/>
        <v>6.1050061050061259</v>
      </c>
    </row>
    <row r="23" spans="1:18" x14ac:dyDescent="0.25">
      <c r="P23" t="s">
        <v>709</v>
      </c>
      <c r="Q23" t="s">
        <v>708</v>
      </c>
    </row>
    <row r="24" spans="1:18" x14ac:dyDescent="0.25">
      <c r="O24" s="63">
        <v>0</v>
      </c>
      <c r="P24" s="63">
        <v>50</v>
      </c>
      <c r="Q24" s="63">
        <v>50</v>
      </c>
      <c r="R24" s="63">
        <v>0</v>
      </c>
    </row>
    <row r="25" spans="1:18" x14ac:dyDescent="0.25">
      <c r="O25" s="63">
        <v>20</v>
      </c>
      <c r="P25" s="63">
        <v>22.070172323758822</v>
      </c>
      <c r="Q25" s="63">
        <v>77.929827676241175</v>
      </c>
      <c r="R25" s="63">
        <v>4.1800830902989352</v>
      </c>
    </row>
    <row r="26" spans="1:18" x14ac:dyDescent="0.25">
      <c r="O26" s="63">
        <v>30</v>
      </c>
      <c r="P26" s="63">
        <v>3.0143732964511685</v>
      </c>
      <c r="Q26" s="63">
        <v>96.985626703548817</v>
      </c>
      <c r="R26" s="63">
        <v>0.30328672738329915</v>
      </c>
    </row>
    <row r="27" spans="1:18" x14ac:dyDescent="0.25">
      <c r="O27" s="63">
        <v>50</v>
      </c>
      <c r="P27" s="63">
        <v>2.0153971565547693</v>
      </c>
      <c r="Q27" s="63">
        <v>97.984602843445217</v>
      </c>
      <c r="R27" s="63">
        <v>0.73841283903298449</v>
      </c>
    </row>
    <row r="28" spans="1:18" x14ac:dyDescent="0.25">
      <c r="O28" s="63">
        <v>95</v>
      </c>
      <c r="P28" s="63">
        <v>7.0109721506923961</v>
      </c>
      <c r="Q28" s="63">
        <v>92.989027849307604</v>
      </c>
      <c r="R28" s="63">
        <v>2.5921986492144589</v>
      </c>
    </row>
    <row r="29" spans="1:18" x14ac:dyDescent="0.25">
      <c r="O29" s="63">
        <v>100</v>
      </c>
      <c r="P29" s="63">
        <v>6.7620722731157201</v>
      </c>
      <c r="Q29" s="63">
        <v>93.23792772688428</v>
      </c>
      <c r="R29" s="63">
        <v>2.6411299295529314</v>
      </c>
    </row>
  </sheetData>
  <mergeCells count="5">
    <mergeCell ref="B3:B5"/>
    <mergeCell ref="B6:B8"/>
    <mergeCell ref="B9:B11"/>
    <mergeCell ref="B12:B14"/>
    <mergeCell ref="B15:B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91B8-DE54-4333-BC09-52CFAC132219}">
  <dimension ref="A1:R28"/>
  <sheetViews>
    <sheetView tabSelected="1" workbookViewId="0">
      <selection activeCell="W16" sqref="W16"/>
    </sheetView>
  </sheetViews>
  <sheetFormatPr baseColWidth="10" defaultColWidth="9.140625" defaultRowHeight="15" x14ac:dyDescent="0.25"/>
  <sheetData>
    <row r="1" spans="1:18" x14ac:dyDescent="0.25">
      <c r="A1" t="s">
        <v>789</v>
      </c>
    </row>
    <row r="2" spans="1:18" x14ac:dyDescent="0.25">
      <c r="A2" t="s">
        <v>698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704</v>
      </c>
      <c r="I2" t="s">
        <v>703</v>
      </c>
      <c r="J2" t="s">
        <v>705</v>
      </c>
      <c r="K2" s="60" t="s">
        <v>706</v>
      </c>
      <c r="L2" t="s">
        <v>707</v>
      </c>
      <c r="M2" t="s">
        <v>744</v>
      </c>
      <c r="P2" t="s">
        <v>708</v>
      </c>
      <c r="Q2" t="s">
        <v>709</v>
      </c>
    </row>
    <row r="3" spans="1:18" x14ac:dyDescent="0.25">
      <c r="A3" t="s">
        <v>710</v>
      </c>
      <c r="B3" s="66">
        <v>22</v>
      </c>
      <c r="C3" t="s">
        <v>711</v>
      </c>
      <c r="D3" t="s">
        <v>712</v>
      </c>
      <c r="E3" t="s">
        <v>713</v>
      </c>
      <c r="F3" t="s">
        <v>714</v>
      </c>
      <c r="G3">
        <v>24.525031167717099</v>
      </c>
      <c r="H3">
        <v>4.0822836591809297E-2</v>
      </c>
      <c r="I3">
        <v>23.747616284559601</v>
      </c>
      <c r="J3">
        <v>0.45299478061923099</v>
      </c>
      <c r="K3">
        <v>0.72819999999999996</v>
      </c>
      <c r="L3">
        <v>0.1736</v>
      </c>
      <c r="N3">
        <f>(K3*100)/(K3+1)</f>
        <v>42.136326814026148</v>
      </c>
      <c r="O3">
        <f>100-N3</f>
        <v>57.863673185973852</v>
      </c>
      <c r="P3">
        <f>AVERAGE(N3:N5)</f>
        <v>47.875474622037139</v>
      </c>
      <c r="Q3">
        <f>AVERAGE(O3:O5)</f>
        <v>52.124525377962861</v>
      </c>
      <c r="R3">
        <f>STDEV(N3:N5)</f>
        <v>5.2841443884783477</v>
      </c>
    </row>
    <row r="4" spans="1:18" x14ac:dyDescent="0.25">
      <c r="A4" t="s">
        <v>710</v>
      </c>
      <c r="B4" s="66"/>
      <c r="C4" t="s">
        <v>715</v>
      </c>
      <c r="D4" t="s">
        <v>716</v>
      </c>
      <c r="E4" t="s">
        <v>713</v>
      </c>
      <c r="F4" t="s">
        <v>714</v>
      </c>
      <c r="G4">
        <v>24.169460032431999</v>
      </c>
      <c r="H4">
        <v>6.5988855416827003E-2</v>
      </c>
      <c r="I4">
        <v>24.023843874112501</v>
      </c>
      <c r="J4">
        <v>0.116223318428728</v>
      </c>
      <c r="K4">
        <v>1.107</v>
      </c>
      <c r="L4" s="61">
        <v>8.43E-2</v>
      </c>
      <c r="N4">
        <f>(K4*100)/(K4+1)</f>
        <v>52.539155196962504</v>
      </c>
      <c r="O4">
        <f>100-N4</f>
        <v>47.460844803037496</v>
      </c>
    </row>
    <row r="5" spans="1:18" x14ac:dyDescent="0.25">
      <c r="A5" t="s">
        <v>710</v>
      </c>
      <c r="B5" s="66"/>
      <c r="C5" t="s">
        <v>717</v>
      </c>
      <c r="D5" t="s">
        <v>718</v>
      </c>
      <c r="E5" t="s">
        <v>713</v>
      </c>
      <c r="F5" t="s">
        <v>714</v>
      </c>
      <c r="G5">
        <v>24.673515097107298</v>
      </c>
      <c r="H5">
        <v>4.6696629724445597E-2</v>
      </c>
      <c r="I5">
        <v>24.3062734084025</v>
      </c>
      <c r="J5">
        <v>0.125579367192412</v>
      </c>
      <c r="K5">
        <v>0.95889999999999997</v>
      </c>
      <c r="L5" s="61">
        <v>7.3300000000000004E-2</v>
      </c>
      <c r="N5">
        <f>(K5*100)/(K5+1)</f>
        <v>48.950941855122778</v>
      </c>
      <c r="O5">
        <f>100-N5</f>
        <v>51.049058144877222</v>
      </c>
    </row>
    <row r="6" spans="1:18" ht="14.25" customHeight="1" x14ac:dyDescent="0.25">
      <c r="A6" t="s">
        <v>710</v>
      </c>
      <c r="B6" s="66">
        <v>72</v>
      </c>
      <c r="C6" t="s">
        <v>747</v>
      </c>
      <c r="D6" t="s">
        <v>720</v>
      </c>
      <c r="E6" t="s">
        <v>713</v>
      </c>
      <c r="F6" t="s">
        <v>714</v>
      </c>
      <c r="G6">
        <v>23.599023057070202</v>
      </c>
      <c r="H6">
        <v>9.2157332462595901E-2</v>
      </c>
      <c r="I6">
        <v>24.2319821638749</v>
      </c>
      <c r="J6">
        <v>4.7164089624136901E-2</v>
      </c>
      <c r="K6">
        <v>1.8540000000000001</v>
      </c>
      <c r="L6">
        <v>0.1368</v>
      </c>
      <c r="N6">
        <f>(K6*100)/(K6+1)</f>
        <v>64.961457603363698</v>
      </c>
      <c r="O6">
        <f>100-N6</f>
        <v>35.038542396636302</v>
      </c>
      <c r="P6">
        <f>AVERAGE(N6:N8)</f>
        <v>67.042580580568682</v>
      </c>
      <c r="Q6">
        <f>AVERAGE(O6:O8)</f>
        <v>32.957419419431318</v>
      </c>
      <c r="R6">
        <f>STDEV(N6:N8)</f>
        <v>2.5064558894018987</v>
      </c>
    </row>
    <row r="7" spans="1:18" x14ac:dyDescent="0.25">
      <c r="A7" t="s">
        <v>710</v>
      </c>
      <c r="B7" s="66"/>
      <c r="C7" t="s">
        <v>721</v>
      </c>
      <c r="D7" t="s">
        <v>722</v>
      </c>
      <c r="E7" t="s">
        <v>713</v>
      </c>
      <c r="F7" t="s">
        <v>714</v>
      </c>
      <c r="G7">
        <v>23.274454238543601</v>
      </c>
      <c r="H7">
        <v>5.7951901165376199E-2</v>
      </c>
      <c r="I7">
        <v>24.003086372810401</v>
      </c>
      <c r="J7">
        <v>0.27144677211042101</v>
      </c>
      <c r="K7">
        <v>1.9710000000000001</v>
      </c>
      <c r="L7">
        <v>0.30570000000000003</v>
      </c>
      <c r="N7">
        <f t="shared" ref="N7:N17" si="0">(K7*100)/(K7+1)</f>
        <v>66.341299225849895</v>
      </c>
      <c r="O7">
        <f t="shared" ref="O7:O17" si="1">100-N7</f>
        <v>33.658700774150105</v>
      </c>
    </row>
    <row r="8" spans="1:18" x14ac:dyDescent="0.25">
      <c r="A8" t="s">
        <v>710</v>
      </c>
      <c r="B8" s="66"/>
      <c r="C8" t="s">
        <v>723</v>
      </c>
      <c r="D8" t="s">
        <v>724</v>
      </c>
      <c r="E8" t="s">
        <v>713</v>
      </c>
      <c r="F8" t="s">
        <v>714</v>
      </c>
      <c r="G8">
        <v>24.661487194336299</v>
      </c>
      <c r="H8">
        <v>0.18091331058638799</v>
      </c>
      <c r="I8">
        <v>25.6133491349315</v>
      </c>
      <c r="J8">
        <v>8.8308722652582106E-2</v>
      </c>
      <c r="K8">
        <v>2.3140000000000001</v>
      </c>
      <c r="L8">
        <v>0.37930000000000003</v>
      </c>
      <c r="N8">
        <f>(K8*100)/(K8+1)</f>
        <v>69.824984912492454</v>
      </c>
      <c r="O8">
        <f>100-N8</f>
        <v>30.175015087507546</v>
      </c>
    </row>
    <row r="9" spans="1:18" x14ac:dyDescent="0.25">
      <c r="A9" t="s">
        <v>710</v>
      </c>
      <c r="B9" s="66">
        <v>96</v>
      </c>
      <c r="C9" t="s">
        <v>725</v>
      </c>
      <c r="D9" t="s">
        <v>726</v>
      </c>
      <c r="E9" t="s">
        <v>713</v>
      </c>
      <c r="F9" t="s">
        <v>714</v>
      </c>
      <c r="G9">
        <v>21.988692911323099</v>
      </c>
      <c r="H9">
        <v>7.2194293930827103E-2</v>
      </c>
      <c r="I9">
        <v>22.316296646937499</v>
      </c>
      <c r="J9">
        <v>9.0305588533315995E-2</v>
      </c>
      <c r="K9">
        <v>1.492</v>
      </c>
      <c r="L9" s="61">
        <v>7.9299999999999995E-2</v>
      </c>
      <c r="N9">
        <f>(K9*100)/(K9+1)</f>
        <v>59.871589085072223</v>
      </c>
      <c r="O9">
        <f>100-N9</f>
        <v>40.128410914927777</v>
      </c>
      <c r="P9">
        <f>AVERAGE(N9:N11)</f>
        <v>60.635457777392787</v>
      </c>
      <c r="Q9">
        <f>AVERAGE(O9:O11)</f>
        <v>39.36454222260722</v>
      </c>
      <c r="R9">
        <f>STDEV(N9:N11)</f>
        <v>0.76665194485844101</v>
      </c>
    </row>
    <row r="10" spans="1:18" x14ac:dyDescent="0.25">
      <c r="A10" t="s">
        <v>710</v>
      </c>
      <c r="B10" s="66"/>
      <c r="C10" t="s">
        <v>727</v>
      </c>
      <c r="D10" t="s">
        <v>728</v>
      </c>
      <c r="E10" t="s">
        <v>713</v>
      </c>
      <c r="F10" t="s">
        <v>714</v>
      </c>
      <c r="G10">
        <v>22.234898512924399</v>
      </c>
      <c r="H10">
        <v>0.162504216218714</v>
      </c>
      <c r="I10">
        <v>22.6067339786925</v>
      </c>
      <c r="J10">
        <v>1.9956819116009501E-2</v>
      </c>
      <c r="K10">
        <v>1.54</v>
      </c>
      <c r="L10">
        <v>0.13009999999999999</v>
      </c>
      <c r="N10">
        <f>(K10*100)/(K10+1)</f>
        <v>60.629921259842519</v>
      </c>
      <c r="O10">
        <f>100-N10</f>
        <v>39.370078740157481</v>
      </c>
    </row>
    <row r="11" spans="1:18" x14ac:dyDescent="0.25">
      <c r="A11" t="s">
        <v>710</v>
      </c>
      <c r="B11" s="66"/>
      <c r="C11" t="s">
        <v>729</v>
      </c>
      <c r="D11" t="s">
        <v>730</v>
      </c>
      <c r="E11" t="s">
        <v>713</v>
      </c>
      <c r="F11" t="s">
        <v>714</v>
      </c>
      <c r="G11">
        <v>21.533807278973299</v>
      </c>
      <c r="H11">
        <v>9.6806840360394008E-3</v>
      </c>
      <c r="I11">
        <v>21.9630489958517</v>
      </c>
      <c r="J11">
        <v>2.5686529137034099E-2</v>
      </c>
      <c r="K11">
        <v>1.591</v>
      </c>
      <c r="L11" s="61">
        <v>2.4799999999999999E-2</v>
      </c>
      <c r="N11">
        <f>(K11*100)/(K11+1)</f>
        <v>61.404862987263598</v>
      </c>
      <c r="O11">
        <f>100-N11</f>
        <v>38.595137012736402</v>
      </c>
    </row>
    <row r="12" spans="1:18" x14ac:dyDescent="0.25">
      <c r="A12" t="s">
        <v>710</v>
      </c>
      <c r="B12" s="66">
        <v>216</v>
      </c>
      <c r="C12" t="s">
        <v>731</v>
      </c>
      <c r="D12" t="s">
        <v>748</v>
      </c>
      <c r="E12" t="s">
        <v>713</v>
      </c>
      <c r="F12" t="s">
        <v>714</v>
      </c>
      <c r="G12">
        <v>22.799699617071202</v>
      </c>
      <c r="H12">
        <v>7.4335614013201906E-2</v>
      </c>
      <c r="I12">
        <v>23.950064225995401</v>
      </c>
      <c r="J12">
        <v>0.167107551164521</v>
      </c>
      <c r="K12">
        <v>2.6019999999999999</v>
      </c>
      <c r="L12">
        <v>0.27429999999999999</v>
      </c>
      <c r="N12">
        <f>(K12*100)/(K12+1)</f>
        <v>72.237645752359796</v>
      </c>
      <c r="O12">
        <f>100-N12</f>
        <v>27.762354247640204</v>
      </c>
      <c r="P12">
        <f>AVERAGE(N12:N14)</f>
        <v>70.058694894902814</v>
      </c>
      <c r="Q12">
        <f>AVERAGE(O12:O14)</f>
        <v>29.941305105097186</v>
      </c>
      <c r="R12">
        <f>STDEV(N12:N14)</f>
        <v>4.7807083563246699</v>
      </c>
    </row>
    <row r="13" spans="1:18" x14ac:dyDescent="0.25">
      <c r="A13" t="s">
        <v>710</v>
      </c>
      <c r="B13" s="66"/>
      <c r="C13" t="s">
        <v>733</v>
      </c>
      <c r="D13" t="s">
        <v>749</v>
      </c>
      <c r="E13" t="s">
        <v>713</v>
      </c>
      <c r="F13" t="s">
        <v>714</v>
      </c>
      <c r="G13">
        <v>23.2541284239968</v>
      </c>
      <c r="H13">
        <v>2.8301446833707399E-2</v>
      </c>
      <c r="I13">
        <v>23.866555279803901</v>
      </c>
      <c r="J13">
        <v>0.27908278195338199</v>
      </c>
      <c r="K13">
        <v>1.823</v>
      </c>
      <c r="L13">
        <v>0.307</v>
      </c>
      <c r="N13">
        <f t="shared" si="0"/>
        <v>64.576691462982637</v>
      </c>
      <c r="O13">
        <f t="shared" si="1"/>
        <v>35.423308537017363</v>
      </c>
    </row>
    <row r="14" spans="1:18" x14ac:dyDescent="0.25">
      <c r="A14" t="s">
        <v>710</v>
      </c>
      <c r="B14" s="66"/>
      <c r="C14" t="s">
        <v>735</v>
      </c>
      <c r="D14" t="s">
        <v>750</v>
      </c>
      <c r="E14" t="s">
        <v>713</v>
      </c>
      <c r="F14" t="s">
        <v>714</v>
      </c>
      <c r="G14">
        <v>22.1880643350203</v>
      </c>
      <c r="H14">
        <v>3.20493781867714E-2</v>
      </c>
      <c r="I14">
        <v>23.431512369313999</v>
      </c>
      <c r="J14">
        <v>0.10836418469761</v>
      </c>
      <c r="K14">
        <v>2.754</v>
      </c>
      <c r="L14">
        <v>0.18010000000000001</v>
      </c>
      <c r="N14">
        <f>(K14*100)/(K14+1)</f>
        <v>73.361747469366009</v>
      </c>
      <c r="O14">
        <f>100-N14</f>
        <v>26.638252530633991</v>
      </c>
    </row>
    <row r="15" spans="1:18" x14ac:dyDescent="0.25">
      <c r="A15" t="s">
        <v>710</v>
      </c>
      <c r="B15" s="66">
        <v>336</v>
      </c>
      <c r="C15" t="s">
        <v>737</v>
      </c>
      <c r="D15" t="s">
        <v>738</v>
      </c>
      <c r="E15" t="s">
        <v>713</v>
      </c>
      <c r="F15" t="s">
        <v>714</v>
      </c>
      <c r="G15">
        <v>24.471744945839198</v>
      </c>
      <c r="H15">
        <v>0.25838532134034198</v>
      </c>
      <c r="I15">
        <v>24.102293567551701</v>
      </c>
      <c r="J15">
        <v>2.4023684311794202E-2</v>
      </c>
      <c r="K15">
        <v>0.95589999999999997</v>
      </c>
      <c r="L15" s="61">
        <v>3.2099999999999997E-2</v>
      </c>
      <c r="N15">
        <f>(K15*100)/(K15+1)</f>
        <v>48.872641750600749</v>
      </c>
      <c r="O15">
        <f>100-N15</f>
        <v>51.127358249399251</v>
      </c>
      <c r="P15">
        <f>AVERAGE(N15:N17)</f>
        <v>54.875821247320197</v>
      </c>
      <c r="Q15">
        <f>AVERAGE(O15:O17)</f>
        <v>45.124178752679803</v>
      </c>
      <c r="R15">
        <f>STDEV(N15:N17)</f>
        <v>12.288034769456086</v>
      </c>
    </row>
    <row r="16" spans="1:18" x14ac:dyDescent="0.25">
      <c r="A16" t="s">
        <v>710</v>
      </c>
      <c r="B16" s="66"/>
      <c r="C16" t="s">
        <v>790</v>
      </c>
      <c r="D16" t="s">
        <v>740</v>
      </c>
      <c r="E16" t="s">
        <v>713</v>
      </c>
      <c r="F16" t="s">
        <v>714</v>
      </c>
      <c r="G16">
        <v>24.052731636636899</v>
      </c>
      <c r="H16">
        <v>9.3543259859031003E-2</v>
      </c>
      <c r="I16">
        <v>23.560670417848801</v>
      </c>
      <c r="J16">
        <v>5.5085016377555703E-2</v>
      </c>
      <c r="K16">
        <v>0.87770000000000004</v>
      </c>
      <c r="L16" s="61">
        <v>6.8500000000000005E-2</v>
      </c>
      <c r="N16">
        <f>(K16*100)/(K16+1)</f>
        <v>46.743356233690157</v>
      </c>
      <c r="O16">
        <f>100-N16</f>
        <v>53.256643766309843</v>
      </c>
    </row>
    <row r="17" spans="1:17" x14ac:dyDescent="0.25">
      <c r="A17" t="s">
        <v>710</v>
      </c>
      <c r="B17" s="66"/>
      <c r="C17" t="s">
        <v>791</v>
      </c>
      <c r="D17" t="s">
        <v>742</v>
      </c>
      <c r="E17" t="s">
        <v>713</v>
      </c>
      <c r="F17" t="s">
        <v>714</v>
      </c>
      <c r="G17">
        <v>22.903342297145201</v>
      </c>
      <c r="H17">
        <v>2.93989499381411E-2</v>
      </c>
      <c r="I17">
        <v>23.819945550663899</v>
      </c>
      <c r="J17">
        <v>2.4205910776222101E-2</v>
      </c>
      <c r="K17">
        <v>2.2269999999999999</v>
      </c>
      <c r="L17" s="61">
        <v>6.2300000000000001E-2</v>
      </c>
      <c r="N17">
        <f t="shared" si="0"/>
        <v>69.011465757669669</v>
      </c>
      <c r="O17">
        <f t="shared" si="1"/>
        <v>30.988534242330331</v>
      </c>
    </row>
    <row r="22" spans="1:17" x14ac:dyDescent="0.25">
      <c r="O22" t="s">
        <v>709</v>
      </c>
      <c r="P22" t="s">
        <v>708</v>
      </c>
    </row>
    <row r="23" spans="1:17" x14ac:dyDescent="0.25">
      <c r="N23">
        <v>0</v>
      </c>
      <c r="O23" s="63">
        <v>50</v>
      </c>
      <c r="P23" s="63">
        <v>50</v>
      </c>
      <c r="Q23">
        <v>0</v>
      </c>
    </row>
    <row r="24" spans="1:17" x14ac:dyDescent="0.25">
      <c r="N24">
        <v>20</v>
      </c>
      <c r="O24" s="63">
        <v>52.124525377962861</v>
      </c>
      <c r="P24" s="63">
        <v>47.875474622037139</v>
      </c>
      <c r="Q24">
        <v>5.2841443884783477</v>
      </c>
    </row>
    <row r="25" spans="1:17" x14ac:dyDescent="0.25">
      <c r="N25">
        <v>30</v>
      </c>
      <c r="O25" s="63">
        <v>32.957419419431318</v>
      </c>
      <c r="P25" s="63">
        <v>67.042580580568682</v>
      </c>
      <c r="Q25">
        <v>2.5064558894018987</v>
      </c>
    </row>
    <row r="26" spans="1:17" x14ac:dyDescent="0.25">
      <c r="N26">
        <v>50</v>
      </c>
      <c r="O26" s="63">
        <v>39.36454222260722</v>
      </c>
      <c r="P26" s="63">
        <v>60.635457777392787</v>
      </c>
      <c r="Q26">
        <v>0.76665194485844101</v>
      </c>
    </row>
    <row r="27" spans="1:17" x14ac:dyDescent="0.25">
      <c r="N27">
        <v>95</v>
      </c>
      <c r="O27" s="63">
        <v>29.941305105097186</v>
      </c>
      <c r="P27" s="63">
        <v>70.058694894902814</v>
      </c>
      <c r="Q27">
        <v>4.7807083563246699</v>
      </c>
    </row>
    <row r="28" spans="1:17" x14ac:dyDescent="0.25">
      <c r="N28">
        <v>100</v>
      </c>
      <c r="O28" s="63">
        <v>45.124178752679803</v>
      </c>
      <c r="P28" s="63">
        <v>54.875821247320197</v>
      </c>
      <c r="Q28">
        <v>12.288034769456086</v>
      </c>
    </row>
  </sheetData>
  <mergeCells count="5">
    <mergeCell ref="B3:B5"/>
    <mergeCell ref="B6:B8"/>
    <mergeCell ref="B9:B11"/>
    <mergeCell ref="B12:B14"/>
    <mergeCell ref="B15:B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HPLC</vt:lpstr>
      <vt:lpstr>HPLCaa</vt:lpstr>
      <vt:lpstr>T73</vt:lpstr>
      <vt:lpstr>Chr96,2</vt:lpstr>
      <vt:lpstr>GRE</vt:lpstr>
      <vt:lpstr>QA23</vt:lpstr>
      <vt:lpstr>Clos</vt:lpstr>
      <vt:lpstr>Ec1118</vt:lpstr>
      <vt:lpstr>NCAIM</vt:lpstr>
      <vt:lpstr>D245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</dc:creator>
  <cp:lastModifiedBy>Alba</cp:lastModifiedBy>
  <dcterms:created xsi:type="dcterms:W3CDTF">2015-06-05T18:19:34Z</dcterms:created>
  <dcterms:modified xsi:type="dcterms:W3CDTF">2026-02-24T12:28:36Z</dcterms:modified>
</cp:coreProperties>
</file>