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3/Downloads/"/>
    </mc:Choice>
  </mc:AlternateContent>
  <xr:revisionPtr revIDLastSave="0" documentId="13_ncr:1_{CC074325-1E64-2E4A-96E0-1A118DDC8299}" xr6:coauthVersionLast="47" xr6:coauthVersionMax="47" xr10:uidLastSave="{00000000-0000-0000-0000-000000000000}"/>
  <bookViews>
    <workbookView xWindow="2200" yWindow="760" windowWidth="28040" windowHeight="16940" firstSheet="1" activeTab="16" xr2:uid="{C08DE165-3FF5-494C-8C22-5556555B7BE4}"/>
  </bookViews>
  <sheets>
    <sheet name="Fig 2a" sheetId="1" r:id="rId1"/>
    <sheet name="Fig 2b" sheetId="2" r:id="rId2"/>
    <sheet name="Fig 2c" sheetId="4" r:id="rId3"/>
    <sheet name="Fig 2e" sheetId="5" r:id="rId4"/>
    <sheet name="Fig 2g" sheetId="6" r:id="rId5"/>
    <sheet name="Fig 2h" sheetId="7" r:id="rId6"/>
    <sheet name="Fig 3b" sheetId="8" r:id="rId7"/>
    <sheet name="Fig 3d" sheetId="9" r:id="rId8"/>
    <sheet name="Fig 4d" sheetId="11" r:id="rId9"/>
    <sheet name="Fig 4h" sheetId="12" r:id="rId10"/>
    <sheet name="Fig 5b" sheetId="13" r:id="rId11"/>
    <sheet name="Fig 5c" sheetId="14" r:id="rId12"/>
    <sheet name="Fig 6b" sheetId="15" r:id="rId13"/>
    <sheet name="Fig 6c" sheetId="16" r:id="rId14"/>
    <sheet name="Fig 6e" sheetId="17" r:id="rId15"/>
    <sheet name="Fig 6h" sheetId="18" r:id="rId16"/>
    <sheet name="Fig 6i" sheetId="19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9" l="1"/>
  <c r="F6" i="19"/>
  <c r="F5" i="19"/>
  <c r="F4" i="19"/>
  <c r="B10" i="17"/>
  <c r="B9" i="17"/>
  <c r="B8" i="17"/>
  <c r="B10" i="16"/>
  <c r="B9" i="16"/>
  <c r="B8" i="16"/>
  <c r="B8" i="15"/>
  <c r="B9" i="14"/>
  <c r="B10" i="13"/>
  <c r="B9" i="12"/>
  <c r="B9" i="11"/>
  <c r="B15" i="8"/>
  <c r="B13" i="8"/>
  <c r="B12" i="8"/>
  <c r="B10" i="8"/>
  <c r="B9" i="8"/>
  <c r="B8" i="8"/>
  <c r="B8" i="7"/>
  <c r="B10" i="7"/>
  <c r="B9" i="7"/>
  <c r="B8" i="6"/>
  <c r="B10" i="5"/>
  <c r="B9" i="5"/>
  <c r="B8" i="5"/>
  <c r="B12" i="4"/>
  <c r="B11" i="4"/>
  <c r="B10" i="4"/>
  <c r="B9" i="4"/>
  <c r="B15" i="1"/>
  <c r="B13" i="1"/>
  <c r="B12" i="1"/>
  <c r="B10" i="1"/>
  <c r="B9" i="1"/>
  <c r="B8" i="1"/>
  <c r="B10" i="2"/>
  <c r="B9" i="2"/>
  <c r="B8" i="2"/>
</calcChain>
</file>

<file path=xl/sharedStrings.xml><?xml version="1.0" encoding="utf-8"?>
<sst xmlns="http://schemas.openxmlformats.org/spreadsheetml/2006/main" count="459" uniqueCount="113">
  <si>
    <t>WT Bxb1 SV40 NLS</t>
  </si>
  <si>
    <t>WT Bxb1 2x NPL NLS</t>
  </si>
  <si>
    <t>ee Bxb1 2x NPL NLS</t>
  </si>
  <si>
    <t>ee Passige</t>
  </si>
  <si>
    <t>BFP_14.4kb</t>
  </si>
  <si>
    <t>Random integration</t>
  </si>
  <si>
    <t>1-fold</t>
  </si>
  <si>
    <t>3-fold</t>
  </si>
  <si>
    <t>6-fold</t>
  </si>
  <si>
    <t>DMSO</t>
  </si>
  <si>
    <t>NU7441</t>
  </si>
  <si>
    <t>IDT HDR Enh v2</t>
  </si>
  <si>
    <t>M3814</t>
  </si>
  <si>
    <t>AZD-7648</t>
  </si>
  <si>
    <t>Bxb1 SV40 NLS -AZD</t>
  </si>
  <si>
    <t>Bxb1 SV40 NLS +AZD</t>
  </si>
  <si>
    <t>Bxb1 2xNPL NLS -AZD</t>
  </si>
  <si>
    <t>Bxb1 2xNPL NLS +AZD</t>
  </si>
  <si>
    <t>eeBxb1 2xNPL NLS -AZD</t>
  </si>
  <si>
    <t>eeBxb1 2xNPL NLS +AZD</t>
  </si>
  <si>
    <t>eePassige</t>
  </si>
  <si>
    <t>ONE-STEP tagging</t>
  </si>
  <si>
    <t xml:space="preserve"> HDR</t>
  </si>
  <si>
    <t>attp(GA)-mNg(GT)</t>
  </si>
  <si>
    <t>attp(GT)-mNg(GA)</t>
  </si>
  <si>
    <t>attp(GA)-mNg(GA)</t>
  </si>
  <si>
    <t>attp(GT)-mNg(GT)</t>
  </si>
  <si>
    <t>double tagging minicircle</t>
  </si>
  <si>
    <t>MAP4</t>
  </si>
  <si>
    <t>FBL</t>
  </si>
  <si>
    <t>LMNA</t>
  </si>
  <si>
    <t>K562</t>
  </si>
  <si>
    <t>ATA1D</t>
  </si>
  <si>
    <t>KOLF_2_C1</t>
  </si>
  <si>
    <t xml:space="preserve">GAmNgGT </t>
  </si>
  <si>
    <t xml:space="preserve">GTmNg </t>
  </si>
  <si>
    <t>Unedited</t>
  </si>
  <si>
    <t>mNg probe</t>
  </si>
  <si>
    <t>mCh probe</t>
  </si>
  <si>
    <t>mCh +</t>
  </si>
  <si>
    <t>mCh  +</t>
  </si>
  <si>
    <t>mNg +</t>
  </si>
  <si>
    <t>mCh/mNg +</t>
  </si>
  <si>
    <t>mCherry positive</t>
  </si>
  <si>
    <t>mNg positive</t>
  </si>
  <si>
    <t>mCherry/mNg positive</t>
  </si>
  <si>
    <t>Control</t>
  </si>
  <si>
    <t>TRAC eGFP</t>
  </si>
  <si>
    <t>Untagged cells</t>
  </si>
  <si>
    <t>mCh MAP4</t>
  </si>
  <si>
    <t>BFP-GFP HDR efficiency</t>
  </si>
  <si>
    <t>BFP KO efficiency</t>
  </si>
  <si>
    <t>mNg ACTR10</t>
  </si>
  <si>
    <t>B2M KO efficiency</t>
  </si>
  <si>
    <t>whole population</t>
  </si>
  <si>
    <t>Random vs. 1-fold</t>
  </si>
  <si>
    <t>Random vs. 6-fold</t>
  </si>
  <si>
    <t>Random vs. 3-fold</t>
  </si>
  <si>
    <t>1-fold vs. 3-fold</t>
  </si>
  <si>
    <t>1-fold vs. 6-fold</t>
  </si>
  <si>
    <t>3-fold vs. 6-fold</t>
  </si>
  <si>
    <t>Two-tailed t-test</t>
  </si>
  <si>
    <t>Equal variances t-test
(Fisher's or Student's)</t>
  </si>
  <si>
    <t>Asterisks</t>
  </si>
  <si>
    <t>p-value threshold</t>
  </si>
  <si>
    <t>Interpretation</t>
  </si>
  <si>
    <t>*</t>
  </si>
  <si>
    <t>p &lt; 0.05</t>
  </si>
  <si>
    <t>Statistically significant</t>
  </si>
  <si>
    <t>**</t>
  </si>
  <si>
    <t>p &lt; 0.01</t>
  </si>
  <si>
    <t>Very statistically significant</t>
  </si>
  <si>
    <t>***</t>
  </si>
  <si>
    <t>p &lt; 0.001</t>
  </si>
  <si>
    <t>Extremely statistically significant</t>
  </si>
  <si>
    <t>ns</t>
  </si>
  <si>
    <t>p ≥ 0.05</t>
  </si>
  <si>
    <t>Not significant</t>
  </si>
  <si>
    <t>WT vs. NPL</t>
  </si>
  <si>
    <t>WT vs. eeBxb1</t>
  </si>
  <si>
    <t>NPL vs. eeBxb1</t>
  </si>
  <si>
    <t>DMSO vs. NU</t>
  </si>
  <si>
    <t>DMSO vs. IDT</t>
  </si>
  <si>
    <t>DMSO vs. M3</t>
  </si>
  <si>
    <t>DMSO vs. AZD</t>
  </si>
  <si>
    <t>Example for the figure (to do on biorender?)</t>
  </si>
  <si>
    <t>WT - / +</t>
  </si>
  <si>
    <t>NPL - / +</t>
  </si>
  <si>
    <t>eeBxb1 -/+</t>
  </si>
  <si>
    <t>Passige vs. ONE STEP</t>
  </si>
  <si>
    <t>HDR vs. Passige</t>
  </si>
  <si>
    <t>HDR vs. ONE STEP</t>
  </si>
  <si>
    <t>GA GT vs. GT GA</t>
  </si>
  <si>
    <t>GA GA vs. GT GT</t>
  </si>
  <si>
    <t>GA GT vs. GA GA</t>
  </si>
  <si>
    <t>GA GT vs. GT GT</t>
  </si>
  <si>
    <t>GT GA vs. GT GT</t>
  </si>
  <si>
    <t>GT GA vs. GA GA</t>
  </si>
  <si>
    <t>Untagged vs. mCh</t>
  </si>
  <si>
    <t>Untagged vs. mNg</t>
  </si>
  <si>
    <t>Control vs. TRAC</t>
  </si>
  <si>
    <t>Whole vs. eGFP</t>
  </si>
  <si>
    <t>GA GT vs. GT</t>
  </si>
  <si>
    <t>MAP4 vs. FBL</t>
  </si>
  <si>
    <t>MAP4 vs. LMNA</t>
  </si>
  <si>
    <t>FBL vs. LMNA</t>
  </si>
  <si>
    <t>ATA1 vs. K562</t>
  </si>
  <si>
    <t>ATA1 vs. KOLF2</t>
  </si>
  <si>
    <t>K562 vs. KOLF2</t>
  </si>
  <si>
    <t>Unedited mNg vs. mCh</t>
  </si>
  <si>
    <t>mCh+ mNg vs. mCh</t>
  </si>
  <si>
    <t>mNg+ mNg vs. mCh</t>
  </si>
  <si>
    <t>mCh/mNg+ mNg vs. mCh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</si>
</sst>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8</xdr:row>
      <xdr:rowOff>50800</xdr:rowOff>
    </xdr:from>
    <xdr:to>
      <xdr:col>7</xdr:col>
      <xdr:colOff>279400</xdr:colOff>
      <xdr:row>24</xdr:row>
      <xdr:rowOff>195414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E94D77-4E04-6EE4-161B-316E594964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5392" t="4975"/>
        <a:stretch>
          <a:fillRect/>
        </a:stretch>
      </xdr:blipFill>
      <xdr:spPr>
        <a:xfrm>
          <a:off x="4622800" y="1905000"/>
          <a:ext cx="3467100" cy="33958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406400</xdr:colOff>
      <xdr:row>6</xdr:row>
      <xdr:rowOff>457200</xdr:rowOff>
    </xdr:from>
    <xdr:to>
      <xdr:col>8</xdr:col>
      <xdr:colOff>492038</xdr:colOff>
      <xdr:row>27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A385D5-7BBD-2E45-0A88-B39B407AB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7900" y="1676400"/>
          <a:ext cx="4594138" cy="4229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1333500</xdr:colOff>
      <xdr:row>9</xdr:row>
      <xdr:rowOff>25400</xdr:rowOff>
    </xdr:from>
    <xdr:to>
      <xdr:col>7</xdr:col>
      <xdr:colOff>730830</xdr:colOff>
      <xdr:row>29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55A84C-1B65-2EBE-51CD-8863D3C65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5500" y="2082800"/>
          <a:ext cx="4261430" cy="411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50FC-175D-1C4A-B5C1-42E06048BA7D}">
  <dimension ref="A1:J15"/>
  <sheetViews>
    <sheetView workbookViewId="0">
      <selection activeCell="J10" sqref="J10"/>
    </sheetView>
  </sheetViews>
  <sheetFormatPr baseColWidth="10" defaultRowHeight="16" x14ac:dyDescent="0.2"/>
  <cols>
    <col min="1" max="1" width="17.1640625" bestFit="1" customWidth="1"/>
    <col min="2" max="2" width="22" customWidth="1"/>
    <col min="3" max="3" width="20" customWidth="1"/>
    <col min="8" max="8" width="9.1640625" bestFit="1" customWidth="1"/>
    <col min="9" max="9" width="15.33203125" bestFit="1" customWidth="1"/>
    <col min="10" max="10" width="28.1640625" bestFit="1" customWidth="1"/>
  </cols>
  <sheetData>
    <row r="1" spans="1:10" x14ac:dyDescent="0.2">
      <c r="A1" t="s">
        <v>5</v>
      </c>
      <c r="B1" t="s">
        <v>6</v>
      </c>
      <c r="C1" t="s">
        <v>7</v>
      </c>
      <c r="D1" t="s">
        <v>8</v>
      </c>
    </row>
    <row r="2" spans="1:10" x14ac:dyDescent="0.2">
      <c r="A2">
        <v>0.13</v>
      </c>
      <c r="B2">
        <v>2.6</v>
      </c>
      <c r="C2">
        <v>3.18</v>
      </c>
      <c r="D2">
        <v>10.24</v>
      </c>
      <c r="H2" s="4" t="s">
        <v>63</v>
      </c>
      <c r="I2" s="4" t="s">
        <v>64</v>
      </c>
      <c r="J2" s="4" t="s">
        <v>65</v>
      </c>
    </row>
    <row r="3" spans="1:10" x14ac:dyDescent="0.2">
      <c r="A3">
        <v>0.06</v>
      </c>
      <c r="B3">
        <v>3.13</v>
      </c>
      <c r="C3">
        <v>3.36</v>
      </c>
      <c r="D3">
        <v>8.48</v>
      </c>
      <c r="H3" t="s">
        <v>66</v>
      </c>
      <c r="I3" t="s">
        <v>67</v>
      </c>
      <c r="J3" t="s">
        <v>68</v>
      </c>
    </row>
    <row r="4" spans="1:10" x14ac:dyDescent="0.2">
      <c r="A4">
        <v>0.11</v>
      </c>
      <c r="B4">
        <v>1.23</v>
      </c>
      <c r="C4">
        <v>7.24</v>
      </c>
      <c r="D4">
        <v>10.8</v>
      </c>
      <c r="H4" t="s">
        <v>69</v>
      </c>
      <c r="I4" t="s">
        <v>70</v>
      </c>
      <c r="J4" t="s">
        <v>71</v>
      </c>
    </row>
    <row r="5" spans="1:10" x14ac:dyDescent="0.2">
      <c r="H5" t="s">
        <v>72</v>
      </c>
      <c r="I5" t="s">
        <v>73</v>
      </c>
      <c r="J5" t="s">
        <v>74</v>
      </c>
    </row>
    <row r="6" spans="1:10" x14ac:dyDescent="0.2">
      <c r="B6" s="3" t="s">
        <v>61</v>
      </c>
      <c r="H6" t="s">
        <v>75</v>
      </c>
      <c r="I6" t="s">
        <v>76</v>
      </c>
      <c r="J6" t="s">
        <v>77</v>
      </c>
    </row>
    <row r="7" spans="1:10" ht="34" x14ac:dyDescent="0.2">
      <c r="B7" s="2" t="s">
        <v>62</v>
      </c>
    </row>
    <row r="8" spans="1:10" x14ac:dyDescent="0.2">
      <c r="A8" t="s">
        <v>55</v>
      </c>
      <c r="B8">
        <f>_xlfn.T.TEST($A$2:$A$4, $B$2:$B$4, 2, 2)</f>
        <v>1.7260210328246494E-2</v>
      </c>
      <c r="C8" t="s">
        <v>66</v>
      </c>
      <c r="D8" s="3" t="s">
        <v>85</v>
      </c>
    </row>
    <row r="9" spans="1:10" x14ac:dyDescent="0.2">
      <c r="A9" t="s">
        <v>57</v>
      </c>
      <c r="B9">
        <f>_xlfn.T.TEST($A$2:$A$4, $C$2:$C$4, 2, 2)</f>
        <v>2.7468284999614741E-2</v>
      </c>
      <c r="C9" t="s">
        <v>66</v>
      </c>
    </row>
    <row r="10" spans="1:10" x14ac:dyDescent="0.2">
      <c r="A10" t="s">
        <v>56</v>
      </c>
      <c r="B10">
        <f>_xlfn.T.TEST($A$2:$A$4, $D$2:$D$4, 2, 2)</f>
        <v>1.5406232741812191E-4</v>
      </c>
      <c r="C10" t="s">
        <v>72</v>
      </c>
    </row>
    <row r="12" spans="1:10" x14ac:dyDescent="0.2">
      <c r="A12" t="s">
        <v>58</v>
      </c>
      <c r="B12">
        <f>_xlfn.T.TEST($B$2:$B$4, $C$2:$C$4, 2, 2)</f>
        <v>0.18961034588150585</v>
      </c>
      <c r="C12" t="s">
        <v>75</v>
      </c>
    </row>
    <row r="13" spans="1:10" x14ac:dyDescent="0.2">
      <c r="A13" t="s">
        <v>59</v>
      </c>
      <c r="B13">
        <f>_xlfn.T.TEST($B$2:$B$4, $D$2:$D$4, 2, 2)</f>
        <v>1.1189690701130554E-3</v>
      </c>
      <c r="C13" t="s">
        <v>69</v>
      </c>
    </row>
    <row r="15" spans="1:10" x14ac:dyDescent="0.2">
      <c r="A15" t="s">
        <v>60</v>
      </c>
      <c r="B15">
        <f>_xlfn.T.TEST($C$2:$C$4, $D$2:$D$4, 2, 2)</f>
        <v>2.4813684134943028E-2</v>
      </c>
      <c r="C15" t="s">
        <v>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DD22-DC97-AC41-A5F8-664B68D45083}">
  <dimension ref="A1:J10"/>
  <sheetViews>
    <sheetView workbookViewId="0">
      <selection activeCell="B10" sqref="B10"/>
    </sheetView>
  </sheetViews>
  <sheetFormatPr baseColWidth="10" defaultRowHeight="16" x14ac:dyDescent="0.2"/>
  <cols>
    <col min="1" max="1" width="15.83203125" bestFit="1" customWidth="1"/>
    <col min="2" max="2" width="18.83203125" bestFit="1" customWidth="1"/>
    <col min="3" max="3" width="16.83203125" bestFit="1" customWidth="1"/>
  </cols>
  <sheetData>
    <row r="1" spans="1:10" x14ac:dyDescent="0.2">
      <c r="A1" t="s">
        <v>0</v>
      </c>
      <c r="B1" t="s">
        <v>1</v>
      </c>
      <c r="C1" t="s">
        <v>2</v>
      </c>
    </row>
    <row r="2" spans="1:10" x14ac:dyDescent="0.2">
      <c r="A2">
        <v>3</v>
      </c>
      <c r="B2">
        <v>5.55</v>
      </c>
      <c r="C2">
        <v>6.86</v>
      </c>
      <c r="H2" s="4" t="s">
        <v>63</v>
      </c>
      <c r="I2" s="4" t="s">
        <v>64</v>
      </c>
      <c r="J2" s="4" t="s">
        <v>65</v>
      </c>
    </row>
    <row r="3" spans="1:10" x14ac:dyDescent="0.2">
      <c r="A3">
        <v>2.85</v>
      </c>
      <c r="B3">
        <v>6.2</v>
      </c>
      <c r="C3">
        <v>7.34</v>
      </c>
      <c r="H3" t="s">
        <v>66</v>
      </c>
      <c r="I3" t="s">
        <v>67</v>
      </c>
      <c r="J3" t="s">
        <v>68</v>
      </c>
    </row>
    <row r="4" spans="1:10" x14ac:dyDescent="0.2">
      <c r="A4">
        <v>3.81</v>
      </c>
      <c r="B4">
        <v>5.77</v>
      </c>
      <c r="C4">
        <v>8.33</v>
      </c>
      <c r="H4" t="s">
        <v>69</v>
      </c>
      <c r="I4" t="s">
        <v>70</v>
      </c>
      <c r="J4" t="s">
        <v>71</v>
      </c>
    </row>
    <row r="5" spans="1:10" x14ac:dyDescent="0.2">
      <c r="H5" t="s">
        <v>72</v>
      </c>
      <c r="I5" t="s">
        <v>73</v>
      </c>
      <c r="J5" t="s">
        <v>74</v>
      </c>
    </row>
    <row r="6" spans="1:10" x14ac:dyDescent="0.2">
      <c r="B6" s="3" t="s">
        <v>61</v>
      </c>
      <c r="H6" t="s">
        <v>75</v>
      </c>
      <c r="I6" t="s">
        <v>76</v>
      </c>
      <c r="J6" t="s">
        <v>77</v>
      </c>
    </row>
    <row r="7" spans="1:10" ht="34" x14ac:dyDescent="0.2">
      <c r="B7" s="2" t="s">
        <v>62</v>
      </c>
    </row>
    <row r="8" spans="1:10" x14ac:dyDescent="0.2">
      <c r="A8" t="s">
        <v>78</v>
      </c>
      <c r="B8">
        <f>_xlfn.T.TEST($A$2:$A$4, $B$2:$B$4, 2, 2)</f>
        <v>1.7782047203998388E-3</v>
      </c>
      <c r="C8" t="s">
        <v>69</v>
      </c>
    </row>
    <row r="9" spans="1:10" x14ac:dyDescent="0.2">
      <c r="A9" t="s">
        <v>79</v>
      </c>
      <c r="B9">
        <f>_xlfn.T.TEST($A$2:$A$4, $C$2:$C$4, 2, 2)</f>
        <v>1.2260863379659891E-3</v>
      </c>
      <c r="C9" t="s">
        <v>69</v>
      </c>
    </row>
    <row r="10" spans="1:10" x14ac:dyDescent="0.2">
      <c r="A10" t="s">
        <v>80</v>
      </c>
      <c r="B10">
        <f>_xlfn.T.TEST($B$2:$B$4, $C$2:$C$4, 2, 2)</f>
        <v>2.4217007641564474E-2</v>
      </c>
      <c r="C10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EC74-E061-1B4D-9FCB-09559BBF30FD}">
  <dimension ref="A1:J12"/>
  <sheetViews>
    <sheetView workbookViewId="0">
      <selection activeCell="D28" sqref="D28"/>
    </sheetView>
  </sheetViews>
  <sheetFormatPr baseColWidth="10" defaultRowHeight="16" x14ac:dyDescent="0.2"/>
  <cols>
    <col min="1" max="1" width="19" customWidth="1"/>
    <col min="2" max="2" width="19.33203125" customWidth="1"/>
  </cols>
  <sheetData>
    <row r="1" spans="1:10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10" x14ac:dyDescent="0.2">
      <c r="A2">
        <v>28.47</v>
      </c>
      <c r="B2">
        <v>53.73</v>
      </c>
      <c r="C2">
        <v>70.47</v>
      </c>
      <c r="D2">
        <v>86.61</v>
      </c>
      <c r="E2">
        <v>84.4</v>
      </c>
      <c r="H2" s="4" t="s">
        <v>63</v>
      </c>
      <c r="I2" s="4" t="s">
        <v>64</v>
      </c>
      <c r="J2" s="4" t="s">
        <v>65</v>
      </c>
    </row>
    <row r="3" spans="1:10" x14ac:dyDescent="0.2">
      <c r="A3">
        <v>37.65</v>
      </c>
      <c r="B3">
        <v>49.09</v>
      </c>
      <c r="C3">
        <v>79.61</v>
      </c>
      <c r="D3">
        <v>87.63</v>
      </c>
      <c r="E3">
        <v>88.78</v>
      </c>
      <c r="H3" t="s">
        <v>66</v>
      </c>
      <c r="I3" t="s">
        <v>67</v>
      </c>
      <c r="J3" t="s">
        <v>68</v>
      </c>
    </row>
    <row r="4" spans="1:10" x14ac:dyDescent="0.2">
      <c r="A4">
        <v>36.090000000000003</v>
      </c>
      <c r="B4">
        <v>52.09</v>
      </c>
      <c r="C4">
        <v>78.28</v>
      </c>
      <c r="D4">
        <v>86.84</v>
      </c>
      <c r="E4">
        <v>90.33</v>
      </c>
      <c r="H4" t="s">
        <v>69</v>
      </c>
      <c r="I4" t="s">
        <v>70</v>
      </c>
      <c r="J4" t="s">
        <v>71</v>
      </c>
    </row>
    <row r="5" spans="1:10" x14ac:dyDescent="0.2">
      <c r="H5" t="s">
        <v>72</v>
      </c>
      <c r="I5" t="s">
        <v>73</v>
      </c>
      <c r="J5" t="s">
        <v>74</v>
      </c>
    </row>
    <row r="6" spans="1:10" x14ac:dyDescent="0.2">
      <c r="H6" t="s">
        <v>75</v>
      </c>
      <c r="I6" t="s">
        <v>76</v>
      </c>
      <c r="J6" t="s">
        <v>77</v>
      </c>
    </row>
    <row r="7" spans="1:10" x14ac:dyDescent="0.2">
      <c r="B7" s="3" t="s">
        <v>61</v>
      </c>
    </row>
    <row r="8" spans="1:10" ht="34" x14ac:dyDescent="0.2">
      <c r="B8" s="2" t="s">
        <v>62</v>
      </c>
    </row>
    <row r="9" spans="1:10" x14ac:dyDescent="0.2">
      <c r="A9" t="s">
        <v>81</v>
      </c>
      <c r="B9">
        <f>_xlfn.T.TEST($A$2:$A$4, $B$2:$B$4, 2, 2)</f>
        <v>5.0364376087384949E-3</v>
      </c>
      <c r="C9" t="s">
        <v>69</v>
      </c>
    </row>
    <row r="10" spans="1:10" x14ac:dyDescent="0.2">
      <c r="A10" t="s">
        <v>82</v>
      </c>
      <c r="B10">
        <f>_xlfn.T.TEST($A$2:$A$4, $C$2:$C$4, 2, 2)</f>
        <v>4.7263607320676662E-4</v>
      </c>
      <c r="C10" t="s">
        <v>72</v>
      </c>
    </row>
    <row r="11" spans="1:10" x14ac:dyDescent="0.2">
      <c r="A11" t="s">
        <v>83</v>
      </c>
      <c r="B11">
        <f>_xlfn.T.TEST($A$2:$A$4, $D$2:$D$4, 2, 2)</f>
        <v>4.9564531830976599E-5</v>
      </c>
      <c r="C11" t="s">
        <v>72</v>
      </c>
    </row>
    <row r="12" spans="1:10" x14ac:dyDescent="0.2">
      <c r="A12" t="s">
        <v>84</v>
      </c>
      <c r="B12">
        <f>_xlfn.T.TEST($A$2:$A$4, $E$2:$E$4, 2, 2)</f>
        <v>8.7714036554988156E-5</v>
      </c>
      <c r="C12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64528-3A31-8D49-83C8-F4A59045CA5B}">
  <dimension ref="A1:J10"/>
  <sheetViews>
    <sheetView workbookViewId="0">
      <selection activeCell="H2" sqref="H2:J6"/>
    </sheetView>
  </sheetViews>
  <sheetFormatPr baseColWidth="10" defaultRowHeight="16" x14ac:dyDescent="0.2"/>
  <cols>
    <col min="1" max="1" width="17.5" bestFit="1" customWidth="1"/>
    <col min="2" max="2" width="24.6640625" customWidth="1"/>
    <col min="3" max="3" width="18.5" bestFit="1" customWidth="1"/>
    <col min="4" max="4" width="18.83203125" bestFit="1" customWidth="1"/>
    <col min="5" max="5" width="20.5" bestFit="1" customWidth="1"/>
    <col min="6" max="6" width="20.83203125" bestFit="1" customWidth="1"/>
  </cols>
  <sheetData>
    <row r="1" spans="1:10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10" x14ac:dyDescent="0.2">
      <c r="A2">
        <v>10.24</v>
      </c>
      <c r="B2">
        <v>58.53</v>
      </c>
      <c r="C2">
        <v>16.57</v>
      </c>
      <c r="D2">
        <v>67.84</v>
      </c>
      <c r="E2">
        <v>23.28</v>
      </c>
      <c r="F2">
        <v>79.03</v>
      </c>
      <c r="H2" s="4" t="s">
        <v>63</v>
      </c>
      <c r="I2" s="4" t="s">
        <v>64</v>
      </c>
      <c r="J2" s="4" t="s">
        <v>65</v>
      </c>
    </row>
    <row r="3" spans="1:10" x14ac:dyDescent="0.2">
      <c r="A3">
        <v>8.48</v>
      </c>
      <c r="B3">
        <v>59.63</v>
      </c>
      <c r="C3">
        <v>11.12</v>
      </c>
      <c r="D3">
        <v>77.84</v>
      </c>
      <c r="E3">
        <v>24.36</v>
      </c>
      <c r="F3">
        <v>81.760000000000005</v>
      </c>
      <c r="H3" t="s">
        <v>66</v>
      </c>
      <c r="I3" t="s">
        <v>67</v>
      </c>
      <c r="J3" t="s">
        <v>68</v>
      </c>
    </row>
    <row r="4" spans="1:10" x14ac:dyDescent="0.2">
      <c r="A4">
        <v>10.8</v>
      </c>
      <c r="B4">
        <v>61.28</v>
      </c>
      <c r="C4">
        <v>21.07</v>
      </c>
      <c r="D4">
        <v>80.98</v>
      </c>
      <c r="E4">
        <v>26.67</v>
      </c>
      <c r="F4">
        <v>81.14</v>
      </c>
      <c r="H4" t="s">
        <v>69</v>
      </c>
      <c r="I4" t="s">
        <v>70</v>
      </c>
      <c r="J4" t="s">
        <v>71</v>
      </c>
    </row>
    <row r="5" spans="1:10" x14ac:dyDescent="0.2">
      <c r="H5" t="s">
        <v>72</v>
      </c>
      <c r="I5" t="s">
        <v>73</v>
      </c>
      <c r="J5" t="s">
        <v>74</v>
      </c>
    </row>
    <row r="6" spans="1:10" x14ac:dyDescent="0.2">
      <c r="B6" s="3" t="s">
        <v>61</v>
      </c>
      <c r="H6" t="s">
        <v>75</v>
      </c>
      <c r="I6" t="s">
        <v>76</v>
      </c>
      <c r="J6" t="s">
        <v>77</v>
      </c>
    </row>
    <row r="7" spans="1:10" ht="34" x14ac:dyDescent="0.2">
      <c r="B7" s="2" t="s">
        <v>62</v>
      </c>
    </row>
    <row r="8" spans="1:10" x14ac:dyDescent="0.2">
      <c r="A8" t="s">
        <v>86</v>
      </c>
      <c r="B8">
        <f>_xlfn.T.TEST($A$2:$A$4, $B$2:$B$4, 2, 2)</f>
        <v>1.2185728375227704E-6</v>
      </c>
      <c r="C8" t="s">
        <v>72</v>
      </c>
    </row>
    <row r="9" spans="1:10" x14ac:dyDescent="0.2">
      <c r="A9" t="s">
        <v>87</v>
      </c>
      <c r="B9">
        <f>_xlfn.T.TEST($C$2:$C$4, $D$2:$D$4, 2, 2)</f>
        <v>2.6657178033616153E-4</v>
      </c>
      <c r="C9" t="s">
        <v>72</v>
      </c>
    </row>
    <row r="10" spans="1:10" x14ac:dyDescent="0.2">
      <c r="A10" t="s">
        <v>88</v>
      </c>
      <c r="B10">
        <f>_xlfn.T.TEST($E$2:$E$4, $F$2:$F$4, 2, 2)</f>
        <v>1.7364234368891583E-6</v>
      </c>
      <c r="C10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5EAEA-9100-F649-AF85-FBBB78248660}">
  <dimension ref="A1:G8"/>
  <sheetViews>
    <sheetView workbookViewId="0">
      <selection activeCell="E2" sqref="E2:G6"/>
    </sheetView>
  </sheetViews>
  <sheetFormatPr baseColWidth="10" defaultRowHeight="16" x14ac:dyDescent="0.2"/>
  <cols>
    <col min="1" max="1" width="18" bestFit="1" customWidth="1"/>
    <col min="2" max="2" width="22.1640625" customWidth="1"/>
  </cols>
  <sheetData>
    <row r="1" spans="1:7" x14ac:dyDescent="0.2">
      <c r="A1" t="s">
        <v>3</v>
      </c>
      <c r="B1" t="s">
        <v>4</v>
      </c>
    </row>
    <row r="2" spans="1:7" x14ac:dyDescent="0.2">
      <c r="A2">
        <v>0.84</v>
      </c>
      <c r="B2">
        <v>11.01</v>
      </c>
      <c r="E2" s="4" t="s">
        <v>63</v>
      </c>
      <c r="F2" s="4" t="s">
        <v>64</v>
      </c>
      <c r="G2" s="4" t="s">
        <v>65</v>
      </c>
    </row>
    <row r="3" spans="1:7" x14ac:dyDescent="0.2">
      <c r="A3">
        <v>1.1100000000000001</v>
      </c>
      <c r="B3">
        <v>21.81</v>
      </c>
      <c r="E3" t="s">
        <v>66</v>
      </c>
      <c r="F3" t="s">
        <v>67</v>
      </c>
      <c r="G3" t="s">
        <v>68</v>
      </c>
    </row>
    <row r="4" spans="1:7" x14ac:dyDescent="0.2">
      <c r="A4">
        <v>1.06</v>
      </c>
      <c r="B4">
        <v>18.54</v>
      </c>
      <c r="E4" t="s">
        <v>69</v>
      </c>
      <c r="F4" t="s">
        <v>70</v>
      </c>
      <c r="G4" t="s">
        <v>71</v>
      </c>
    </row>
    <row r="5" spans="1:7" x14ac:dyDescent="0.2">
      <c r="E5" t="s">
        <v>72</v>
      </c>
      <c r="F5" t="s">
        <v>73</v>
      </c>
      <c r="G5" t="s">
        <v>74</v>
      </c>
    </row>
    <row r="6" spans="1:7" x14ac:dyDescent="0.2">
      <c r="B6" s="3" t="s">
        <v>61</v>
      </c>
      <c r="E6" t="s">
        <v>75</v>
      </c>
      <c r="F6" t="s">
        <v>76</v>
      </c>
      <c r="G6" t="s">
        <v>77</v>
      </c>
    </row>
    <row r="7" spans="1:7" ht="34" x14ac:dyDescent="0.2">
      <c r="B7" s="2" t="s">
        <v>62</v>
      </c>
    </row>
    <row r="8" spans="1:7" x14ac:dyDescent="0.2">
      <c r="A8" t="s">
        <v>89</v>
      </c>
      <c r="B8">
        <f>_xlfn.T.TEST($A$2:$A$4, $B$2:$B$4, 2, 2)</f>
        <v>7.288839002549282E-3</v>
      </c>
      <c r="C8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2D6DF-9D17-DE43-ACC4-6E18CB732022}">
  <dimension ref="A1:H10"/>
  <sheetViews>
    <sheetView workbookViewId="0">
      <selection activeCell="F2" sqref="F2:I6"/>
    </sheetView>
  </sheetViews>
  <sheetFormatPr baseColWidth="10" defaultRowHeight="16" x14ac:dyDescent="0.2"/>
  <cols>
    <col min="1" max="1" width="18" bestFit="1" customWidth="1"/>
    <col min="2" max="2" width="23.83203125" customWidth="1"/>
    <col min="3" max="3" width="15.33203125" bestFit="1" customWidth="1"/>
  </cols>
  <sheetData>
    <row r="1" spans="1:8" x14ac:dyDescent="0.2">
      <c r="A1" t="s">
        <v>22</v>
      </c>
      <c r="B1" t="s">
        <v>20</v>
      </c>
      <c r="C1" t="s">
        <v>21</v>
      </c>
    </row>
    <row r="2" spans="1:8" x14ac:dyDescent="0.2">
      <c r="A2">
        <v>27.96</v>
      </c>
      <c r="B2">
        <v>0.22</v>
      </c>
      <c r="C2">
        <v>79.03</v>
      </c>
      <c r="F2" s="4" t="s">
        <v>63</v>
      </c>
      <c r="G2" s="4" t="s">
        <v>64</v>
      </c>
      <c r="H2" s="4" t="s">
        <v>65</v>
      </c>
    </row>
    <row r="3" spans="1:8" x14ac:dyDescent="0.2">
      <c r="A3">
        <v>30.59</v>
      </c>
      <c r="B3">
        <v>0.19</v>
      </c>
      <c r="C3">
        <v>81.760000000000005</v>
      </c>
      <c r="F3" t="s">
        <v>66</v>
      </c>
      <c r="G3" t="s">
        <v>67</v>
      </c>
      <c r="H3" t="s">
        <v>68</v>
      </c>
    </row>
    <row r="4" spans="1:8" x14ac:dyDescent="0.2">
      <c r="B4">
        <v>0.24</v>
      </c>
      <c r="C4">
        <v>81.14</v>
      </c>
      <c r="F4" t="s">
        <v>69</v>
      </c>
      <c r="G4" t="s">
        <v>70</v>
      </c>
      <c r="H4" t="s">
        <v>71</v>
      </c>
    </row>
    <row r="5" spans="1:8" x14ac:dyDescent="0.2">
      <c r="F5" t="s">
        <v>72</v>
      </c>
      <c r="G5" t="s">
        <v>73</v>
      </c>
      <c r="H5" t="s">
        <v>74</v>
      </c>
    </row>
    <row r="6" spans="1:8" x14ac:dyDescent="0.2">
      <c r="B6" s="3" t="s">
        <v>61</v>
      </c>
      <c r="F6" t="s">
        <v>75</v>
      </c>
      <c r="G6" t="s">
        <v>76</v>
      </c>
      <c r="H6" t="s">
        <v>77</v>
      </c>
    </row>
    <row r="7" spans="1:8" ht="34" x14ac:dyDescent="0.2">
      <c r="B7" s="2" t="s">
        <v>62</v>
      </c>
    </row>
    <row r="8" spans="1:8" x14ac:dyDescent="0.2">
      <c r="A8" t="s">
        <v>90</v>
      </c>
      <c r="B8">
        <f>_xlfn.T.TEST($A$2:$A$4, $B$2:$B$4, 2, 2)</f>
        <v>8.4331360940047506E-5</v>
      </c>
      <c r="C8" t="s">
        <v>72</v>
      </c>
    </row>
    <row r="9" spans="1:8" x14ac:dyDescent="0.2">
      <c r="A9" t="s">
        <v>91</v>
      </c>
      <c r="B9">
        <f>_xlfn.T.TEST($A$2:$A$4, $C$2:$C$4, 2, 2)</f>
        <v>4.9321133452098111E-5</v>
      </c>
      <c r="C9" t="s">
        <v>72</v>
      </c>
    </row>
    <row r="10" spans="1:8" x14ac:dyDescent="0.2">
      <c r="A10" t="s">
        <v>89</v>
      </c>
      <c r="B10">
        <f>_xlfn.T.TEST($B$2:$B$4, $C$2:$C$4, 2, 2)</f>
        <v>6.6839043424912388E-8</v>
      </c>
      <c r="C10" t="s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1027-E691-AB49-ACC9-2CC657103446}">
  <dimension ref="A1:I15"/>
  <sheetViews>
    <sheetView workbookViewId="0">
      <selection activeCell="A6" sqref="A6:C15"/>
    </sheetView>
  </sheetViews>
  <sheetFormatPr baseColWidth="10" defaultRowHeight="16" x14ac:dyDescent="0.2"/>
  <cols>
    <col min="1" max="1" width="16" bestFit="1" customWidth="1"/>
    <col min="2" max="2" width="25.1640625" customWidth="1"/>
    <col min="3" max="3" width="16.33203125" bestFit="1" customWidth="1"/>
    <col min="4" max="4" width="15.83203125" bestFit="1" customWidth="1"/>
  </cols>
  <sheetData>
    <row r="1" spans="1:9" x14ac:dyDescent="0.2">
      <c r="A1" t="s">
        <v>23</v>
      </c>
      <c r="B1" t="s">
        <v>24</v>
      </c>
      <c r="C1" t="s">
        <v>25</v>
      </c>
      <c r="D1" t="s">
        <v>26</v>
      </c>
    </row>
    <row r="2" spans="1:9" x14ac:dyDescent="0.2">
      <c r="A2">
        <v>5.99</v>
      </c>
      <c r="B2">
        <v>5.98</v>
      </c>
      <c r="C2">
        <v>78.61</v>
      </c>
      <c r="D2">
        <v>79.319999999999993</v>
      </c>
      <c r="G2" s="4" t="s">
        <v>63</v>
      </c>
      <c r="H2" s="4" t="s">
        <v>64</v>
      </c>
      <c r="I2" s="4" t="s">
        <v>65</v>
      </c>
    </row>
    <row r="3" spans="1:9" x14ac:dyDescent="0.2">
      <c r="A3">
        <v>5.28</v>
      </c>
      <c r="B3">
        <v>8.0500000000000007</v>
      </c>
      <c r="C3">
        <v>81.7</v>
      </c>
      <c r="D3">
        <v>81.7</v>
      </c>
      <c r="G3" t="s">
        <v>66</v>
      </c>
      <c r="H3" t="s">
        <v>67</v>
      </c>
      <c r="I3" t="s">
        <v>68</v>
      </c>
    </row>
    <row r="4" spans="1:9" x14ac:dyDescent="0.2">
      <c r="A4">
        <v>8.59</v>
      </c>
      <c r="B4">
        <v>6.96</v>
      </c>
      <c r="C4">
        <v>78.34</v>
      </c>
      <c r="D4">
        <v>81.08</v>
      </c>
      <c r="G4" t="s">
        <v>69</v>
      </c>
      <c r="H4" t="s">
        <v>70</v>
      </c>
      <c r="I4" t="s">
        <v>71</v>
      </c>
    </row>
    <row r="5" spans="1:9" x14ac:dyDescent="0.2">
      <c r="G5" t="s">
        <v>72</v>
      </c>
      <c r="H5" t="s">
        <v>73</v>
      </c>
      <c r="I5" t="s">
        <v>74</v>
      </c>
    </row>
    <row r="6" spans="1:9" x14ac:dyDescent="0.2">
      <c r="B6" s="3" t="s">
        <v>61</v>
      </c>
      <c r="G6" t="s">
        <v>75</v>
      </c>
      <c r="H6" t="s">
        <v>76</v>
      </c>
      <c r="I6" t="s">
        <v>77</v>
      </c>
    </row>
    <row r="7" spans="1:9" ht="34" x14ac:dyDescent="0.2">
      <c r="B7" s="2" t="s">
        <v>62</v>
      </c>
    </row>
    <row r="8" spans="1:9" x14ac:dyDescent="0.2">
      <c r="A8" t="s">
        <v>92</v>
      </c>
      <c r="B8">
        <f>_xlfn.T.TEST($A$2:$A$4, $B$2:$B$4, 2, 2)</f>
        <v>0.76368411629308774</v>
      </c>
      <c r="C8" t="s">
        <v>75</v>
      </c>
    </row>
    <row r="9" spans="1:9" x14ac:dyDescent="0.2">
      <c r="A9" t="s">
        <v>94</v>
      </c>
      <c r="B9">
        <f>_xlfn.T.TEST($A$2:$A$4, $C$2:$C$4, 2, 2)</f>
        <v>9.996233185025722E-7</v>
      </c>
      <c r="C9" t="s">
        <v>72</v>
      </c>
    </row>
    <row r="10" spans="1:9" x14ac:dyDescent="0.2">
      <c r="A10" t="s">
        <v>95</v>
      </c>
      <c r="B10">
        <f>_xlfn.T.TEST($A$2:$A$4, $D$2:$D$4, 2, 2)</f>
        <v>4.59665955752795E-7</v>
      </c>
      <c r="C10" t="s">
        <v>72</v>
      </c>
    </row>
    <row r="12" spans="1:9" x14ac:dyDescent="0.2">
      <c r="A12" t="s">
        <v>97</v>
      </c>
      <c r="B12">
        <f>_xlfn.T.TEST($B$2:$B$4, $C$2:$C$4, 2, 2)</f>
        <v>4.9873031933542088E-7</v>
      </c>
      <c r="C12" t="s">
        <v>72</v>
      </c>
    </row>
    <row r="13" spans="1:9" x14ac:dyDescent="0.2">
      <c r="A13" t="s">
        <v>96</v>
      </c>
      <c r="B13">
        <f>_xlfn.T.TEST($B$2:$B$4, $D$2:$D$4, 2, 2)</f>
        <v>1.5216693460449177E-7</v>
      </c>
      <c r="C13" t="s">
        <v>72</v>
      </c>
    </row>
    <row r="15" spans="1:9" x14ac:dyDescent="0.2">
      <c r="A15" t="s">
        <v>93</v>
      </c>
      <c r="B15">
        <f>_xlfn.T.TEST($C$2:$C$4, $D$2:$D$4, 2, 2)</f>
        <v>0.4237856292467817</v>
      </c>
      <c r="C15" t="s">
        <v>75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11A7-9697-DA45-A199-69EFBEFED391}">
  <dimension ref="A1:J9"/>
  <sheetViews>
    <sheetView workbookViewId="0">
      <selection activeCell="H2" sqref="H2:J7"/>
    </sheetView>
  </sheetViews>
  <sheetFormatPr baseColWidth="10" defaultRowHeight="16" x14ac:dyDescent="0.2"/>
  <cols>
    <col min="1" max="1" width="21.5" bestFit="1" customWidth="1"/>
    <col min="2" max="2" width="28" customWidth="1"/>
    <col min="3" max="3" width="11.5" bestFit="1" customWidth="1"/>
    <col min="4" max="4" width="19.33203125" bestFit="1" customWidth="1"/>
  </cols>
  <sheetData>
    <row r="1" spans="1:10" x14ac:dyDescent="0.2">
      <c r="A1" t="s">
        <v>27</v>
      </c>
    </row>
    <row r="2" spans="1:10" x14ac:dyDescent="0.2">
      <c r="A2" t="s">
        <v>36</v>
      </c>
      <c r="B2" t="s">
        <v>43</v>
      </c>
      <c r="C2" t="s">
        <v>44</v>
      </c>
      <c r="D2" t="s">
        <v>45</v>
      </c>
      <c r="H2" s="4" t="s">
        <v>63</v>
      </c>
      <c r="I2" s="4" t="s">
        <v>64</v>
      </c>
      <c r="J2" s="4" t="s">
        <v>65</v>
      </c>
    </row>
    <row r="3" spans="1:10" x14ac:dyDescent="0.2">
      <c r="A3">
        <v>48.65</v>
      </c>
      <c r="B3">
        <v>0.89</v>
      </c>
      <c r="C3">
        <v>23.55</v>
      </c>
      <c r="D3">
        <v>26.91</v>
      </c>
      <c r="H3" t="s">
        <v>66</v>
      </c>
      <c r="I3" t="s">
        <v>67</v>
      </c>
      <c r="J3" t="s">
        <v>68</v>
      </c>
    </row>
    <row r="4" spans="1:10" x14ac:dyDescent="0.2">
      <c r="A4">
        <v>50.53</v>
      </c>
      <c r="B4">
        <v>0.65</v>
      </c>
      <c r="C4">
        <v>24.45</v>
      </c>
      <c r="D4">
        <v>24.37</v>
      </c>
      <c r="H4" t="s">
        <v>69</v>
      </c>
      <c r="I4" t="s">
        <v>70</v>
      </c>
      <c r="J4" t="s">
        <v>71</v>
      </c>
    </row>
    <row r="5" spans="1:10" x14ac:dyDescent="0.2">
      <c r="A5">
        <v>53.58</v>
      </c>
      <c r="B5">
        <v>1.47</v>
      </c>
      <c r="C5">
        <v>21.04</v>
      </c>
      <c r="D5">
        <v>23.91</v>
      </c>
      <c r="H5" t="s">
        <v>72</v>
      </c>
      <c r="I5" t="s">
        <v>73</v>
      </c>
      <c r="J5" t="s">
        <v>74</v>
      </c>
    </row>
    <row r="6" spans="1:10" x14ac:dyDescent="0.2">
      <c r="H6" t="s">
        <v>75</v>
      </c>
      <c r="I6" t="s">
        <v>76</v>
      </c>
      <c r="J6" t="s">
        <v>77</v>
      </c>
    </row>
    <row r="8" spans="1:10" x14ac:dyDescent="0.2">
      <c r="B8" s="3"/>
    </row>
    <row r="9" spans="1:10" x14ac:dyDescent="0.2">
      <c r="B9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2626-167D-6C4E-BF21-9584E872A8D5}">
  <dimension ref="A1:H9"/>
  <sheetViews>
    <sheetView workbookViewId="0">
      <selection activeCell="F2" sqref="F2:I7"/>
    </sheetView>
  </sheetViews>
  <sheetFormatPr baseColWidth="10" defaultRowHeight="16" x14ac:dyDescent="0.2"/>
  <cols>
    <col min="1" max="1" width="20.83203125" bestFit="1" customWidth="1"/>
    <col min="2" max="2" width="21.6640625" customWidth="1"/>
  </cols>
  <sheetData>
    <row r="1" spans="1:8" x14ac:dyDescent="0.2">
      <c r="A1" t="s">
        <v>50</v>
      </c>
    </row>
    <row r="2" spans="1:8" x14ac:dyDescent="0.2">
      <c r="A2" t="s">
        <v>48</v>
      </c>
      <c r="B2" t="s">
        <v>49</v>
      </c>
      <c r="F2" s="4" t="s">
        <v>63</v>
      </c>
      <c r="G2" s="4" t="s">
        <v>64</v>
      </c>
      <c r="H2" s="4" t="s">
        <v>65</v>
      </c>
    </row>
    <row r="3" spans="1:8" x14ac:dyDescent="0.2">
      <c r="A3">
        <v>32.08</v>
      </c>
      <c r="B3">
        <v>81.62</v>
      </c>
      <c r="F3" t="s">
        <v>66</v>
      </c>
      <c r="G3" t="s">
        <v>67</v>
      </c>
      <c r="H3" t="s">
        <v>68</v>
      </c>
    </row>
    <row r="4" spans="1:8" x14ac:dyDescent="0.2">
      <c r="A4">
        <v>26.06</v>
      </c>
      <c r="B4">
        <v>76.58</v>
      </c>
      <c r="F4" t="s">
        <v>69</v>
      </c>
      <c r="G4" t="s">
        <v>70</v>
      </c>
      <c r="H4" t="s">
        <v>71</v>
      </c>
    </row>
    <row r="5" spans="1:8" x14ac:dyDescent="0.2">
      <c r="A5">
        <v>31.47</v>
      </c>
      <c r="B5">
        <v>76.37</v>
      </c>
      <c r="F5" t="s">
        <v>72</v>
      </c>
      <c r="G5" t="s">
        <v>73</v>
      </c>
      <c r="H5" t="s">
        <v>74</v>
      </c>
    </row>
    <row r="6" spans="1:8" x14ac:dyDescent="0.2">
      <c r="F6" t="s">
        <v>75</v>
      </c>
      <c r="G6" t="s">
        <v>76</v>
      </c>
      <c r="H6" t="s">
        <v>77</v>
      </c>
    </row>
    <row r="7" spans="1:8" x14ac:dyDescent="0.2">
      <c r="B7" s="3" t="s">
        <v>61</v>
      </c>
    </row>
    <row r="8" spans="1:8" ht="34" x14ac:dyDescent="0.2">
      <c r="B8" s="2" t="s">
        <v>62</v>
      </c>
    </row>
    <row r="9" spans="1:8" x14ac:dyDescent="0.2">
      <c r="A9" t="s">
        <v>98</v>
      </c>
      <c r="B9">
        <f>_xlfn.T.TEST($A$3:$A$5, $B$3:$B$5, 2, 2)</f>
        <v>4.7123122473140078E-5</v>
      </c>
      <c r="C9" t="s">
        <v>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DFD5-F38F-8442-94A2-5DC55D5679B6}">
  <dimension ref="A1:I9"/>
  <sheetViews>
    <sheetView workbookViewId="0">
      <selection activeCell="G2" sqref="G2:J7"/>
    </sheetView>
  </sheetViews>
  <sheetFormatPr baseColWidth="10" defaultRowHeight="16" x14ac:dyDescent="0.2"/>
  <cols>
    <col min="1" max="1" width="15.1640625" bestFit="1" customWidth="1"/>
    <col min="2" max="2" width="19.1640625" customWidth="1"/>
  </cols>
  <sheetData>
    <row r="1" spans="1:9" x14ac:dyDescent="0.2">
      <c r="A1" t="s">
        <v>51</v>
      </c>
    </row>
    <row r="2" spans="1:9" x14ac:dyDescent="0.2">
      <c r="A2" t="s">
        <v>48</v>
      </c>
      <c r="B2" t="s">
        <v>52</v>
      </c>
      <c r="G2" s="4" t="s">
        <v>63</v>
      </c>
      <c r="H2" s="4" t="s">
        <v>64</v>
      </c>
      <c r="I2" s="4" t="s">
        <v>65</v>
      </c>
    </row>
    <row r="3" spans="1:9" x14ac:dyDescent="0.2">
      <c r="A3">
        <v>59.26</v>
      </c>
      <c r="B3">
        <v>89.99</v>
      </c>
      <c r="G3" t="s">
        <v>66</v>
      </c>
      <c r="H3" t="s">
        <v>67</v>
      </c>
      <c r="I3" t="s">
        <v>68</v>
      </c>
    </row>
    <row r="4" spans="1:9" x14ac:dyDescent="0.2">
      <c r="A4">
        <v>45.55</v>
      </c>
      <c r="B4">
        <v>87.72</v>
      </c>
      <c r="G4" t="s">
        <v>69</v>
      </c>
      <c r="H4" t="s">
        <v>70</v>
      </c>
      <c r="I4" t="s">
        <v>71</v>
      </c>
    </row>
    <row r="5" spans="1:9" x14ac:dyDescent="0.2">
      <c r="A5">
        <v>54.07</v>
      </c>
      <c r="B5">
        <v>87.55</v>
      </c>
      <c r="G5" t="s">
        <v>72</v>
      </c>
      <c r="H5" t="s">
        <v>73</v>
      </c>
      <c r="I5" t="s">
        <v>74</v>
      </c>
    </row>
    <row r="6" spans="1:9" x14ac:dyDescent="0.2">
      <c r="G6" t="s">
        <v>75</v>
      </c>
      <c r="H6" t="s">
        <v>76</v>
      </c>
      <c r="I6" t="s">
        <v>77</v>
      </c>
    </row>
    <row r="7" spans="1:9" x14ac:dyDescent="0.2">
      <c r="B7" s="3" t="s">
        <v>61</v>
      </c>
    </row>
    <row r="8" spans="1:9" ht="34" x14ac:dyDescent="0.2">
      <c r="B8" s="2" t="s">
        <v>62</v>
      </c>
    </row>
    <row r="9" spans="1:9" x14ac:dyDescent="0.2">
      <c r="A9" t="s">
        <v>99</v>
      </c>
      <c r="B9">
        <f>_xlfn.T.TEST($A$3:$A$5, $B$3:$B$5, 2, 2)</f>
        <v>9.5860534897694463E-4</v>
      </c>
      <c r="C9" t="s">
        <v>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3F3C-FAE6-1946-B5AD-A71317C44683}">
  <dimension ref="A1:J10"/>
  <sheetViews>
    <sheetView workbookViewId="0">
      <selection activeCell="H2" sqref="H2:K6"/>
    </sheetView>
  </sheetViews>
  <sheetFormatPr baseColWidth="10" defaultRowHeight="16" x14ac:dyDescent="0.2"/>
  <cols>
    <col min="1" max="1" width="16.33203125" customWidth="1"/>
    <col min="2" max="2" width="23.6640625" customWidth="1"/>
  </cols>
  <sheetData>
    <row r="1" spans="1:10" x14ac:dyDescent="0.2">
      <c r="A1" t="s">
        <v>46</v>
      </c>
      <c r="B1">
        <v>0.01</v>
      </c>
    </row>
    <row r="2" spans="1:10" x14ac:dyDescent="0.2">
      <c r="A2" t="s">
        <v>46</v>
      </c>
      <c r="B2">
        <v>0.03</v>
      </c>
      <c r="H2" s="4" t="s">
        <v>63</v>
      </c>
      <c r="I2" s="4" t="s">
        <v>64</v>
      </c>
      <c r="J2" s="4" t="s">
        <v>65</v>
      </c>
    </row>
    <row r="3" spans="1:10" x14ac:dyDescent="0.2">
      <c r="A3" t="s">
        <v>46</v>
      </c>
      <c r="B3">
        <v>0.02</v>
      </c>
      <c r="H3" t="s">
        <v>66</v>
      </c>
      <c r="I3" t="s">
        <v>67</v>
      </c>
      <c r="J3" t="s">
        <v>68</v>
      </c>
    </row>
    <row r="4" spans="1:10" x14ac:dyDescent="0.2">
      <c r="A4" t="s">
        <v>47</v>
      </c>
      <c r="B4">
        <v>12.16</v>
      </c>
      <c r="H4" t="s">
        <v>69</v>
      </c>
      <c r="I4" t="s">
        <v>70</v>
      </c>
      <c r="J4" t="s">
        <v>71</v>
      </c>
    </row>
    <row r="5" spans="1:10" x14ac:dyDescent="0.2">
      <c r="A5" t="s">
        <v>47</v>
      </c>
      <c r="B5">
        <v>11.92</v>
      </c>
      <c r="H5" t="s">
        <v>72</v>
      </c>
      <c r="I5" t="s">
        <v>73</v>
      </c>
      <c r="J5" t="s">
        <v>74</v>
      </c>
    </row>
    <row r="6" spans="1:10" x14ac:dyDescent="0.2">
      <c r="A6" t="s">
        <v>47</v>
      </c>
      <c r="B6">
        <v>12.36</v>
      </c>
      <c r="H6" t="s">
        <v>75</v>
      </c>
      <c r="I6" t="s">
        <v>76</v>
      </c>
      <c r="J6" t="s">
        <v>77</v>
      </c>
    </row>
    <row r="8" spans="1:10" x14ac:dyDescent="0.2">
      <c r="B8" s="3" t="s">
        <v>61</v>
      </c>
    </row>
    <row r="9" spans="1:10" ht="34" x14ac:dyDescent="0.2">
      <c r="B9" s="2" t="s">
        <v>62</v>
      </c>
    </row>
    <row r="10" spans="1:10" x14ac:dyDescent="0.2">
      <c r="A10" t="s">
        <v>100</v>
      </c>
      <c r="B10">
        <f>_xlfn.T.TEST($B$1:$B$3, $B$4:$B$6, 2, 2)</f>
        <v>7.2860467250523155E-8</v>
      </c>
      <c r="C10" t="s">
        <v>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66E3-0798-E742-BBE0-58EEF1E91AC6}">
  <dimension ref="A1:J9"/>
  <sheetViews>
    <sheetView workbookViewId="0">
      <selection activeCell="H2" sqref="H2:K6"/>
    </sheetView>
  </sheetViews>
  <sheetFormatPr baseColWidth="10" defaultRowHeight="16" x14ac:dyDescent="0.2"/>
  <cols>
    <col min="1" max="1" width="16.6640625" customWidth="1"/>
    <col min="2" max="2" width="23.6640625" customWidth="1"/>
  </cols>
  <sheetData>
    <row r="1" spans="1:10" x14ac:dyDescent="0.2">
      <c r="A1" t="s">
        <v>53</v>
      </c>
    </row>
    <row r="2" spans="1:10" x14ac:dyDescent="0.2">
      <c r="A2" t="s">
        <v>54</v>
      </c>
      <c r="B2" t="s">
        <v>47</v>
      </c>
      <c r="H2" s="4" t="s">
        <v>63</v>
      </c>
      <c r="I2" s="4" t="s">
        <v>64</v>
      </c>
      <c r="J2" s="4" t="s">
        <v>65</v>
      </c>
    </row>
    <row r="3" spans="1:10" x14ac:dyDescent="0.2">
      <c r="A3">
        <v>43.08</v>
      </c>
      <c r="B3">
        <v>96.67</v>
      </c>
      <c r="H3" t="s">
        <v>66</v>
      </c>
      <c r="I3" t="s">
        <v>67</v>
      </c>
      <c r="J3" t="s">
        <v>68</v>
      </c>
    </row>
    <row r="4" spans="1:10" x14ac:dyDescent="0.2">
      <c r="A4">
        <v>29.84</v>
      </c>
      <c r="B4">
        <v>95.45</v>
      </c>
      <c r="H4" t="s">
        <v>69</v>
      </c>
      <c r="I4" t="s">
        <v>70</v>
      </c>
      <c r="J4" t="s">
        <v>71</v>
      </c>
    </row>
    <row r="5" spans="1:10" x14ac:dyDescent="0.2">
      <c r="A5">
        <v>38.56</v>
      </c>
      <c r="B5">
        <v>95.1</v>
      </c>
      <c r="H5" t="s">
        <v>72</v>
      </c>
      <c r="I5" t="s">
        <v>73</v>
      </c>
      <c r="J5" t="s">
        <v>74</v>
      </c>
    </row>
    <row r="6" spans="1:10" x14ac:dyDescent="0.2">
      <c r="H6" t="s">
        <v>75</v>
      </c>
      <c r="I6" t="s">
        <v>76</v>
      </c>
      <c r="J6" t="s">
        <v>77</v>
      </c>
    </row>
    <row r="7" spans="1:10" x14ac:dyDescent="0.2">
      <c r="B7" s="3" t="s">
        <v>61</v>
      </c>
    </row>
    <row r="8" spans="1:10" ht="34" x14ac:dyDescent="0.2">
      <c r="B8" s="2" t="s">
        <v>62</v>
      </c>
    </row>
    <row r="9" spans="1:10" x14ac:dyDescent="0.2">
      <c r="A9" t="s">
        <v>101</v>
      </c>
      <c r="B9">
        <f>_xlfn.T.TEST($A$3:$A$5, $B$3:$B$5, 2, 2)</f>
        <v>1.1617429724537582E-4</v>
      </c>
      <c r="C9" t="s">
        <v>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F4014-44ED-564D-B07E-3E59B95566C9}">
  <dimension ref="A1:J8"/>
  <sheetViews>
    <sheetView workbookViewId="0">
      <selection activeCell="H2" sqref="H2:K6"/>
    </sheetView>
  </sheetViews>
  <sheetFormatPr baseColWidth="10" defaultRowHeight="16" x14ac:dyDescent="0.2"/>
  <cols>
    <col min="1" max="1" width="16" bestFit="1" customWidth="1"/>
    <col min="2" max="2" width="22.6640625" customWidth="1"/>
  </cols>
  <sheetData>
    <row r="1" spans="1:10" x14ac:dyDescent="0.2">
      <c r="A1" t="s">
        <v>34</v>
      </c>
      <c r="B1" t="s">
        <v>35</v>
      </c>
    </row>
    <row r="2" spans="1:10" x14ac:dyDescent="0.2">
      <c r="A2">
        <v>57.4</v>
      </c>
      <c r="B2">
        <v>79.03</v>
      </c>
      <c r="H2" s="4" t="s">
        <v>63</v>
      </c>
      <c r="I2" s="4" t="s">
        <v>64</v>
      </c>
      <c r="J2" s="4" t="s">
        <v>65</v>
      </c>
    </row>
    <row r="3" spans="1:10" x14ac:dyDescent="0.2">
      <c r="A3">
        <v>50.1</v>
      </c>
      <c r="B3">
        <v>81.760000000000005</v>
      </c>
      <c r="H3" t="s">
        <v>66</v>
      </c>
      <c r="I3" t="s">
        <v>67</v>
      </c>
      <c r="J3" t="s">
        <v>68</v>
      </c>
    </row>
    <row r="4" spans="1:10" x14ac:dyDescent="0.2">
      <c r="A4">
        <v>53.5</v>
      </c>
      <c r="B4">
        <v>81.14</v>
      </c>
      <c r="H4" t="s">
        <v>69</v>
      </c>
      <c r="I4" t="s">
        <v>70</v>
      </c>
      <c r="J4" t="s">
        <v>71</v>
      </c>
    </row>
    <row r="5" spans="1:10" x14ac:dyDescent="0.2">
      <c r="H5" t="s">
        <v>72</v>
      </c>
      <c r="I5" t="s">
        <v>73</v>
      </c>
      <c r="J5" t="s">
        <v>74</v>
      </c>
    </row>
    <row r="6" spans="1:10" x14ac:dyDescent="0.2">
      <c r="B6" s="3" t="s">
        <v>61</v>
      </c>
      <c r="H6" t="s">
        <v>75</v>
      </c>
      <c r="I6" t="s">
        <v>76</v>
      </c>
      <c r="J6" t="s">
        <v>77</v>
      </c>
    </row>
    <row r="7" spans="1:10" ht="34" x14ac:dyDescent="0.2">
      <c r="B7" s="2" t="s">
        <v>62</v>
      </c>
    </row>
    <row r="8" spans="1:10" x14ac:dyDescent="0.2">
      <c r="A8" t="s">
        <v>102</v>
      </c>
      <c r="B8">
        <f>_xlfn.T.TEST($A$2:$A$4, $B$2:$B$4, 2, 2)</f>
        <v>2.8469538880175859E-4</v>
      </c>
      <c r="C8" t="s">
        <v>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99884-8128-B341-B062-F853900425FB}">
  <dimension ref="A1:J10"/>
  <sheetViews>
    <sheetView workbookViewId="0">
      <selection activeCell="H2" sqref="H2:K7"/>
    </sheetView>
  </sheetViews>
  <sheetFormatPr baseColWidth="10" defaultRowHeight="16" x14ac:dyDescent="0.2"/>
  <cols>
    <col min="1" max="1" width="16.5" customWidth="1"/>
    <col min="2" max="2" width="24.83203125" customWidth="1"/>
  </cols>
  <sheetData>
    <row r="1" spans="1:10" x14ac:dyDescent="0.2">
      <c r="A1" t="s">
        <v>28</v>
      </c>
      <c r="B1" t="s">
        <v>29</v>
      </c>
      <c r="C1" t="s">
        <v>30</v>
      </c>
    </row>
    <row r="2" spans="1:10" x14ac:dyDescent="0.2">
      <c r="A2">
        <v>8.9499999999999993</v>
      </c>
      <c r="B2">
        <v>2.2599999999999998</v>
      </c>
      <c r="C2">
        <v>3.25</v>
      </c>
      <c r="H2" s="4" t="s">
        <v>63</v>
      </c>
      <c r="I2" s="4" t="s">
        <v>64</v>
      </c>
      <c r="J2" s="4" t="s">
        <v>65</v>
      </c>
    </row>
    <row r="3" spans="1:10" x14ac:dyDescent="0.2">
      <c r="A3">
        <v>11.71</v>
      </c>
      <c r="B3">
        <v>2.11</v>
      </c>
      <c r="C3">
        <v>1.9</v>
      </c>
      <c r="H3" t="s">
        <v>66</v>
      </c>
      <c r="I3" t="s">
        <v>67</v>
      </c>
      <c r="J3" t="s">
        <v>68</v>
      </c>
    </row>
    <row r="4" spans="1:10" x14ac:dyDescent="0.2">
      <c r="A4">
        <v>11.9</v>
      </c>
      <c r="B4">
        <v>2.0499999999999998</v>
      </c>
      <c r="C4">
        <v>2.5</v>
      </c>
      <c r="H4" t="s">
        <v>69</v>
      </c>
      <c r="I4" t="s">
        <v>70</v>
      </c>
      <c r="J4" t="s">
        <v>71</v>
      </c>
    </row>
    <row r="5" spans="1:10" x14ac:dyDescent="0.2">
      <c r="H5" t="s">
        <v>72</v>
      </c>
      <c r="I5" t="s">
        <v>73</v>
      </c>
      <c r="J5" t="s">
        <v>74</v>
      </c>
    </row>
    <row r="6" spans="1:10" x14ac:dyDescent="0.2">
      <c r="B6" s="3" t="s">
        <v>61</v>
      </c>
      <c r="H6" t="s">
        <v>75</v>
      </c>
      <c r="I6" t="s">
        <v>76</v>
      </c>
      <c r="J6" t="s">
        <v>77</v>
      </c>
    </row>
    <row r="7" spans="1:10" ht="34" x14ac:dyDescent="0.2">
      <c r="B7" s="2" t="s">
        <v>62</v>
      </c>
    </row>
    <row r="8" spans="1:10" x14ac:dyDescent="0.2">
      <c r="A8" t="s">
        <v>103</v>
      </c>
      <c r="B8">
        <f>_xlfn.T.TEST($A$2:$A$4, $B$2:$B$4, 2, 2)</f>
        <v>8.0154870516621125E-4</v>
      </c>
      <c r="C8" t="s">
        <v>72</v>
      </c>
    </row>
    <row r="9" spans="1:10" x14ac:dyDescent="0.2">
      <c r="A9" t="s">
        <v>104</v>
      </c>
      <c r="B9">
        <f>_xlfn.T.TEST($A$2:$A$4, $C$2:$C$4, 2, 2)</f>
        <v>1.2865257008073104E-3</v>
      </c>
      <c r="C9" t="s">
        <v>69</v>
      </c>
    </row>
    <row r="10" spans="1:10" x14ac:dyDescent="0.2">
      <c r="A10" t="s">
        <v>105</v>
      </c>
      <c r="B10">
        <f>_xlfn.T.TEST($B$2:$B$4, $C$2:$C$4, 2, 2)</f>
        <v>0.3584201664651836</v>
      </c>
      <c r="C10" t="s">
        <v>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93E7-2534-524C-8CCD-BD640B17ECD4}">
  <dimension ref="A1:J10"/>
  <sheetViews>
    <sheetView workbookViewId="0">
      <selection activeCell="H2" sqref="H2:K7"/>
    </sheetView>
  </sheetViews>
  <sheetFormatPr baseColWidth="10" defaultRowHeight="16" x14ac:dyDescent="0.2"/>
  <cols>
    <col min="1" max="1" width="13.1640625" bestFit="1" customWidth="1"/>
    <col min="2" max="2" width="23.6640625" customWidth="1"/>
  </cols>
  <sheetData>
    <row r="1" spans="1:10" x14ac:dyDescent="0.2">
      <c r="A1" t="s">
        <v>32</v>
      </c>
      <c r="B1" t="s">
        <v>31</v>
      </c>
      <c r="C1" t="s">
        <v>33</v>
      </c>
    </row>
    <row r="2" spans="1:10" x14ac:dyDescent="0.2">
      <c r="A2">
        <v>8.57</v>
      </c>
      <c r="B2">
        <v>33.17</v>
      </c>
      <c r="C2">
        <v>5.56</v>
      </c>
      <c r="H2" s="4" t="s">
        <v>63</v>
      </c>
      <c r="I2" s="4" t="s">
        <v>64</v>
      </c>
      <c r="J2" s="4" t="s">
        <v>65</v>
      </c>
    </row>
    <row r="3" spans="1:10" x14ac:dyDescent="0.2">
      <c r="A3">
        <v>11.62</v>
      </c>
      <c r="B3">
        <v>26.63</v>
      </c>
      <c r="C3">
        <v>7.1</v>
      </c>
      <c r="H3" t="s">
        <v>66</v>
      </c>
      <c r="I3" t="s">
        <v>67</v>
      </c>
      <c r="J3" t="s">
        <v>68</v>
      </c>
    </row>
    <row r="4" spans="1:10" x14ac:dyDescent="0.2">
      <c r="A4">
        <v>11.58</v>
      </c>
      <c r="B4">
        <v>26.2</v>
      </c>
      <c r="C4">
        <v>7.33</v>
      </c>
      <c r="H4" t="s">
        <v>69</v>
      </c>
      <c r="I4" t="s">
        <v>70</v>
      </c>
      <c r="J4" t="s">
        <v>71</v>
      </c>
    </row>
    <row r="5" spans="1:10" x14ac:dyDescent="0.2">
      <c r="H5" t="s">
        <v>72</v>
      </c>
      <c r="I5" t="s">
        <v>73</v>
      </c>
      <c r="J5" t="s">
        <v>74</v>
      </c>
    </row>
    <row r="6" spans="1:10" x14ac:dyDescent="0.2">
      <c r="B6" s="3" t="s">
        <v>61</v>
      </c>
      <c r="H6" t="s">
        <v>75</v>
      </c>
      <c r="I6" t="s">
        <v>76</v>
      </c>
      <c r="J6" t="s">
        <v>77</v>
      </c>
    </row>
    <row r="7" spans="1:10" ht="34" x14ac:dyDescent="0.2">
      <c r="B7" s="2" t="s">
        <v>62</v>
      </c>
    </row>
    <row r="8" spans="1:10" x14ac:dyDescent="0.2">
      <c r="A8" t="s">
        <v>106</v>
      </c>
      <c r="B8">
        <f>_xlfn.T.TEST($A$2:$A$4, $B$2:$B$4, 2, 2)</f>
        <v>1.8573328005072433E-3</v>
      </c>
      <c r="C8" t="s">
        <v>69</v>
      </c>
    </row>
    <row r="9" spans="1:10" x14ac:dyDescent="0.2">
      <c r="A9" t="s">
        <v>107</v>
      </c>
      <c r="B9">
        <f>_xlfn.T.TEST($A$2:$A$4, $C$2:$C$4, 2, 2)</f>
        <v>2.7123020180879542E-2</v>
      </c>
      <c r="C9" t="s">
        <v>66</v>
      </c>
    </row>
    <row r="10" spans="1:10" x14ac:dyDescent="0.2">
      <c r="A10" t="s">
        <v>108</v>
      </c>
      <c r="B10">
        <f>_xlfn.T.TEST($B$2:$B$4, $C$2:$C$4, 2, 2)</f>
        <v>6.9255702061354148E-4</v>
      </c>
      <c r="C10" t="s">
        <v>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AF07-376B-204D-8EC6-D89A4158528F}">
  <dimension ref="A1:J7"/>
  <sheetViews>
    <sheetView workbookViewId="0">
      <selection activeCell="G18" sqref="G18"/>
    </sheetView>
  </sheetViews>
  <sheetFormatPr baseColWidth="10" defaultRowHeight="16" x14ac:dyDescent="0.2"/>
  <cols>
    <col min="1" max="1" width="17.6640625" customWidth="1"/>
    <col min="2" max="2" width="14.83203125" bestFit="1" customWidth="1"/>
    <col min="3" max="3" width="11.5" bestFit="1" customWidth="1"/>
    <col min="4" max="4" width="19.33203125" bestFit="1" customWidth="1"/>
  </cols>
  <sheetData>
    <row r="1" spans="1:10" x14ac:dyDescent="0.2">
      <c r="A1" t="s">
        <v>36</v>
      </c>
      <c r="B1" t="s">
        <v>43</v>
      </c>
      <c r="C1" t="s">
        <v>44</v>
      </c>
      <c r="D1" t="s">
        <v>45</v>
      </c>
    </row>
    <row r="2" spans="1:10" x14ac:dyDescent="0.2">
      <c r="A2">
        <v>57.71</v>
      </c>
      <c r="B2">
        <v>1.1000000000000001</v>
      </c>
      <c r="C2">
        <v>35.39</v>
      </c>
      <c r="D2">
        <v>5.8</v>
      </c>
      <c r="H2" s="4"/>
      <c r="I2" s="4"/>
      <c r="J2" s="4"/>
    </row>
    <row r="3" spans="1:10" x14ac:dyDescent="0.2">
      <c r="A3">
        <v>56.25</v>
      </c>
      <c r="B3">
        <v>1.1499999999999999</v>
      </c>
      <c r="C3">
        <v>37.5</v>
      </c>
      <c r="D3">
        <v>5.09</v>
      </c>
    </row>
    <row r="4" spans="1:10" x14ac:dyDescent="0.2">
      <c r="A4">
        <v>62.31</v>
      </c>
      <c r="B4">
        <v>1.07</v>
      </c>
      <c r="C4">
        <v>32.200000000000003</v>
      </c>
      <c r="D4">
        <v>4.42</v>
      </c>
    </row>
    <row r="6" spans="1:10" x14ac:dyDescent="0.2">
      <c r="B6" s="3"/>
    </row>
    <row r="7" spans="1:10" x14ac:dyDescent="0.2">
      <c r="B7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E441-9D29-2B46-AFD5-90F22BCAFDC6}">
  <dimension ref="A1:K24"/>
  <sheetViews>
    <sheetView tabSelected="1" workbookViewId="0">
      <selection activeCell="K20" sqref="K20"/>
    </sheetView>
  </sheetViews>
  <sheetFormatPr baseColWidth="10" defaultRowHeight="16" x14ac:dyDescent="0.2"/>
  <cols>
    <col min="5" max="5" width="28.5" customWidth="1"/>
    <col min="6" max="6" width="24.5" customWidth="1"/>
  </cols>
  <sheetData>
    <row r="1" spans="1:11" x14ac:dyDescent="0.2">
      <c r="A1" s="1" t="s">
        <v>36</v>
      </c>
      <c r="B1" s="1" t="s">
        <v>37</v>
      </c>
      <c r="C1" s="1">
        <v>0</v>
      </c>
    </row>
    <row r="2" spans="1:11" x14ac:dyDescent="0.2">
      <c r="A2" s="1" t="s">
        <v>36</v>
      </c>
      <c r="B2" s="1" t="s">
        <v>37</v>
      </c>
      <c r="C2" s="1">
        <v>0</v>
      </c>
      <c r="F2" s="3" t="s">
        <v>61</v>
      </c>
      <c r="I2" s="4" t="s">
        <v>63</v>
      </c>
      <c r="J2" s="4" t="s">
        <v>64</v>
      </c>
      <c r="K2" s="4" t="s">
        <v>65</v>
      </c>
    </row>
    <row r="3" spans="1:11" ht="34" x14ac:dyDescent="0.2">
      <c r="A3" s="1" t="s">
        <v>36</v>
      </c>
      <c r="B3" s="1" t="s">
        <v>37</v>
      </c>
      <c r="C3" s="1">
        <v>0</v>
      </c>
      <c r="F3" s="2" t="s">
        <v>62</v>
      </c>
      <c r="I3" t="s">
        <v>66</v>
      </c>
      <c r="J3" t="s">
        <v>67</v>
      </c>
      <c r="K3" t="s">
        <v>68</v>
      </c>
    </row>
    <row r="4" spans="1:11" x14ac:dyDescent="0.2">
      <c r="A4" t="s">
        <v>36</v>
      </c>
      <c r="B4" t="s">
        <v>38</v>
      </c>
      <c r="C4">
        <v>0</v>
      </c>
      <c r="E4" t="s">
        <v>109</v>
      </c>
      <c r="F4" t="e">
        <f>_xlfn.T.TEST($C$1:$C$3, $C$4:$C$6, 2, 2)</f>
        <v>#DIV/0!</v>
      </c>
      <c r="I4" t="s">
        <v>69</v>
      </c>
      <c r="J4" t="s">
        <v>70</v>
      </c>
      <c r="K4" t="s">
        <v>71</v>
      </c>
    </row>
    <row r="5" spans="1:11" x14ac:dyDescent="0.2">
      <c r="A5" t="s">
        <v>36</v>
      </c>
      <c r="B5" t="s">
        <v>38</v>
      </c>
      <c r="C5">
        <v>0</v>
      </c>
      <c r="E5" t="s">
        <v>110</v>
      </c>
      <c r="F5">
        <f>_xlfn.T.TEST($C$7:$C$9, $C$10:$C$12, 2, 2)</f>
        <v>1.2539648412633496E-6</v>
      </c>
      <c r="G5" t="s">
        <v>72</v>
      </c>
      <c r="I5" t="s">
        <v>72</v>
      </c>
      <c r="J5" t="s">
        <v>73</v>
      </c>
      <c r="K5" t="s">
        <v>74</v>
      </c>
    </row>
    <row r="6" spans="1:11" x14ac:dyDescent="0.2">
      <c r="A6" t="s">
        <v>36</v>
      </c>
      <c r="B6" t="s">
        <v>38</v>
      </c>
      <c r="C6">
        <v>0</v>
      </c>
      <c r="E6" t="s">
        <v>111</v>
      </c>
      <c r="F6">
        <f>_xlfn.T.TEST($C$13:$C$15, $C$16:$C$18, 2, 2)</f>
        <v>4.7820471414144159E-6</v>
      </c>
      <c r="G6" t="s">
        <v>72</v>
      </c>
      <c r="I6" t="s">
        <v>75</v>
      </c>
      <c r="J6" t="s">
        <v>76</v>
      </c>
      <c r="K6" t="s">
        <v>77</v>
      </c>
    </row>
    <row r="7" spans="1:11" x14ac:dyDescent="0.2">
      <c r="A7" s="1" t="s">
        <v>39</v>
      </c>
      <c r="B7" s="1" t="s">
        <v>37</v>
      </c>
      <c r="C7" s="1">
        <v>4.0000000000000001E-3</v>
      </c>
      <c r="E7" t="s">
        <v>112</v>
      </c>
      <c r="F7">
        <f>_xlfn.T.TEST($C$19:$C$21, $C$22:$C$24, 2, 2)</f>
        <v>7.7470204331494527E-2</v>
      </c>
      <c r="G7" t="s">
        <v>75</v>
      </c>
    </row>
    <row r="8" spans="1:11" x14ac:dyDescent="0.2">
      <c r="A8" s="1" t="s">
        <v>39</v>
      </c>
      <c r="B8" s="1" t="s">
        <v>37</v>
      </c>
      <c r="C8" s="1">
        <v>8.0000000000000002E-3</v>
      </c>
    </row>
    <row r="9" spans="1:11" x14ac:dyDescent="0.2">
      <c r="A9" s="1" t="s">
        <v>39</v>
      </c>
      <c r="B9" s="1" t="s">
        <v>37</v>
      </c>
      <c r="C9" s="1">
        <v>8.0000000000000002E-3</v>
      </c>
    </row>
    <row r="10" spans="1:11" x14ac:dyDescent="0.2">
      <c r="A10" t="s">
        <v>39</v>
      </c>
      <c r="B10" t="s">
        <v>38</v>
      </c>
      <c r="C10">
        <v>0.86</v>
      </c>
    </row>
    <row r="11" spans="1:11" x14ac:dyDescent="0.2">
      <c r="A11" t="s">
        <v>40</v>
      </c>
      <c r="B11" t="s">
        <v>38</v>
      </c>
      <c r="C11">
        <v>0.84</v>
      </c>
    </row>
    <row r="12" spans="1:11" x14ac:dyDescent="0.2">
      <c r="A12" t="s">
        <v>40</v>
      </c>
      <c r="B12" t="s">
        <v>38</v>
      </c>
      <c r="C12">
        <v>0.8</v>
      </c>
    </row>
    <row r="13" spans="1:11" x14ac:dyDescent="0.2">
      <c r="A13" s="1" t="s">
        <v>41</v>
      </c>
      <c r="B13" s="1" t="s">
        <v>37</v>
      </c>
      <c r="C13" s="1">
        <v>0.98</v>
      </c>
    </row>
    <row r="14" spans="1:11" x14ac:dyDescent="0.2">
      <c r="A14" s="1" t="s">
        <v>41</v>
      </c>
      <c r="B14" s="1" t="s">
        <v>37</v>
      </c>
      <c r="C14" s="1">
        <v>0.95</v>
      </c>
    </row>
    <row r="15" spans="1:11" x14ac:dyDescent="0.2">
      <c r="A15" s="1" t="s">
        <v>41</v>
      </c>
      <c r="B15" s="1" t="s">
        <v>37</v>
      </c>
      <c r="C15" s="1">
        <v>1.05</v>
      </c>
    </row>
    <row r="16" spans="1:11" x14ac:dyDescent="0.2">
      <c r="A16" t="s">
        <v>41</v>
      </c>
      <c r="B16" t="s">
        <v>38</v>
      </c>
      <c r="C16">
        <v>5.0000000000000001E-3</v>
      </c>
    </row>
    <row r="17" spans="1:3" x14ac:dyDescent="0.2">
      <c r="A17" t="s">
        <v>41</v>
      </c>
      <c r="B17" t="s">
        <v>38</v>
      </c>
      <c r="C17">
        <v>0</v>
      </c>
    </row>
    <row r="18" spans="1:3" x14ac:dyDescent="0.2">
      <c r="A18" t="s">
        <v>41</v>
      </c>
      <c r="B18" t="s">
        <v>38</v>
      </c>
      <c r="C18">
        <v>0</v>
      </c>
    </row>
    <row r="19" spans="1:3" x14ac:dyDescent="0.2">
      <c r="A19" s="1" t="s">
        <v>42</v>
      </c>
      <c r="B19" s="1" t="s">
        <v>37</v>
      </c>
      <c r="C19" s="1">
        <v>1.07</v>
      </c>
    </row>
    <row r="20" spans="1:3" x14ac:dyDescent="0.2">
      <c r="A20" s="1" t="s">
        <v>42</v>
      </c>
      <c r="B20" s="1" t="s">
        <v>37</v>
      </c>
      <c r="C20" s="1">
        <v>1.1599999999999999</v>
      </c>
    </row>
    <row r="21" spans="1:3" x14ac:dyDescent="0.2">
      <c r="A21" s="1" t="s">
        <v>42</v>
      </c>
      <c r="B21" s="1" t="s">
        <v>37</v>
      </c>
      <c r="C21" s="1">
        <v>1.08</v>
      </c>
    </row>
    <row r="22" spans="1:3" x14ac:dyDescent="0.2">
      <c r="A22" t="s">
        <v>42</v>
      </c>
      <c r="B22" t="s">
        <v>38</v>
      </c>
      <c r="C22">
        <v>1.03</v>
      </c>
    </row>
    <row r="23" spans="1:3" x14ac:dyDescent="0.2">
      <c r="A23" t="s">
        <v>42</v>
      </c>
      <c r="B23" t="s">
        <v>38</v>
      </c>
      <c r="C23">
        <v>0.98</v>
      </c>
    </row>
    <row r="24" spans="1:3" x14ac:dyDescent="0.2">
      <c r="A24" t="s">
        <v>42</v>
      </c>
      <c r="B24" t="s">
        <v>38</v>
      </c>
      <c r="C24">
        <v>1.05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Fig 2a</vt:lpstr>
      <vt:lpstr>Fig 2b</vt:lpstr>
      <vt:lpstr>Fig 2c</vt:lpstr>
      <vt:lpstr>Fig 2e</vt:lpstr>
      <vt:lpstr>Fig 2g</vt:lpstr>
      <vt:lpstr>Fig 2h</vt:lpstr>
      <vt:lpstr>Fig 3b</vt:lpstr>
      <vt:lpstr>Fig 3d</vt:lpstr>
      <vt:lpstr>Fig 4d</vt:lpstr>
      <vt:lpstr>Fig 4h</vt:lpstr>
      <vt:lpstr>Fig 5b</vt:lpstr>
      <vt:lpstr>Fig 5c</vt:lpstr>
      <vt:lpstr>Fig 6b</vt:lpstr>
      <vt:lpstr>Fig 6c</vt:lpstr>
      <vt:lpstr>Fig 6e</vt:lpstr>
      <vt:lpstr>Fig 6h</vt:lpstr>
      <vt:lpstr>Fig 6i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Migliori</dc:creator>
  <cp:lastModifiedBy>Florence Lichou</cp:lastModifiedBy>
  <dcterms:created xsi:type="dcterms:W3CDTF">2025-06-04T16:12:37Z</dcterms:created>
  <dcterms:modified xsi:type="dcterms:W3CDTF">2025-06-05T20:35:06Z</dcterms:modified>
</cp:coreProperties>
</file>