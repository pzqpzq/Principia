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My Drive\# PhD\Conferences &amp; Papers\Papers\P7 - Bending behaviour on TCC floor beams with with bonded connectors\P7\structures\"/>
    </mc:Choice>
  </mc:AlternateContent>
  <xr:revisionPtr revIDLastSave="0" documentId="8_{126D59C8-AEE7-451E-B46B-AE4E2206D9F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lwc" sheetId="2" r:id="rId1"/>
    <sheet name="nwc" sheetId="1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2" l="1"/>
  <c r="H3" i="2"/>
  <c r="G3" i="2"/>
  <c r="F3" i="2"/>
  <c r="J3" i="2"/>
  <c r="I19" i="2"/>
  <c r="H19" i="2"/>
  <c r="G19" i="2"/>
  <c r="F19" i="2"/>
  <c r="J19" i="2"/>
  <c r="J33" i="2"/>
  <c r="I33" i="2"/>
  <c r="H33" i="2"/>
  <c r="G33" i="2"/>
  <c r="F33" i="2"/>
  <c r="F33" i="1" l="1"/>
  <c r="G33" i="1"/>
  <c r="H33" i="1"/>
  <c r="H3" i="1"/>
  <c r="G3" i="1"/>
  <c r="F3" i="1"/>
  <c r="I3" i="1"/>
  <c r="H19" i="1"/>
  <c r="G19" i="1"/>
  <c r="F19" i="1"/>
  <c r="I19" i="1"/>
  <c r="I33" i="1"/>
  <c r="J42" i="2" l="1"/>
  <c r="J41" i="2"/>
  <c r="J40" i="2"/>
  <c r="J39" i="2"/>
  <c r="J38" i="2"/>
  <c r="J37" i="2"/>
  <c r="J36" i="2"/>
  <c r="J32" i="2" s="1"/>
  <c r="J25" i="2" l="1"/>
  <c r="J22" i="2"/>
  <c r="J28" i="2"/>
  <c r="J27" i="2"/>
  <c r="J26" i="2"/>
  <c r="J24" i="2"/>
  <c r="J23" i="2"/>
  <c r="J18" i="2" l="1"/>
  <c r="J12" i="2"/>
  <c r="J11" i="2"/>
  <c r="J10" i="2"/>
  <c r="J9" i="2"/>
  <c r="J8" i="2"/>
  <c r="J7" i="2"/>
  <c r="I28" i="2"/>
  <c r="I27" i="2"/>
  <c r="I26" i="2"/>
  <c r="I25" i="2"/>
  <c r="I24" i="2"/>
  <c r="I23" i="2"/>
  <c r="I22" i="2"/>
  <c r="H28" i="2"/>
  <c r="H27" i="2"/>
  <c r="H26" i="2"/>
  <c r="H25" i="2"/>
  <c r="H24" i="2"/>
  <c r="H23" i="2"/>
  <c r="H22" i="2"/>
  <c r="G28" i="2"/>
  <c r="G27" i="2"/>
  <c r="G26" i="2"/>
  <c r="G25" i="2"/>
  <c r="G24" i="2"/>
  <c r="G23" i="2"/>
  <c r="G22" i="2"/>
  <c r="F28" i="2"/>
  <c r="F27" i="2"/>
  <c r="F26" i="2"/>
  <c r="F25" i="2"/>
  <c r="F24" i="2"/>
  <c r="F23" i="2"/>
  <c r="F22" i="2"/>
  <c r="I12" i="2"/>
  <c r="I11" i="2"/>
  <c r="I10" i="2"/>
  <c r="I9" i="2"/>
  <c r="I8" i="2"/>
  <c r="I7" i="2"/>
  <c r="I6" i="2"/>
  <c r="H9" i="2"/>
  <c r="H12" i="2"/>
  <c r="H11" i="2"/>
  <c r="H10" i="2"/>
  <c r="H8" i="2"/>
  <c r="H7" i="2"/>
  <c r="H6" i="2"/>
  <c r="J6" i="2"/>
  <c r="J2" i="2" s="1"/>
  <c r="G12" i="2"/>
  <c r="G11" i="2"/>
  <c r="G10" i="2"/>
  <c r="G9" i="2"/>
  <c r="G8" i="2"/>
  <c r="G7" i="2"/>
  <c r="G6" i="2"/>
  <c r="F12" i="2"/>
  <c r="F11" i="2"/>
  <c r="F10" i="2"/>
  <c r="F9" i="2"/>
  <c r="F8" i="2"/>
  <c r="F7" i="2"/>
  <c r="F6" i="2"/>
  <c r="I42" i="2"/>
  <c r="I41" i="2"/>
  <c r="I40" i="2"/>
  <c r="I38" i="2"/>
  <c r="I37" i="2"/>
  <c r="F2" i="2" l="1"/>
  <c r="G2" i="2"/>
  <c r="H2" i="2"/>
  <c r="I18" i="2"/>
  <c r="H18" i="2"/>
  <c r="G18" i="2"/>
  <c r="F18" i="2"/>
  <c r="I2" i="2"/>
  <c r="H42" i="2"/>
  <c r="H36" i="2"/>
  <c r="H41" i="2"/>
  <c r="H40" i="2"/>
  <c r="H39" i="2"/>
  <c r="H38" i="2"/>
  <c r="H37" i="2"/>
  <c r="G42" i="2"/>
  <c r="G39" i="2"/>
  <c r="G38" i="2"/>
  <c r="G37" i="2"/>
  <c r="F42" i="2"/>
  <c r="F38" i="2"/>
  <c r="F37" i="2"/>
  <c r="H32" i="2" l="1"/>
  <c r="F40" i="2"/>
  <c r="G40" i="2"/>
  <c r="F36" i="2"/>
  <c r="G36" i="2"/>
  <c r="I36" i="2"/>
  <c r="F39" i="2"/>
  <c r="I39" i="2"/>
  <c r="F41" i="2"/>
  <c r="G41" i="2"/>
  <c r="I32" i="2" l="1"/>
  <c r="G32" i="2"/>
  <c r="F32" i="2"/>
  <c r="I36" i="1"/>
  <c r="I42" i="1"/>
  <c r="I41" i="1"/>
  <c r="I40" i="1"/>
  <c r="I39" i="1"/>
  <c r="I38" i="1"/>
  <c r="I37" i="1"/>
  <c r="I12" i="1"/>
  <c r="I28" i="1"/>
  <c r="I22" i="1"/>
  <c r="I27" i="1"/>
  <c r="I26" i="1"/>
  <c r="I25" i="1"/>
  <c r="I24" i="1"/>
  <c r="I23" i="1"/>
  <c r="I11" i="1"/>
  <c r="I10" i="1"/>
  <c r="I9" i="1"/>
  <c r="I8" i="1"/>
  <c r="I7" i="1"/>
  <c r="I6" i="1"/>
</calcChain>
</file>

<file path=xl/sharedStrings.xml><?xml version="1.0" encoding="utf-8"?>
<sst xmlns="http://schemas.openxmlformats.org/spreadsheetml/2006/main" count="101" uniqueCount="17">
  <si>
    <t>30 % Failure load</t>
  </si>
  <si>
    <t>60 % Failure load</t>
  </si>
  <si>
    <t>90 % Failure load</t>
  </si>
  <si>
    <t>distance</t>
  </si>
  <si>
    <t>slip</t>
  </si>
  <si>
    <t>LH1</t>
  </si>
  <si>
    <t>LH2</t>
  </si>
  <si>
    <t>LH3</t>
  </si>
  <si>
    <t>LH4</t>
  </si>
  <si>
    <t>LH5</t>
  </si>
  <si>
    <t>LH6</t>
  </si>
  <si>
    <t>LH8</t>
  </si>
  <si>
    <t>A</t>
  </si>
  <si>
    <t>B</t>
  </si>
  <si>
    <t>C</t>
  </si>
  <si>
    <t>Fmax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</si>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</sst>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P-LWC-A-30%Fmax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lwc!$E$6:$E$12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lwc!$F$6:$F$12</c:f>
              <c:numCache>
                <c:formatCode>General</c:formatCode>
                <c:ptCount val="7"/>
                <c:pt idx="0">
                  <c:v>0.119645</c:v>
                </c:pt>
                <c:pt idx="1">
                  <c:v>5.9804000000000003E-2</c:v>
                </c:pt>
                <c:pt idx="2">
                  <c:v>5.2789999999999998E-3</c:v>
                </c:pt>
                <c:pt idx="3">
                  <c:v>-9.8099999999999993E-3</c:v>
                </c:pt>
                <c:pt idx="4">
                  <c:v>-3.1958E-2</c:v>
                </c:pt>
                <c:pt idx="5">
                  <c:v>-6.0118999999999999E-2</c:v>
                </c:pt>
                <c:pt idx="6">
                  <c:v>-7.9899999999999999E-2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32-412C-B415-B1A3A7ED0760}"/>
            </c:ext>
          </c:extLst>
        </c:ser>
        <c:ser>
          <c:idx val="1"/>
          <c:order val="1"/>
          <c:tx>
            <c:v>P-LWC-A-60%Fmax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lwc!$E$6:$E$12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lwc!$G$6:$G$12</c:f>
              <c:numCache>
                <c:formatCode>General</c:formatCode>
                <c:ptCount val="7"/>
                <c:pt idx="0">
                  <c:v>0.199707</c:v>
                </c:pt>
                <c:pt idx="1">
                  <c:v>0.20010800000000001</c:v>
                </c:pt>
                <c:pt idx="2">
                  <c:v>1.2867E-2</c:v>
                </c:pt>
                <c:pt idx="3">
                  <c:v>-1.11E-2</c:v>
                </c:pt>
                <c:pt idx="4">
                  <c:v>-8.0162999999999998E-2</c:v>
                </c:pt>
                <c:pt idx="5">
                  <c:v>-0.179641</c:v>
                </c:pt>
                <c:pt idx="6">
                  <c:v>-0.25515700000000002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32-412C-B415-B1A3A7ED0760}"/>
            </c:ext>
          </c:extLst>
        </c:ser>
        <c:ser>
          <c:idx val="2"/>
          <c:order val="2"/>
          <c:tx>
            <c:v>P-LWC-A-90%Fmax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lwc!$E$6:$E$12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lwc!$H$6:$H$12</c:f>
              <c:numCache>
                <c:formatCode>General</c:formatCode>
                <c:ptCount val="7"/>
                <c:pt idx="0">
                  <c:v>0.35960399999999998</c:v>
                </c:pt>
                <c:pt idx="1">
                  <c:v>0.49000500000000002</c:v>
                </c:pt>
                <c:pt idx="2">
                  <c:v>3.5001999999999998E-2</c:v>
                </c:pt>
                <c:pt idx="3">
                  <c:v>-4.5654E-2</c:v>
                </c:pt>
                <c:pt idx="4">
                  <c:v>-0.711982</c:v>
                </c:pt>
                <c:pt idx="5">
                  <c:v>-1.995242</c:v>
                </c:pt>
                <c:pt idx="6">
                  <c:v>-3.330012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132-412C-B415-B1A3A7ED0760}"/>
            </c:ext>
          </c:extLst>
        </c:ser>
        <c:ser>
          <c:idx val="3"/>
          <c:order val="3"/>
          <c:tx>
            <c:v>P-LWC-A-Fmax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lwc!$E$6:$E$12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lwc!$I$6:$I$12</c:f>
              <c:numCache>
                <c:formatCode>General</c:formatCode>
                <c:ptCount val="7"/>
                <c:pt idx="0">
                  <c:v>0.64962799999999998</c:v>
                </c:pt>
                <c:pt idx="1">
                  <c:v>0.85012299999999996</c:v>
                </c:pt>
                <c:pt idx="2">
                  <c:v>7.0205000000000004E-2</c:v>
                </c:pt>
                <c:pt idx="3">
                  <c:v>-0.20478499999999999</c:v>
                </c:pt>
                <c:pt idx="4">
                  <c:v>-1.884565</c:v>
                </c:pt>
                <c:pt idx="5">
                  <c:v>-3.9296570000000002</c:v>
                </c:pt>
                <c:pt idx="6">
                  <c:v>-4.6994490000000004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132-412C-B415-B1A3A7ED0760}"/>
            </c:ext>
          </c:extLst>
        </c:ser>
        <c:ser>
          <c:idx val="4"/>
          <c:order val="4"/>
          <c:tx>
            <c:v>P-LWC-A-F1</c:v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lwc!$E$6:$E$12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lwc!$J$6:$J$12</c:f>
              <c:numCache>
                <c:formatCode>0.00E+00</c:formatCode>
                <c:ptCount val="7"/>
                <c:pt idx="0" formatCode="General">
                  <c:v>0.33965699999999999</c:v>
                </c:pt>
                <c:pt idx="1">
                  <c:v>0.47014099999999998</c:v>
                </c:pt>
                <c:pt idx="2">
                  <c:v>3.4979999999999997E-2</c:v>
                </c:pt>
                <c:pt idx="3">
                  <c:v>-1.4149E-2</c:v>
                </c:pt>
                <c:pt idx="4">
                  <c:v>-0.60286200000000001</c:v>
                </c:pt>
                <c:pt idx="5">
                  <c:v>-1.709571</c:v>
                </c:pt>
                <c:pt idx="6">
                  <c:v>-2.9348269999999999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132-412C-B415-B1A3A7ED0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696312"/>
        <c:axId val="458693360"/>
      </c:scatterChart>
      <c:valAx>
        <c:axId val="458696312"/>
        <c:scaling>
          <c:orientation val="minMax"/>
          <c:max val="5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Location along the length of the beam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58693360"/>
        <c:crosses val="autoZero"/>
        <c:crossBetween val="midCat"/>
        <c:majorUnit val="1.3"/>
      </c:valAx>
      <c:valAx>
        <c:axId val="458693360"/>
        <c:scaling>
          <c:orientation val="minMax"/>
          <c:max val="5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Slip</a:t>
                </a:r>
                <a:r>
                  <a:rPr lang="en-GB" sz="1200" baseline="0">
                    <a:solidFill>
                      <a:sysClr val="windowText" lastClr="000000"/>
                    </a:solidFill>
                  </a:rPr>
                  <a:t> (mm)</a:t>
                </a:r>
                <a:endParaRPr lang="en-GB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58696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P-LWC-B-30%Fmax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lwc!$E$6:$E$12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lwc!$F$22:$F$28</c:f>
              <c:numCache>
                <c:formatCode>General</c:formatCode>
                <c:ptCount val="7"/>
                <c:pt idx="0">
                  <c:v>4.9956E-2</c:v>
                </c:pt>
                <c:pt idx="1">
                  <c:v>9.8969999999999995E-3</c:v>
                </c:pt>
                <c:pt idx="2">
                  <c:v>9.7940000000000006E-3</c:v>
                </c:pt>
                <c:pt idx="3">
                  <c:v>-1.9904000000000002E-2</c:v>
                </c:pt>
                <c:pt idx="4">
                  <c:v>-4.803E-3</c:v>
                </c:pt>
                <c:pt idx="5">
                  <c:v>-9.8779999999999996E-3</c:v>
                </c:pt>
                <c:pt idx="6">
                  <c:v>-3.581E-3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62-4908-AAD2-8307359DF275}"/>
            </c:ext>
          </c:extLst>
        </c:ser>
        <c:ser>
          <c:idx val="1"/>
          <c:order val="1"/>
          <c:tx>
            <c:v>P-LWC-B-60%Fmax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lwc!$E$6:$E$12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lwc!$G$22:$G$28</c:f>
              <c:numCache>
                <c:formatCode>General</c:formatCode>
                <c:ptCount val="7"/>
                <c:pt idx="0">
                  <c:v>0.13017799999999999</c:v>
                </c:pt>
                <c:pt idx="1">
                  <c:v>8.0095E-2</c:v>
                </c:pt>
                <c:pt idx="2">
                  <c:v>5.0042000000000003E-2</c:v>
                </c:pt>
                <c:pt idx="3">
                  <c:v>-1.6400000000000001E-2</c:v>
                </c:pt>
                <c:pt idx="4">
                  <c:v>-6.5325999999999995E-2</c:v>
                </c:pt>
                <c:pt idx="5">
                  <c:v>-6.9802000000000003E-2</c:v>
                </c:pt>
                <c:pt idx="6">
                  <c:v>-1.81E-3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62-4908-AAD2-8307359DF275}"/>
            </c:ext>
          </c:extLst>
        </c:ser>
        <c:ser>
          <c:idx val="2"/>
          <c:order val="2"/>
          <c:tx>
            <c:v>P-LWC-B-90%Fmax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lwc!$E$6:$E$12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lwc!$H$22:$H$28</c:f>
              <c:numCache>
                <c:formatCode>General</c:formatCode>
                <c:ptCount val="7"/>
                <c:pt idx="0">
                  <c:v>0.54045399999999999</c:v>
                </c:pt>
                <c:pt idx="1">
                  <c:v>0.51991699999999996</c:v>
                </c:pt>
                <c:pt idx="2">
                  <c:v>0.17504800000000001</c:v>
                </c:pt>
                <c:pt idx="3">
                  <c:v>-8.5459999999999998E-3</c:v>
                </c:pt>
                <c:pt idx="4">
                  <c:v>-0.220079</c:v>
                </c:pt>
                <c:pt idx="5">
                  <c:v>-0.239894</c:v>
                </c:pt>
                <c:pt idx="6">
                  <c:v>-1.882E-3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262-4908-AAD2-8307359DF275}"/>
            </c:ext>
          </c:extLst>
        </c:ser>
        <c:ser>
          <c:idx val="3"/>
          <c:order val="3"/>
          <c:tx>
            <c:v>P-LWC-B-Fmax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lwc!$E$6:$E$12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lwc!$I$22:$I$28</c:f>
              <c:numCache>
                <c:formatCode>General</c:formatCode>
                <c:ptCount val="7"/>
                <c:pt idx="0">
                  <c:v>3.9702289999999998</c:v>
                </c:pt>
                <c:pt idx="1">
                  <c:v>3.868201</c:v>
                </c:pt>
                <c:pt idx="2">
                  <c:v>1.6393500000000001</c:v>
                </c:pt>
                <c:pt idx="3">
                  <c:v>-1.316E-2</c:v>
                </c:pt>
                <c:pt idx="4">
                  <c:v>-0.60406599999999999</c:v>
                </c:pt>
                <c:pt idx="5">
                  <c:v>-1.03678</c:v>
                </c:pt>
                <c:pt idx="6">
                  <c:v>-0.17163100000000001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262-4908-AAD2-8307359DF275}"/>
            </c:ext>
          </c:extLst>
        </c:ser>
        <c:ser>
          <c:idx val="4"/>
          <c:order val="4"/>
          <c:tx>
            <c:v>P-LWC-B-F1</c:v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lwc!$E$22:$E$28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lwc!$J$22:$J$28</c:f>
              <c:numCache>
                <c:formatCode>0.00E+00</c:formatCode>
                <c:ptCount val="7"/>
                <c:pt idx="0">
                  <c:v>2.414266</c:v>
                </c:pt>
                <c:pt idx="1">
                  <c:v>2.519625</c:v>
                </c:pt>
                <c:pt idx="2">
                  <c:v>0.73051699999999997</c:v>
                </c:pt>
                <c:pt idx="3" formatCode="General">
                  <c:v>-1.0217E-2</c:v>
                </c:pt>
                <c:pt idx="4">
                  <c:v>-0.28018999999999999</c:v>
                </c:pt>
                <c:pt idx="5">
                  <c:v>-0.31979800000000003</c:v>
                </c:pt>
                <c:pt idx="6">
                  <c:v>8.4580000000000002E-3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262-4908-AAD2-8307359DF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696312"/>
        <c:axId val="458693360"/>
      </c:scatterChart>
      <c:valAx>
        <c:axId val="458696312"/>
        <c:scaling>
          <c:orientation val="minMax"/>
          <c:max val="5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Location along the length of the beam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58693360"/>
        <c:crosses val="autoZero"/>
        <c:crossBetween val="midCat"/>
        <c:majorUnit val="1.3"/>
      </c:valAx>
      <c:valAx>
        <c:axId val="458693360"/>
        <c:scaling>
          <c:orientation val="minMax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Slip</a:t>
                </a:r>
                <a:r>
                  <a:rPr lang="en-GB" sz="1200" baseline="0">
                    <a:solidFill>
                      <a:sysClr val="windowText" lastClr="000000"/>
                    </a:solidFill>
                  </a:rPr>
                  <a:t> (mm)</a:t>
                </a:r>
                <a:endParaRPr lang="en-GB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58696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P-LWC-C-30%Fmax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lwc!$E$6:$E$12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lwc!$F$36:$F$42</c:f>
              <c:numCache>
                <c:formatCode>General</c:formatCode>
                <c:ptCount val="7"/>
                <c:pt idx="0">
                  <c:v>0.13016800000000001</c:v>
                </c:pt>
                <c:pt idx="1">
                  <c:v>0.129858</c:v>
                </c:pt>
                <c:pt idx="2">
                  <c:v>2.5233999999999999E-2</c:v>
                </c:pt>
                <c:pt idx="3">
                  <c:v>-5.3584E-2</c:v>
                </c:pt>
                <c:pt idx="4">
                  <c:v>-4.5114000000000001E-2</c:v>
                </c:pt>
                <c:pt idx="5">
                  <c:v>-0.139851</c:v>
                </c:pt>
                <c:pt idx="6">
                  <c:v>-3.0800000000000003E-5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D4-4BB4-85D9-E294039670A6}"/>
            </c:ext>
          </c:extLst>
        </c:ser>
        <c:ser>
          <c:idx val="1"/>
          <c:order val="1"/>
          <c:tx>
            <c:v>P-LWC-C-60%Fmax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lwc!$E$6:$E$12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lwc!$G$36:$G$42</c:f>
              <c:numCache>
                <c:formatCode>General</c:formatCode>
                <c:ptCount val="7"/>
                <c:pt idx="0">
                  <c:v>0.37021100000000001</c:v>
                </c:pt>
                <c:pt idx="1">
                  <c:v>0.35208400000000001</c:v>
                </c:pt>
                <c:pt idx="2">
                  <c:v>8.9967000000000005E-2</c:v>
                </c:pt>
                <c:pt idx="3">
                  <c:v>-8.6800000000000002E-2</c:v>
                </c:pt>
                <c:pt idx="4">
                  <c:v>-0.11031100000000001</c:v>
                </c:pt>
                <c:pt idx="5">
                  <c:v>-0.37994800000000001</c:v>
                </c:pt>
                <c:pt idx="6">
                  <c:v>-8.9800000000000005E-2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D4-4BB4-85D9-E294039670A6}"/>
            </c:ext>
          </c:extLst>
        </c:ser>
        <c:ser>
          <c:idx val="2"/>
          <c:order val="2"/>
          <c:tx>
            <c:v>P-LWC-C-90%Fmax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lwc!$E$6:$E$12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lwc!$H$36:$H$42</c:f>
              <c:numCache>
                <c:formatCode>General</c:formatCode>
                <c:ptCount val="7"/>
                <c:pt idx="0">
                  <c:v>3.0906229999999999</c:v>
                </c:pt>
                <c:pt idx="1">
                  <c:v>2.8391489999999999</c:v>
                </c:pt>
                <c:pt idx="2">
                  <c:v>0.96031599999999995</c:v>
                </c:pt>
                <c:pt idx="3">
                  <c:v>-1.9227000000000001E-2</c:v>
                </c:pt>
                <c:pt idx="4">
                  <c:v>-0.30529699999999999</c:v>
                </c:pt>
                <c:pt idx="5">
                  <c:v>-1.0198119999999999</c:v>
                </c:pt>
                <c:pt idx="6">
                  <c:v>-0.85957399999999995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D4-4BB4-85D9-E294039670A6}"/>
            </c:ext>
          </c:extLst>
        </c:ser>
        <c:ser>
          <c:idx val="3"/>
          <c:order val="3"/>
          <c:tx>
            <c:v>P-LWC-C-Fmax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lwc!$E$6:$E$12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lwc!$I$36:$I$42</c:f>
              <c:numCache>
                <c:formatCode>General</c:formatCode>
                <c:ptCount val="7"/>
                <c:pt idx="0">
                  <c:v>4.4002150000000002</c:v>
                </c:pt>
                <c:pt idx="1">
                  <c:v>4.2979839999999996</c:v>
                </c:pt>
                <c:pt idx="2">
                  <c:v>1.4853559999999999</c:v>
                </c:pt>
                <c:pt idx="3">
                  <c:v>-6.4129000000000005E-2</c:v>
                </c:pt>
                <c:pt idx="4">
                  <c:v>-1.1891879999999999</c:v>
                </c:pt>
                <c:pt idx="5">
                  <c:v>-2.7465609999999998</c:v>
                </c:pt>
                <c:pt idx="6">
                  <c:v>-2.962297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D4-4BB4-85D9-E29403967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696312"/>
        <c:axId val="458693360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4"/>
                <c:tx>
                  <c:v>P-LWC-C-F1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x"/>
                  <c:size val="5"/>
                  <c:spPr>
                    <a:noFill/>
                    <a:ln w="9525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lwc!$E$36:$E$42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1.35</c:v>
                      </c:pt>
                      <c:pt idx="2">
                        <c:v>1.8</c:v>
                      </c:pt>
                      <c:pt idx="3">
                        <c:v>2.6</c:v>
                      </c:pt>
                      <c:pt idx="4">
                        <c:v>3.4</c:v>
                      </c:pt>
                      <c:pt idx="5">
                        <c:v>3.85</c:v>
                      </c:pt>
                      <c:pt idx="6">
                        <c:v>5.2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lwc!$J$36:$J$42</c15:sqref>
                        </c15:formulaRef>
                      </c:ext>
                    </c:extLst>
                    <c:numCache>
                      <c:formatCode>0.00E+00</c:formatCode>
                      <c:ptCount val="7"/>
                      <c:pt idx="0">
                        <c:v>0.80227099999999996</c:v>
                      </c:pt>
                      <c:pt idx="1">
                        <c:v>0.79962100000000003</c:v>
                      </c:pt>
                      <c:pt idx="2">
                        <c:v>0.18998499999999999</c:v>
                      </c:pt>
                      <c:pt idx="3">
                        <c:v>-8.3585999999999994E-2</c:v>
                      </c:pt>
                      <c:pt idx="4">
                        <c:v>-0.18509</c:v>
                      </c:pt>
                      <c:pt idx="5">
                        <c:v>-0.60017900000000002</c:v>
                      </c:pt>
                      <c:pt idx="6">
                        <c:v>-0.29955700000000002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CAD4-4BB4-85D9-E294039670A6}"/>
                  </c:ext>
                </c:extLst>
              </c15:ser>
            </c15:filteredScatterSeries>
          </c:ext>
        </c:extLst>
      </c:scatterChart>
      <c:valAx>
        <c:axId val="458696312"/>
        <c:scaling>
          <c:orientation val="minMax"/>
          <c:max val="5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Location along the length of the beam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58693360"/>
        <c:crosses val="autoZero"/>
        <c:crossBetween val="midCat"/>
        <c:majorUnit val="1.3"/>
      </c:valAx>
      <c:valAx>
        <c:axId val="458693360"/>
        <c:scaling>
          <c:orientation val="minMax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Slip</a:t>
                </a:r>
                <a:r>
                  <a:rPr lang="en-GB" sz="1200" baseline="0">
                    <a:solidFill>
                      <a:sysClr val="windowText" lastClr="000000"/>
                    </a:solidFill>
                  </a:rPr>
                  <a:t> (mm)</a:t>
                </a:r>
                <a:endParaRPr lang="en-GB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58696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5"/>
          <c:order val="0"/>
          <c:tx>
            <c:v>P-LWC-30%Fmax</c:v>
          </c:tx>
          <c:spPr>
            <a:ln w="25400">
              <a:noFill/>
            </a:ln>
          </c:spPr>
          <c:marker>
            <c:symbol val="square"/>
            <c:size val="7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xVal>
            <c:numRef>
              <c:f>lwc!$E$6:$E$12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lwc!$F$6:$F$12</c:f>
              <c:numCache>
                <c:formatCode>General</c:formatCode>
                <c:ptCount val="7"/>
                <c:pt idx="0">
                  <c:v>0.119645</c:v>
                </c:pt>
                <c:pt idx="1">
                  <c:v>5.9804000000000003E-2</c:v>
                </c:pt>
                <c:pt idx="2">
                  <c:v>5.2789999999999998E-3</c:v>
                </c:pt>
                <c:pt idx="3">
                  <c:v>-9.8099999999999993E-3</c:v>
                </c:pt>
                <c:pt idx="4">
                  <c:v>-3.1958E-2</c:v>
                </c:pt>
                <c:pt idx="5">
                  <c:v>-6.0118999999999999E-2</c:v>
                </c:pt>
                <c:pt idx="6">
                  <c:v>-7.9899999999999999E-2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121B-4064-9892-65FCE5FB8C88}"/>
            </c:ext>
          </c:extLst>
        </c:ser>
        <c:ser>
          <c:idx val="6"/>
          <c:order val="1"/>
          <c:tx>
            <c:v>P-LWC-60%Fmax</c:v>
          </c:tx>
          <c:spPr>
            <a:ln w="25400">
              <a:noFill/>
            </a:ln>
          </c:spPr>
          <c:marker>
            <c:symbol val="diamond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lwc!$E$6:$E$12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lwc!$G$6:$G$12</c:f>
              <c:numCache>
                <c:formatCode>General</c:formatCode>
                <c:ptCount val="7"/>
                <c:pt idx="0">
                  <c:v>0.199707</c:v>
                </c:pt>
                <c:pt idx="1">
                  <c:v>0.20010800000000001</c:v>
                </c:pt>
                <c:pt idx="2">
                  <c:v>1.2867E-2</c:v>
                </c:pt>
                <c:pt idx="3">
                  <c:v>-1.11E-2</c:v>
                </c:pt>
                <c:pt idx="4">
                  <c:v>-8.0162999999999998E-2</c:v>
                </c:pt>
                <c:pt idx="5">
                  <c:v>-0.179641</c:v>
                </c:pt>
                <c:pt idx="6">
                  <c:v>-0.25515700000000002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121B-4064-9892-65FCE5FB8C88}"/>
            </c:ext>
          </c:extLst>
        </c:ser>
        <c:ser>
          <c:idx val="7"/>
          <c:order val="2"/>
          <c:tx>
            <c:v>P-LWC-90%Fmax</c:v>
          </c:tx>
          <c:spPr>
            <a:ln w="25400">
              <a:noFill/>
            </a:ln>
          </c:spPr>
          <c:marker>
            <c:symbol val="triangle"/>
            <c:size val="7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lwc!$E$6:$E$12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lwc!$H$6:$H$12</c:f>
              <c:numCache>
                <c:formatCode>General</c:formatCode>
                <c:ptCount val="7"/>
                <c:pt idx="0">
                  <c:v>0.35960399999999998</c:v>
                </c:pt>
                <c:pt idx="1">
                  <c:v>0.49000500000000002</c:v>
                </c:pt>
                <c:pt idx="2">
                  <c:v>3.5001999999999998E-2</c:v>
                </c:pt>
                <c:pt idx="3">
                  <c:v>-4.5654E-2</c:v>
                </c:pt>
                <c:pt idx="4">
                  <c:v>-0.711982</c:v>
                </c:pt>
                <c:pt idx="5">
                  <c:v>-1.995242</c:v>
                </c:pt>
                <c:pt idx="6">
                  <c:v>-3.330012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121B-4064-9892-65FCE5FB8C88}"/>
            </c:ext>
          </c:extLst>
        </c:ser>
        <c:ser>
          <c:idx val="9"/>
          <c:order val="3"/>
          <c:tx>
            <c:v>P-LWC-F1</c:v>
          </c:tx>
          <c:spPr>
            <a:ln w="25400">
              <a:noFill/>
            </a:ln>
          </c:spPr>
          <c:marker>
            <c:symbol val="x"/>
            <c:size val="7"/>
            <c:spPr>
              <a:noFill/>
              <a:ln>
                <a:solidFill>
                  <a:schemeClr val="accent2"/>
                </a:solidFill>
              </a:ln>
            </c:spPr>
          </c:marker>
          <c:xVal>
            <c:numRef>
              <c:f>lwc!$E$6:$E$12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lwc!$J$6:$J$12</c:f>
              <c:numCache>
                <c:formatCode>0.00E+00</c:formatCode>
                <c:ptCount val="7"/>
                <c:pt idx="0" formatCode="General">
                  <c:v>0.33965699999999999</c:v>
                </c:pt>
                <c:pt idx="1">
                  <c:v>0.47014099999999998</c:v>
                </c:pt>
                <c:pt idx="2">
                  <c:v>3.4979999999999997E-2</c:v>
                </c:pt>
                <c:pt idx="3">
                  <c:v>-1.4149E-2</c:v>
                </c:pt>
                <c:pt idx="4">
                  <c:v>-0.60286200000000001</c:v>
                </c:pt>
                <c:pt idx="5">
                  <c:v>-1.709571</c:v>
                </c:pt>
                <c:pt idx="6">
                  <c:v>-2.9348269999999999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121B-4064-9892-65FCE5FB8C88}"/>
            </c:ext>
          </c:extLst>
        </c:ser>
        <c:ser>
          <c:idx val="8"/>
          <c:order val="4"/>
          <c:tx>
            <c:v>P-LWC-Fmax</c:v>
          </c:tx>
          <c:spPr>
            <a:ln w="25400">
              <a:noFill/>
            </a:ln>
          </c:spPr>
          <c:marker>
            <c:symbol val="circle"/>
            <c:size val="7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lwc!$E$6:$E$12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lwc!$I$6:$I$12</c:f>
              <c:numCache>
                <c:formatCode>General</c:formatCode>
                <c:ptCount val="7"/>
                <c:pt idx="0">
                  <c:v>0.64962799999999998</c:v>
                </c:pt>
                <c:pt idx="1">
                  <c:v>0.85012299999999996</c:v>
                </c:pt>
                <c:pt idx="2">
                  <c:v>7.0205000000000004E-2</c:v>
                </c:pt>
                <c:pt idx="3">
                  <c:v>-0.20478499999999999</c:v>
                </c:pt>
                <c:pt idx="4">
                  <c:v>-1.884565</c:v>
                </c:pt>
                <c:pt idx="5">
                  <c:v>-3.9296570000000002</c:v>
                </c:pt>
                <c:pt idx="6">
                  <c:v>-4.6994490000000004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121B-4064-9892-65FCE5FB8C88}"/>
            </c:ext>
          </c:extLst>
        </c:ser>
        <c:ser>
          <c:idx val="10"/>
          <c:order val="5"/>
          <c:tx>
            <c:v>P-LWC-B-30%Fmax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xVal>
            <c:numRef>
              <c:f>lwc!$E$6:$E$12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lwc!$F$22:$F$28</c:f>
              <c:numCache>
                <c:formatCode>General</c:formatCode>
                <c:ptCount val="7"/>
                <c:pt idx="0">
                  <c:v>4.9956E-2</c:v>
                </c:pt>
                <c:pt idx="1">
                  <c:v>9.8969999999999995E-3</c:v>
                </c:pt>
                <c:pt idx="2">
                  <c:v>9.7940000000000006E-3</c:v>
                </c:pt>
                <c:pt idx="3">
                  <c:v>-1.9904000000000002E-2</c:v>
                </c:pt>
                <c:pt idx="4">
                  <c:v>-4.803E-3</c:v>
                </c:pt>
                <c:pt idx="5">
                  <c:v>-9.8779999999999996E-3</c:v>
                </c:pt>
                <c:pt idx="6">
                  <c:v>-3.581E-3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121B-4064-9892-65FCE5FB8C88}"/>
            </c:ext>
          </c:extLst>
        </c:ser>
        <c:ser>
          <c:idx val="11"/>
          <c:order val="6"/>
          <c:tx>
            <c:v>P-LWC-B-60%Fmax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lwc!$E$6:$E$12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lwc!$G$22:$G$28</c:f>
              <c:numCache>
                <c:formatCode>General</c:formatCode>
                <c:ptCount val="7"/>
                <c:pt idx="0">
                  <c:v>0.13017799999999999</c:v>
                </c:pt>
                <c:pt idx="1">
                  <c:v>8.0095E-2</c:v>
                </c:pt>
                <c:pt idx="2">
                  <c:v>5.0042000000000003E-2</c:v>
                </c:pt>
                <c:pt idx="3">
                  <c:v>-1.6400000000000001E-2</c:v>
                </c:pt>
                <c:pt idx="4">
                  <c:v>-6.5325999999999995E-2</c:v>
                </c:pt>
                <c:pt idx="5">
                  <c:v>-6.9802000000000003E-2</c:v>
                </c:pt>
                <c:pt idx="6">
                  <c:v>-1.81E-3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121B-4064-9892-65FCE5FB8C88}"/>
            </c:ext>
          </c:extLst>
        </c:ser>
        <c:ser>
          <c:idx val="12"/>
          <c:order val="7"/>
          <c:tx>
            <c:v>P-LWC-B-90%Fmax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lwc!$E$6:$E$12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lwc!$H$22:$H$28</c:f>
              <c:numCache>
                <c:formatCode>General</c:formatCode>
                <c:ptCount val="7"/>
                <c:pt idx="0">
                  <c:v>0.54045399999999999</c:v>
                </c:pt>
                <c:pt idx="1">
                  <c:v>0.51991699999999996</c:v>
                </c:pt>
                <c:pt idx="2">
                  <c:v>0.17504800000000001</c:v>
                </c:pt>
                <c:pt idx="3">
                  <c:v>-8.5459999999999998E-3</c:v>
                </c:pt>
                <c:pt idx="4">
                  <c:v>-0.220079</c:v>
                </c:pt>
                <c:pt idx="5">
                  <c:v>-0.239894</c:v>
                </c:pt>
                <c:pt idx="6">
                  <c:v>-1.882E-3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121B-4064-9892-65FCE5FB8C88}"/>
            </c:ext>
          </c:extLst>
        </c:ser>
        <c:ser>
          <c:idx val="13"/>
          <c:order val="8"/>
          <c:tx>
            <c:v>P-LWC-B-Fmax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lwc!$E$6:$E$12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lwc!$I$22:$I$28</c:f>
              <c:numCache>
                <c:formatCode>General</c:formatCode>
                <c:ptCount val="7"/>
                <c:pt idx="0">
                  <c:v>3.9702289999999998</c:v>
                </c:pt>
                <c:pt idx="1">
                  <c:v>3.868201</c:v>
                </c:pt>
                <c:pt idx="2">
                  <c:v>1.6393500000000001</c:v>
                </c:pt>
                <c:pt idx="3">
                  <c:v>-1.316E-2</c:v>
                </c:pt>
                <c:pt idx="4">
                  <c:v>-0.60406599999999999</c:v>
                </c:pt>
                <c:pt idx="5">
                  <c:v>-1.03678</c:v>
                </c:pt>
                <c:pt idx="6">
                  <c:v>-0.17163100000000001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121B-4064-9892-65FCE5FB8C88}"/>
            </c:ext>
          </c:extLst>
        </c:ser>
        <c:ser>
          <c:idx val="14"/>
          <c:order val="9"/>
          <c:tx>
            <c:v>P-LWC-B-F1</c:v>
          </c:tx>
          <c:spPr>
            <a:ln w="25400" cap="rnd">
              <a:noFill/>
              <a:round/>
            </a:ln>
            <a:effectLst/>
          </c:spPr>
          <c:marker>
            <c:symbol val="x"/>
            <c:size val="7"/>
            <c:spPr>
              <a:noFill/>
              <a:ln>
                <a:solidFill>
                  <a:schemeClr val="accent2"/>
                </a:solidFill>
              </a:ln>
            </c:spPr>
          </c:marker>
          <c:xVal>
            <c:numRef>
              <c:f>lwc!$E$22:$E$28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lwc!$J$22:$J$28</c:f>
              <c:numCache>
                <c:formatCode>0.00E+00</c:formatCode>
                <c:ptCount val="7"/>
                <c:pt idx="0">
                  <c:v>2.414266</c:v>
                </c:pt>
                <c:pt idx="1">
                  <c:v>2.519625</c:v>
                </c:pt>
                <c:pt idx="2">
                  <c:v>0.73051699999999997</c:v>
                </c:pt>
                <c:pt idx="3" formatCode="General">
                  <c:v>-1.0217E-2</c:v>
                </c:pt>
                <c:pt idx="4">
                  <c:v>-0.28018999999999999</c:v>
                </c:pt>
                <c:pt idx="5">
                  <c:v>-0.31979800000000003</c:v>
                </c:pt>
                <c:pt idx="6">
                  <c:v>8.4580000000000002E-3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121B-4064-9892-65FCE5FB8C88}"/>
            </c:ext>
          </c:extLst>
        </c:ser>
        <c:ser>
          <c:idx val="0"/>
          <c:order val="10"/>
          <c:tx>
            <c:v>P-LWC-C-30%Fmax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lwc!$E$6:$E$12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lwc!$F$36:$F$42</c:f>
              <c:numCache>
                <c:formatCode>General</c:formatCode>
                <c:ptCount val="7"/>
                <c:pt idx="0">
                  <c:v>0.13016800000000001</c:v>
                </c:pt>
                <c:pt idx="1">
                  <c:v>0.129858</c:v>
                </c:pt>
                <c:pt idx="2">
                  <c:v>2.5233999999999999E-2</c:v>
                </c:pt>
                <c:pt idx="3">
                  <c:v>-5.3584E-2</c:v>
                </c:pt>
                <c:pt idx="4">
                  <c:v>-4.5114000000000001E-2</c:v>
                </c:pt>
                <c:pt idx="5">
                  <c:v>-0.139851</c:v>
                </c:pt>
                <c:pt idx="6">
                  <c:v>-3.0800000000000003E-5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121B-4064-9892-65FCE5FB8C88}"/>
            </c:ext>
          </c:extLst>
        </c:ser>
        <c:ser>
          <c:idx val="1"/>
          <c:order val="11"/>
          <c:tx>
            <c:v>P-LWC-C-60%Fmax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lwc!$E$6:$E$12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lwc!$G$36:$G$42</c:f>
              <c:numCache>
                <c:formatCode>General</c:formatCode>
                <c:ptCount val="7"/>
                <c:pt idx="0">
                  <c:v>0.37021100000000001</c:v>
                </c:pt>
                <c:pt idx="1">
                  <c:v>0.35208400000000001</c:v>
                </c:pt>
                <c:pt idx="2">
                  <c:v>8.9967000000000005E-2</c:v>
                </c:pt>
                <c:pt idx="3">
                  <c:v>-8.6800000000000002E-2</c:v>
                </c:pt>
                <c:pt idx="4">
                  <c:v>-0.11031100000000001</c:v>
                </c:pt>
                <c:pt idx="5">
                  <c:v>-0.37994800000000001</c:v>
                </c:pt>
                <c:pt idx="6">
                  <c:v>-8.9800000000000005E-2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121B-4064-9892-65FCE5FB8C88}"/>
            </c:ext>
          </c:extLst>
        </c:ser>
        <c:ser>
          <c:idx val="2"/>
          <c:order val="12"/>
          <c:tx>
            <c:v>P-LWC-C-90%Fmax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lwc!$E$6:$E$12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lwc!$H$36:$H$42</c:f>
              <c:numCache>
                <c:formatCode>General</c:formatCode>
                <c:ptCount val="7"/>
                <c:pt idx="0">
                  <c:v>3.0906229999999999</c:v>
                </c:pt>
                <c:pt idx="1">
                  <c:v>2.8391489999999999</c:v>
                </c:pt>
                <c:pt idx="2">
                  <c:v>0.96031599999999995</c:v>
                </c:pt>
                <c:pt idx="3">
                  <c:v>-1.9227000000000001E-2</c:v>
                </c:pt>
                <c:pt idx="4">
                  <c:v>-0.30529699999999999</c:v>
                </c:pt>
                <c:pt idx="5">
                  <c:v>-1.0198119999999999</c:v>
                </c:pt>
                <c:pt idx="6">
                  <c:v>-0.85957399999999995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121B-4064-9892-65FCE5FB8C88}"/>
            </c:ext>
          </c:extLst>
        </c:ser>
        <c:ser>
          <c:idx val="3"/>
          <c:order val="13"/>
          <c:tx>
            <c:v>P-LWC-C-Fmax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lwc!$E$6:$E$12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lwc!$I$36:$I$42</c:f>
              <c:numCache>
                <c:formatCode>General</c:formatCode>
                <c:ptCount val="7"/>
                <c:pt idx="0">
                  <c:v>4.4002150000000002</c:v>
                </c:pt>
                <c:pt idx="1">
                  <c:v>4.2979839999999996</c:v>
                </c:pt>
                <c:pt idx="2">
                  <c:v>1.4853559999999999</c:v>
                </c:pt>
                <c:pt idx="3">
                  <c:v>-6.4129000000000005E-2</c:v>
                </c:pt>
                <c:pt idx="4">
                  <c:v>-1.1891879999999999</c:v>
                </c:pt>
                <c:pt idx="5">
                  <c:v>-2.7465609999999998</c:v>
                </c:pt>
                <c:pt idx="6">
                  <c:v>-2.962297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121B-4064-9892-65FCE5FB8C88}"/>
            </c:ext>
          </c:extLst>
        </c:ser>
        <c:ser>
          <c:idx val="4"/>
          <c:order val="14"/>
          <c:tx>
            <c:v>P-LWC-C-F1</c:v>
          </c:tx>
          <c:spPr>
            <a:ln w="25400" cap="rnd">
              <a:noFill/>
              <a:round/>
            </a:ln>
            <a:effectLst/>
          </c:spPr>
          <c:marker>
            <c:symbol val="x"/>
            <c:size val="7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lwc!$E$36:$E$42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lwc!$J$36:$J$42</c:f>
              <c:numCache>
                <c:formatCode>0.00E+00</c:formatCode>
                <c:ptCount val="7"/>
                <c:pt idx="0">
                  <c:v>0.80227099999999996</c:v>
                </c:pt>
                <c:pt idx="1">
                  <c:v>0.79962100000000003</c:v>
                </c:pt>
                <c:pt idx="2">
                  <c:v>0.18998499999999999</c:v>
                </c:pt>
                <c:pt idx="3">
                  <c:v>-8.3585999999999994E-2</c:v>
                </c:pt>
                <c:pt idx="4">
                  <c:v>-0.18509</c:v>
                </c:pt>
                <c:pt idx="5">
                  <c:v>-0.60017900000000002</c:v>
                </c:pt>
                <c:pt idx="6">
                  <c:v>-0.29955700000000002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121B-4064-9892-65FCE5FB8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696312"/>
        <c:axId val="458693360"/>
      </c:scatterChart>
      <c:valAx>
        <c:axId val="458696312"/>
        <c:scaling>
          <c:orientation val="minMax"/>
          <c:max val="5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Location along the length of the beam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58693360"/>
        <c:crosses val="autoZero"/>
        <c:crossBetween val="midCat"/>
        <c:majorUnit val="1.3"/>
      </c:valAx>
      <c:valAx>
        <c:axId val="458693360"/>
        <c:scaling>
          <c:orientation val="minMax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Slip</a:t>
                </a:r>
                <a:r>
                  <a:rPr lang="en-GB" sz="1200" baseline="0">
                    <a:solidFill>
                      <a:sysClr val="windowText" lastClr="000000"/>
                    </a:solidFill>
                  </a:rPr>
                  <a:t> (mm)</a:t>
                </a:r>
                <a:endParaRPr lang="en-GB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58696312"/>
        <c:crosses val="autoZero"/>
        <c:crossBetween val="midCat"/>
      </c:valAx>
    </c:plotArea>
    <c:legend>
      <c:legendPos val="r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3"/>
          <c:order val="1"/>
          <c:tx>
            <c:v>P-LWC-60%Fmax</c:v>
          </c:tx>
          <c:spPr>
            <a:ln w="25400">
              <a:noFill/>
            </a:ln>
          </c:spPr>
          <c:xVal>
            <c:numRef>
              <c:f>lwc!$E$6:$E$12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lwc!$G$6:$G$12</c:f>
              <c:numCache>
                <c:formatCode>General</c:formatCode>
                <c:ptCount val="7"/>
                <c:pt idx="0">
                  <c:v>0.199707</c:v>
                </c:pt>
                <c:pt idx="1">
                  <c:v>0.20010800000000001</c:v>
                </c:pt>
                <c:pt idx="2">
                  <c:v>1.2867E-2</c:v>
                </c:pt>
                <c:pt idx="3">
                  <c:v>-1.11E-2</c:v>
                </c:pt>
                <c:pt idx="4">
                  <c:v>-8.0162999999999998E-2</c:v>
                </c:pt>
                <c:pt idx="5">
                  <c:v>-0.179641</c:v>
                </c:pt>
                <c:pt idx="6">
                  <c:v>-0.25515700000000002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0DD5-429C-A57F-C73DB2D6220D}"/>
            </c:ext>
          </c:extLst>
        </c:ser>
        <c:ser>
          <c:idx val="18"/>
          <c:order val="6"/>
          <c:tx>
            <c:v>P-LWC-B-60%Fmax</c:v>
          </c:tx>
          <c:spPr>
            <a:ln w="25400" cap="rnd">
              <a:noFill/>
              <a:round/>
            </a:ln>
            <a:effectLst/>
          </c:spPr>
          <c:xVal>
            <c:numRef>
              <c:f>lwc!$E$6:$E$12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lwc!$G$22:$G$28</c:f>
              <c:numCache>
                <c:formatCode>General</c:formatCode>
                <c:ptCount val="7"/>
                <c:pt idx="0">
                  <c:v>0.13017799999999999</c:v>
                </c:pt>
                <c:pt idx="1">
                  <c:v>8.0095E-2</c:v>
                </c:pt>
                <c:pt idx="2">
                  <c:v>5.0042000000000003E-2</c:v>
                </c:pt>
                <c:pt idx="3">
                  <c:v>-1.6400000000000001E-2</c:v>
                </c:pt>
                <c:pt idx="4">
                  <c:v>-6.5325999999999995E-2</c:v>
                </c:pt>
                <c:pt idx="5">
                  <c:v>-6.9802000000000003E-2</c:v>
                </c:pt>
                <c:pt idx="6">
                  <c:v>-1.81E-3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0DD5-429C-A57F-C73DB2D6220D}"/>
            </c:ext>
          </c:extLst>
        </c:ser>
        <c:ser>
          <c:idx val="23"/>
          <c:order val="11"/>
          <c:tx>
            <c:v>P-LWC-C-60%Fmax</c:v>
          </c:tx>
          <c:spPr>
            <a:ln w="25400" cap="rnd">
              <a:noFill/>
              <a:round/>
            </a:ln>
            <a:effectLst/>
          </c:spPr>
          <c:xVal>
            <c:numRef>
              <c:f>lwc!$E$6:$E$12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lwc!$G$36:$G$42</c:f>
              <c:numCache>
                <c:formatCode>General</c:formatCode>
                <c:ptCount val="7"/>
                <c:pt idx="0">
                  <c:v>0.37021100000000001</c:v>
                </c:pt>
                <c:pt idx="1">
                  <c:v>0.35208400000000001</c:v>
                </c:pt>
                <c:pt idx="2">
                  <c:v>8.9967000000000005E-2</c:v>
                </c:pt>
                <c:pt idx="3">
                  <c:v>-8.6800000000000002E-2</c:v>
                </c:pt>
                <c:pt idx="4">
                  <c:v>-0.11031100000000001</c:v>
                </c:pt>
                <c:pt idx="5">
                  <c:v>-0.37994800000000001</c:v>
                </c:pt>
                <c:pt idx="6">
                  <c:v>-8.9800000000000005E-2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0DD5-429C-A57F-C73DB2D6220D}"/>
            </c:ext>
          </c:extLst>
        </c:ser>
        <c:ser>
          <c:idx val="5"/>
          <c:order val="16"/>
          <c:tx>
            <c:v>P-NWC-60%Fmax</c:v>
          </c:tx>
          <c:spPr>
            <a:ln w="25400">
              <a:noFill/>
            </a:ln>
          </c:spPr>
          <c:marker>
            <c:symbol val="diamond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nwc!$E$6:$E$12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nwc!$G$6:$G$12</c:f>
              <c:numCache>
                <c:formatCode>General</c:formatCode>
                <c:ptCount val="7"/>
                <c:pt idx="0">
                  <c:v>0.180063</c:v>
                </c:pt>
                <c:pt idx="1">
                  <c:v>0.156525</c:v>
                </c:pt>
                <c:pt idx="2">
                  <c:v>1.2101000000000001E-2</c:v>
                </c:pt>
                <c:pt idx="3">
                  <c:v>-2.061E-2</c:v>
                </c:pt>
                <c:pt idx="4">
                  <c:v>-9.9923999999999999E-2</c:v>
                </c:pt>
                <c:pt idx="5">
                  <c:v>-0.20039499999999999</c:v>
                </c:pt>
                <c:pt idx="6">
                  <c:v>-5.7500000000000002E-5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0DD5-429C-A57F-C73DB2D6220D}"/>
            </c:ext>
          </c:extLst>
        </c:ser>
        <c:ser>
          <c:idx val="9"/>
          <c:order val="20"/>
          <c:tx>
            <c:v>P-NWC-B-60%Fmax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nwc!$E$6:$E$12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nwc!$G$22:$G$28</c:f>
              <c:numCache>
                <c:formatCode>General</c:formatCode>
                <c:ptCount val="7"/>
                <c:pt idx="0">
                  <c:v>0.14996799999999999</c:v>
                </c:pt>
                <c:pt idx="1">
                  <c:v>0.109865</c:v>
                </c:pt>
                <c:pt idx="2">
                  <c:v>1.489E-2</c:v>
                </c:pt>
                <c:pt idx="3">
                  <c:v>-3.5872000000000001E-2</c:v>
                </c:pt>
                <c:pt idx="4">
                  <c:v>-0.100467</c:v>
                </c:pt>
                <c:pt idx="5">
                  <c:v>-0.19001699999999999</c:v>
                </c:pt>
                <c:pt idx="6">
                  <c:v>-0.119854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0DD5-429C-A57F-C73DB2D6220D}"/>
            </c:ext>
          </c:extLst>
        </c:ser>
        <c:ser>
          <c:idx val="1"/>
          <c:order val="24"/>
          <c:tx>
            <c:v>P-NWC-C-60%Fmax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nwc!$E$6:$E$12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nwc!$G$36:$G$42</c:f>
              <c:numCache>
                <c:formatCode>General</c:formatCode>
                <c:ptCount val="7"/>
                <c:pt idx="0">
                  <c:v>0.20994599999999999</c:v>
                </c:pt>
                <c:pt idx="1">
                  <c:v>0.160218</c:v>
                </c:pt>
                <c:pt idx="2">
                  <c:v>3.9940000000000003E-2</c:v>
                </c:pt>
                <c:pt idx="3">
                  <c:v>-2.9752000000000001E-2</c:v>
                </c:pt>
                <c:pt idx="4">
                  <c:v>-8.7464E-2</c:v>
                </c:pt>
                <c:pt idx="5">
                  <c:v>-0.24029300000000001</c:v>
                </c:pt>
                <c:pt idx="6">
                  <c:v>-0.11444600000000001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0DD5-429C-A57F-C73DB2D62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696312"/>
        <c:axId val="458693360"/>
        <c:extLst>
          <c:ext xmlns:c15="http://schemas.microsoft.com/office/drawing/2012/chart" uri="{02D57815-91ED-43cb-92C2-25804820EDAC}">
            <c15:filteredScatterSeries>
              <c15:ser>
                <c:idx val="12"/>
                <c:order val="0"/>
                <c:tx>
                  <c:v>P-LWC-30%Fmax</c:v>
                </c:tx>
                <c:spPr>
                  <a:ln w="25400">
                    <a:noFill/>
                  </a:ln>
                </c:spPr>
                <c:xVal>
                  <c:numRef>
                    <c:extLst>
                      <c:ext uri="{02D57815-91ED-43cb-92C2-25804820EDAC}">
                        <c15:formulaRef>
                          <c15:sqref>lwc!$E$6:$E$12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1.35</c:v>
                      </c:pt>
                      <c:pt idx="2">
                        <c:v>1.8</c:v>
                      </c:pt>
                      <c:pt idx="3">
                        <c:v>2.6</c:v>
                      </c:pt>
                      <c:pt idx="4">
                        <c:v>3.4</c:v>
                      </c:pt>
                      <c:pt idx="5">
                        <c:v>3.85</c:v>
                      </c:pt>
                      <c:pt idx="6">
                        <c:v>5.2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lwc!$F$6:$F$12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0.119645</c:v>
                      </c:pt>
                      <c:pt idx="1">
                        <c:v>5.9804000000000003E-2</c:v>
                      </c:pt>
                      <c:pt idx="2">
                        <c:v>5.2789999999999998E-3</c:v>
                      </c:pt>
                      <c:pt idx="3">
                        <c:v>-9.8099999999999993E-3</c:v>
                      </c:pt>
                      <c:pt idx="4">
                        <c:v>-3.1958E-2</c:v>
                      </c:pt>
                      <c:pt idx="5">
                        <c:v>-6.0118999999999999E-2</c:v>
                      </c:pt>
                      <c:pt idx="6">
                        <c:v>-7.9899999999999999E-2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28-0DD5-429C-A57F-C73DB2D6220D}"/>
                  </c:ext>
                </c:extLst>
              </c15:ser>
            </c15:filteredScatterSeries>
            <c15:filteredScatterSeries>
              <c15:ser>
                <c:idx val="14"/>
                <c:order val="2"/>
                <c:tx>
                  <c:v>P-LWC-90%Fmax</c:v>
                </c:tx>
                <c:spPr>
                  <a:ln w="25400">
                    <a:noFill/>
                  </a:ln>
                </c:spP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lwc!$E$6:$E$12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1.35</c:v>
                      </c:pt>
                      <c:pt idx="2">
                        <c:v>1.8</c:v>
                      </c:pt>
                      <c:pt idx="3">
                        <c:v>2.6</c:v>
                      </c:pt>
                      <c:pt idx="4">
                        <c:v>3.4</c:v>
                      </c:pt>
                      <c:pt idx="5">
                        <c:v>3.85</c:v>
                      </c:pt>
                      <c:pt idx="6">
                        <c:v>5.2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lwc!$H$6:$H$12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0.35960399999999998</c:v>
                      </c:pt>
                      <c:pt idx="1">
                        <c:v>0.49000500000000002</c:v>
                      </c:pt>
                      <c:pt idx="2">
                        <c:v>3.5001999999999998E-2</c:v>
                      </c:pt>
                      <c:pt idx="3">
                        <c:v>-4.5654E-2</c:v>
                      </c:pt>
                      <c:pt idx="4">
                        <c:v>-0.711982</c:v>
                      </c:pt>
                      <c:pt idx="5">
                        <c:v>-1.995242</c:v>
                      </c:pt>
                      <c:pt idx="6">
                        <c:v>-3.330012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A-0DD5-429C-A57F-C73DB2D6220D}"/>
                  </c:ext>
                </c:extLst>
              </c15:ser>
            </c15:filteredScatterSeries>
            <c15:filteredScatterSeries>
              <c15:ser>
                <c:idx val="15"/>
                <c:order val="3"/>
                <c:tx>
                  <c:v>P-LWC-F1</c:v>
                </c:tx>
                <c:spPr>
                  <a:ln w="25400">
                    <a:noFill/>
                  </a:ln>
                </c:spP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lwc!$E$6:$E$12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1.35</c:v>
                      </c:pt>
                      <c:pt idx="2">
                        <c:v>1.8</c:v>
                      </c:pt>
                      <c:pt idx="3">
                        <c:v>2.6</c:v>
                      </c:pt>
                      <c:pt idx="4">
                        <c:v>3.4</c:v>
                      </c:pt>
                      <c:pt idx="5">
                        <c:v>3.85</c:v>
                      </c:pt>
                      <c:pt idx="6">
                        <c:v>5.2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lwc!$J$6:$J$12</c15:sqref>
                        </c15:formulaRef>
                      </c:ext>
                    </c:extLst>
                    <c:numCache>
                      <c:formatCode>0.00E+00</c:formatCode>
                      <c:ptCount val="7"/>
                      <c:pt idx="0" formatCode="General">
                        <c:v>0.33965699999999999</c:v>
                      </c:pt>
                      <c:pt idx="1">
                        <c:v>0.47014099999999998</c:v>
                      </c:pt>
                      <c:pt idx="2">
                        <c:v>3.4979999999999997E-2</c:v>
                      </c:pt>
                      <c:pt idx="3">
                        <c:v>-1.4149E-2</c:v>
                      </c:pt>
                      <c:pt idx="4">
                        <c:v>-0.60286200000000001</c:v>
                      </c:pt>
                      <c:pt idx="5">
                        <c:v>-1.709571</c:v>
                      </c:pt>
                      <c:pt idx="6">
                        <c:v>-2.9348269999999999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B-0DD5-429C-A57F-C73DB2D6220D}"/>
                  </c:ext>
                </c:extLst>
              </c15:ser>
            </c15:filteredScatterSeries>
            <c15:filteredScatterSeries>
              <c15:ser>
                <c:idx val="16"/>
                <c:order val="4"/>
                <c:tx>
                  <c:v>P-LWC-Fmax</c:v>
                </c:tx>
                <c:spPr>
                  <a:ln w="25400">
                    <a:noFill/>
                  </a:ln>
                </c:spP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lwc!$E$6:$E$12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1.35</c:v>
                      </c:pt>
                      <c:pt idx="2">
                        <c:v>1.8</c:v>
                      </c:pt>
                      <c:pt idx="3">
                        <c:v>2.6</c:v>
                      </c:pt>
                      <c:pt idx="4">
                        <c:v>3.4</c:v>
                      </c:pt>
                      <c:pt idx="5">
                        <c:v>3.85</c:v>
                      </c:pt>
                      <c:pt idx="6">
                        <c:v>5.2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lwc!$I$6:$I$12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0.64962799999999998</c:v>
                      </c:pt>
                      <c:pt idx="1">
                        <c:v>0.85012299999999996</c:v>
                      </c:pt>
                      <c:pt idx="2">
                        <c:v>7.0205000000000004E-2</c:v>
                      </c:pt>
                      <c:pt idx="3">
                        <c:v>-0.20478499999999999</c:v>
                      </c:pt>
                      <c:pt idx="4">
                        <c:v>-1.884565</c:v>
                      </c:pt>
                      <c:pt idx="5">
                        <c:v>-3.9296570000000002</c:v>
                      </c:pt>
                      <c:pt idx="6">
                        <c:v>-4.6994490000000004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C-0DD5-429C-A57F-C73DB2D6220D}"/>
                  </c:ext>
                </c:extLst>
              </c15:ser>
            </c15:filteredScatterSeries>
            <c15:filteredScatterSeries>
              <c15:ser>
                <c:idx val="17"/>
                <c:order val="5"/>
                <c:tx>
                  <c:v>P-LWC-B-30%Fmax</c:v>
                </c:tx>
                <c:spPr>
                  <a:ln w="25400" cap="rnd">
                    <a:noFill/>
                    <a:round/>
                  </a:ln>
                  <a:effectLst/>
                </c:spP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lwc!$E$6:$E$12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1.35</c:v>
                      </c:pt>
                      <c:pt idx="2">
                        <c:v>1.8</c:v>
                      </c:pt>
                      <c:pt idx="3">
                        <c:v>2.6</c:v>
                      </c:pt>
                      <c:pt idx="4">
                        <c:v>3.4</c:v>
                      </c:pt>
                      <c:pt idx="5">
                        <c:v>3.85</c:v>
                      </c:pt>
                      <c:pt idx="6">
                        <c:v>5.2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lwc!$F$22:$F$28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4.9956E-2</c:v>
                      </c:pt>
                      <c:pt idx="1">
                        <c:v>9.8969999999999995E-3</c:v>
                      </c:pt>
                      <c:pt idx="2">
                        <c:v>9.7940000000000006E-3</c:v>
                      </c:pt>
                      <c:pt idx="3">
                        <c:v>-1.9904000000000002E-2</c:v>
                      </c:pt>
                      <c:pt idx="4">
                        <c:v>-4.803E-3</c:v>
                      </c:pt>
                      <c:pt idx="5">
                        <c:v>-9.8779999999999996E-3</c:v>
                      </c:pt>
                      <c:pt idx="6">
                        <c:v>-3.581E-3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D-0DD5-429C-A57F-C73DB2D6220D}"/>
                  </c:ext>
                </c:extLst>
              </c15:ser>
            </c15:filteredScatterSeries>
            <c15:filteredScatterSeries>
              <c15:ser>
                <c:idx val="19"/>
                <c:order val="7"/>
                <c:tx>
                  <c:v>P-LWC-B-90%Fmax</c:v>
                </c:tx>
                <c:spPr>
                  <a:ln w="25400" cap="rnd">
                    <a:noFill/>
                    <a:round/>
                  </a:ln>
                  <a:effectLst/>
                </c:spP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lwc!$E$6:$E$12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1.35</c:v>
                      </c:pt>
                      <c:pt idx="2">
                        <c:v>1.8</c:v>
                      </c:pt>
                      <c:pt idx="3">
                        <c:v>2.6</c:v>
                      </c:pt>
                      <c:pt idx="4">
                        <c:v>3.4</c:v>
                      </c:pt>
                      <c:pt idx="5">
                        <c:v>3.85</c:v>
                      </c:pt>
                      <c:pt idx="6">
                        <c:v>5.2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lwc!$H$22:$H$28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0.54045399999999999</c:v>
                      </c:pt>
                      <c:pt idx="1">
                        <c:v>0.51991699999999996</c:v>
                      </c:pt>
                      <c:pt idx="2">
                        <c:v>0.17504800000000001</c:v>
                      </c:pt>
                      <c:pt idx="3">
                        <c:v>-8.5459999999999998E-3</c:v>
                      </c:pt>
                      <c:pt idx="4">
                        <c:v>-0.220079</c:v>
                      </c:pt>
                      <c:pt idx="5">
                        <c:v>-0.239894</c:v>
                      </c:pt>
                      <c:pt idx="6">
                        <c:v>-1.882E-3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F-0DD5-429C-A57F-C73DB2D6220D}"/>
                  </c:ext>
                </c:extLst>
              </c15:ser>
            </c15:filteredScatterSeries>
            <c15:filteredScatterSeries>
              <c15:ser>
                <c:idx val="20"/>
                <c:order val="8"/>
                <c:tx>
                  <c:v>P-LWC-B-Fmax</c:v>
                </c:tx>
                <c:spPr>
                  <a:ln w="25400" cap="rnd">
                    <a:noFill/>
                    <a:round/>
                  </a:ln>
                  <a:effectLst/>
                </c:spP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lwc!$E$6:$E$12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1.35</c:v>
                      </c:pt>
                      <c:pt idx="2">
                        <c:v>1.8</c:v>
                      </c:pt>
                      <c:pt idx="3">
                        <c:v>2.6</c:v>
                      </c:pt>
                      <c:pt idx="4">
                        <c:v>3.4</c:v>
                      </c:pt>
                      <c:pt idx="5">
                        <c:v>3.85</c:v>
                      </c:pt>
                      <c:pt idx="6">
                        <c:v>5.2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lwc!$I$22:$I$28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3.9702289999999998</c:v>
                      </c:pt>
                      <c:pt idx="1">
                        <c:v>3.868201</c:v>
                      </c:pt>
                      <c:pt idx="2">
                        <c:v>1.6393500000000001</c:v>
                      </c:pt>
                      <c:pt idx="3">
                        <c:v>-1.316E-2</c:v>
                      </c:pt>
                      <c:pt idx="4">
                        <c:v>-0.60406599999999999</c:v>
                      </c:pt>
                      <c:pt idx="5">
                        <c:v>-1.03678</c:v>
                      </c:pt>
                      <c:pt idx="6">
                        <c:v>-0.17163100000000001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0-0DD5-429C-A57F-C73DB2D6220D}"/>
                  </c:ext>
                </c:extLst>
              </c15:ser>
            </c15:filteredScatterSeries>
            <c15:filteredScatterSeries>
              <c15:ser>
                <c:idx val="21"/>
                <c:order val="9"/>
                <c:tx>
                  <c:v>P-LWC-B-F1</c:v>
                </c:tx>
                <c:spPr>
                  <a:ln w="25400" cap="rnd">
                    <a:noFill/>
                    <a:round/>
                  </a:ln>
                  <a:effectLst/>
                </c:spP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lwc!$E$22:$E$28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1.35</c:v>
                      </c:pt>
                      <c:pt idx="2">
                        <c:v>1.8</c:v>
                      </c:pt>
                      <c:pt idx="3">
                        <c:v>2.6</c:v>
                      </c:pt>
                      <c:pt idx="4">
                        <c:v>3.4</c:v>
                      </c:pt>
                      <c:pt idx="5">
                        <c:v>3.85</c:v>
                      </c:pt>
                      <c:pt idx="6">
                        <c:v>5.2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lwc!$J$22:$J$28</c15:sqref>
                        </c15:formulaRef>
                      </c:ext>
                    </c:extLst>
                    <c:numCache>
                      <c:formatCode>0.00E+00</c:formatCode>
                      <c:ptCount val="7"/>
                      <c:pt idx="0">
                        <c:v>2.414266</c:v>
                      </c:pt>
                      <c:pt idx="1">
                        <c:v>2.519625</c:v>
                      </c:pt>
                      <c:pt idx="2">
                        <c:v>0.73051699999999997</c:v>
                      </c:pt>
                      <c:pt idx="3" formatCode="General">
                        <c:v>-1.0217E-2</c:v>
                      </c:pt>
                      <c:pt idx="4">
                        <c:v>-0.28018999999999999</c:v>
                      </c:pt>
                      <c:pt idx="5">
                        <c:v>-0.31979800000000003</c:v>
                      </c:pt>
                      <c:pt idx="6">
                        <c:v>8.4580000000000002E-3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1-0DD5-429C-A57F-C73DB2D6220D}"/>
                  </c:ext>
                </c:extLst>
              </c15:ser>
            </c15:filteredScatterSeries>
            <c15:filteredScatterSeries>
              <c15:ser>
                <c:idx val="22"/>
                <c:order val="10"/>
                <c:tx>
                  <c:v>P-LWC-C-30%Fmax</c:v>
                </c:tx>
                <c:spPr>
                  <a:ln w="25400" cap="rnd">
                    <a:noFill/>
                    <a:round/>
                  </a:ln>
                  <a:effectLst/>
                </c:spP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lwc!$E$6:$E$12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1.35</c:v>
                      </c:pt>
                      <c:pt idx="2">
                        <c:v>1.8</c:v>
                      </c:pt>
                      <c:pt idx="3">
                        <c:v>2.6</c:v>
                      </c:pt>
                      <c:pt idx="4">
                        <c:v>3.4</c:v>
                      </c:pt>
                      <c:pt idx="5">
                        <c:v>3.85</c:v>
                      </c:pt>
                      <c:pt idx="6">
                        <c:v>5.2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lwc!$F$36:$F$42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0.13016800000000001</c:v>
                      </c:pt>
                      <c:pt idx="1">
                        <c:v>0.129858</c:v>
                      </c:pt>
                      <c:pt idx="2">
                        <c:v>2.5233999999999999E-2</c:v>
                      </c:pt>
                      <c:pt idx="3">
                        <c:v>-5.3584E-2</c:v>
                      </c:pt>
                      <c:pt idx="4">
                        <c:v>-4.5114000000000001E-2</c:v>
                      </c:pt>
                      <c:pt idx="5">
                        <c:v>-0.139851</c:v>
                      </c:pt>
                      <c:pt idx="6">
                        <c:v>-3.0800000000000003E-5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2-0DD5-429C-A57F-C73DB2D6220D}"/>
                  </c:ext>
                </c:extLst>
              </c15:ser>
            </c15:filteredScatterSeries>
            <c15:filteredScatterSeries>
              <c15:ser>
                <c:idx val="24"/>
                <c:order val="12"/>
                <c:tx>
                  <c:v>P-LWC-C-90%Fmax</c:v>
                </c:tx>
                <c:spPr>
                  <a:ln w="25400" cap="rnd">
                    <a:noFill/>
                    <a:round/>
                  </a:ln>
                  <a:effectLst/>
                </c:spP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lwc!$E$6:$E$12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1.35</c:v>
                      </c:pt>
                      <c:pt idx="2">
                        <c:v>1.8</c:v>
                      </c:pt>
                      <c:pt idx="3">
                        <c:v>2.6</c:v>
                      </c:pt>
                      <c:pt idx="4">
                        <c:v>3.4</c:v>
                      </c:pt>
                      <c:pt idx="5">
                        <c:v>3.85</c:v>
                      </c:pt>
                      <c:pt idx="6">
                        <c:v>5.2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lwc!$H$36:$H$42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3.0906229999999999</c:v>
                      </c:pt>
                      <c:pt idx="1">
                        <c:v>2.8391489999999999</c:v>
                      </c:pt>
                      <c:pt idx="2">
                        <c:v>0.96031599999999995</c:v>
                      </c:pt>
                      <c:pt idx="3">
                        <c:v>-1.9227000000000001E-2</c:v>
                      </c:pt>
                      <c:pt idx="4">
                        <c:v>-0.30529699999999999</c:v>
                      </c:pt>
                      <c:pt idx="5">
                        <c:v>-1.0198119999999999</c:v>
                      </c:pt>
                      <c:pt idx="6">
                        <c:v>-0.85957399999999995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4-0DD5-429C-A57F-C73DB2D6220D}"/>
                  </c:ext>
                </c:extLst>
              </c15:ser>
            </c15:filteredScatterSeries>
            <c15:filteredScatterSeries>
              <c15:ser>
                <c:idx val="25"/>
                <c:order val="13"/>
                <c:tx>
                  <c:v>P-LWC-C-Fmax</c:v>
                </c:tx>
                <c:spPr>
                  <a:ln w="25400" cap="rnd">
                    <a:noFill/>
                    <a:round/>
                  </a:ln>
                  <a:effectLst/>
                </c:spP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lwc!$E$6:$E$12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1.35</c:v>
                      </c:pt>
                      <c:pt idx="2">
                        <c:v>1.8</c:v>
                      </c:pt>
                      <c:pt idx="3">
                        <c:v>2.6</c:v>
                      </c:pt>
                      <c:pt idx="4">
                        <c:v>3.4</c:v>
                      </c:pt>
                      <c:pt idx="5">
                        <c:v>3.85</c:v>
                      </c:pt>
                      <c:pt idx="6">
                        <c:v>5.2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lwc!$I$36:$I$42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4.4002150000000002</c:v>
                      </c:pt>
                      <c:pt idx="1">
                        <c:v>4.2979839999999996</c:v>
                      </c:pt>
                      <c:pt idx="2">
                        <c:v>1.4853559999999999</c:v>
                      </c:pt>
                      <c:pt idx="3">
                        <c:v>-6.4129000000000005E-2</c:v>
                      </c:pt>
                      <c:pt idx="4">
                        <c:v>-1.1891879999999999</c:v>
                      </c:pt>
                      <c:pt idx="5">
                        <c:v>-2.7465609999999998</c:v>
                      </c:pt>
                      <c:pt idx="6">
                        <c:v>-2.962297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5-0DD5-429C-A57F-C73DB2D6220D}"/>
                  </c:ext>
                </c:extLst>
              </c15:ser>
            </c15:filteredScatterSeries>
            <c15:filteredScatterSeries>
              <c15:ser>
                <c:idx val="26"/>
                <c:order val="14"/>
                <c:tx>
                  <c:v>P-LWC-C-F1</c:v>
                </c:tx>
                <c:spPr>
                  <a:ln w="25400" cap="rnd">
                    <a:noFill/>
                    <a:round/>
                  </a:ln>
                  <a:effectLst/>
                </c:spP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lwc!$E$36:$E$42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1.35</c:v>
                      </c:pt>
                      <c:pt idx="2">
                        <c:v>1.8</c:v>
                      </c:pt>
                      <c:pt idx="3">
                        <c:v>2.6</c:v>
                      </c:pt>
                      <c:pt idx="4">
                        <c:v>3.4</c:v>
                      </c:pt>
                      <c:pt idx="5">
                        <c:v>3.85</c:v>
                      </c:pt>
                      <c:pt idx="6">
                        <c:v>5.2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lwc!$J$36:$J$42</c15:sqref>
                        </c15:formulaRef>
                      </c:ext>
                    </c:extLst>
                    <c:numCache>
                      <c:formatCode>0.00E+00</c:formatCode>
                      <c:ptCount val="7"/>
                      <c:pt idx="0">
                        <c:v>0.80227099999999996</c:v>
                      </c:pt>
                      <c:pt idx="1">
                        <c:v>0.79962100000000003</c:v>
                      </c:pt>
                      <c:pt idx="2">
                        <c:v>0.18998499999999999</c:v>
                      </c:pt>
                      <c:pt idx="3">
                        <c:v>-8.3585999999999994E-2</c:v>
                      </c:pt>
                      <c:pt idx="4">
                        <c:v>-0.18509</c:v>
                      </c:pt>
                      <c:pt idx="5">
                        <c:v>-0.60017900000000002</c:v>
                      </c:pt>
                      <c:pt idx="6">
                        <c:v>-0.29955700000000002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6-0DD5-429C-A57F-C73DB2D6220D}"/>
                  </c:ext>
                </c:extLst>
              </c15:ser>
            </c15:filteredScatterSeries>
            <c15:filteredScatterSeries>
              <c15:ser>
                <c:idx val="4"/>
                <c:order val="15"/>
                <c:tx>
                  <c:v>P-NWC-30%Fmax</c:v>
                </c:tx>
                <c:spPr>
                  <a:ln w="25400">
                    <a:noFill/>
                  </a:ln>
                </c:spPr>
                <c:marker>
                  <c:symbol val="square"/>
                  <c:size val="7"/>
                  <c:spPr>
                    <a:solidFill>
                      <a:srgbClr val="0070C0"/>
                    </a:solidFill>
                    <a:ln>
                      <a:solidFill>
                        <a:srgbClr val="0070C0"/>
                      </a:solidFill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nwc!$E$6:$E$12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1.35</c:v>
                      </c:pt>
                      <c:pt idx="2">
                        <c:v>1.8</c:v>
                      </c:pt>
                      <c:pt idx="3">
                        <c:v>2.6</c:v>
                      </c:pt>
                      <c:pt idx="4">
                        <c:v>3.4</c:v>
                      </c:pt>
                      <c:pt idx="5">
                        <c:v>3.85</c:v>
                      </c:pt>
                      <c:pt idx="6">
                        <c:v>5.2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nwc!$F$6:$F$12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6.9794999999999996E-2</c:v>
                      </c:pt>
                      <c:pt idx="1">
                        <c:v>4.0031999999999998E-2</c:v>
                      </c:pt>
                      <c:pt idx="2">
                        <c:v>4.8009999999999997E-3</c:v>
                      </c:pt>
                      <c:pt idx="3">
                        <c:v>-1.0073E-2</c:v>
                      </c:pt>
                      <c:pt idx="4">
                        <c:v>-4.4965999999999999E-2</c:v>
                      </c:pt>
                      <c:pt idx="5">
                        <c:v>-9.0162000000000006E-2</c:v>
                      </c:pt>
                      <c:pt idx="6">
                        <c:v>9.8080000000000007E-3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0DD5-429C-A57F-C73DB2D6220D}"/>
                  </c:ext>
                </c:extLst>
              </c15:ser>
            </c15:filteredScatterSeries>
            <c15:filteredScatterSeries>
              <c15:ser>
                <c:idx val="6"/>
                <c:order val="17"/>
                <c:tx>
                  <c:v>P-NWC-90%Fmax</c:v>
                </c:tx>
                <c:spPr>
                  <a:ln w="25400">
                    <a:noFill/>
                  </a:ln>
                </c:spPr>
                <c:marker>
                  <c:symbol val="triangle"/>
                  <c:size val="7"/>
                  <c:spPr>
                    <a:solidFill>
                      <a:srgbClr val="00B050"/>
                    </a:solidFill>
                    <a:ln>
                      <a:solidFill>
                        <a:srgbClr val="00B050"/>
                      </a:solidFill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nwc!$E$6:$E$12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1.35</c:v>
                      </c:pt>
                      <c:pt idx="2">
                        <c:v>1.8</c:v>
                      </c:pt>
                      <c:pt idx="3">
                        <c:v>2.6</c:v>
                      </c:pt>
                      <c:pt idx="4">
                        <c:v>3.4</c:v>
                      </c:pt>
                      <c:pt idx="5">
                        <c:v>3.85</c:v>
                      </c:pt>
                      <c:pt idx="6">
                        <c:v>5.2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nwc!$H$6:$H$12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0.39003399999999999</c:v>
                      </c:pt>
                      <c:pt idx="1">
                        <c:v>0.37652200000000002</c:v>
                      </c:pt>
                      <c:pt idx="2">
                        <c:v>4.5643999999999997E-2</c:v>
                      </c:pt>
                      <c:pt idx="3">
                        <c:v>-4.0500000000000001E-2</c:v>
                      </c:pt>
                      <c:pt idx="4">
                        <c:v>-0.20496</c:v>
                      </c:pt>
                      <c:pt idx="5">
                        <c:v>-0.38021100000000002</c:v>
                      </c:pt>
                      <c:pt idx="6">
                        <c:v>-1.0995E-2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0DD5-429C-A57F-C73DB2D6220D}"/>
                  </c:ext>
                </c:extLst>
              </c15:ser>
            </c15:filteredScatterSeries>
            <c15:filteredScatterSeries>
              <c15:ser>
                <c:idx val="7"/>
                <c:order val="18"/>
                <c:tx>
                  <c:v>P-NWC-Fmax</c:v>
                </c:tx>
                <c:spPr>
                  <a:ln w="25400">
                    <a:noFill/>
                  </a:ln>
                </c:spPr>
                <c:marker>
                  <c:symbol val="circle"/>
                  <c:size val="7"/>
                  <c:spPr>
                    <a:solidFill>
                      <a:schemeClr val="tx1"/>
                    </a:solidFill>
                    <a:ln>
                      <a:solidFill>
                        <a:schemeClr val="tx1"/>
                      </a:solidFill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nwc!$E$6:$E$12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1.35</c:v>
                      </c:pt>
                      <c:pt idx="2">
                        <c:v>1.8</c:v>
                      </c:pt>
                      <c:pt idx="3">
                        <c:v>2.6</c:v>
                      </c:pt>
                      <c:pt idx="4">
                        <c:v>3.4</c:v>
                      </c:pt>
                      <c:pt idx="5">
                        <c:v>3.85</c:v>
                      </c:pt>
                      <c:pt idx="6">
                        <c:v>5.2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nwc!$I$6:$I$12</c15:sqref>
                        </c15:formulaRef>
                      </c:ext>
                    </c:extLst>
                    <c:numCache>
                      <c:formatCode>0.00E+00</c:formatCode>
                      <c:ptCount val="7"/>
                      <c:pt idx="0">
                        <c:v>0.60457000000000005</c:v>
                      </c:pt>
                      <c:pt idx="1">
                        <c:v>0.60957600000000001</c:v>
                      </c:pt>
                      <c:pt idx="2" formatCode="General">
                        <c:v>9.9999000000000005E-2</c:v>
                      </c:pt>
                      <c:pt idx="3">
                        <c:v>-4.5100000000000001E-2</c:v>
                      </c:pt>
                      <c:pt idx="4">
                        <c:v>-0.24485100000000001</c:v>
                      </c:pt>
                      <c:pt idx="5">
                        <c:v>-0.46983999999999998</c:v>
                      </c:pt>
                      <c:pt idx="6">
                        <c:v>-2.0499999999999999E-6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0DD5-429C-A57F-C73DB2D6220D}"/>
                  </c:ext>
                </c:extLst>
              </c15:ser>
            </c15:filteredScatterSeries>
            <c15:filteredScatterSeries>
              <c15:ser>
                <c:idx val="8"/>
                <c:order val="19"/>
                <c:tx>
                  <c:v>P-NWC-B-30%Fmax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quare"/>
                  <c:size val="7"/>
                  <c:spPr>
                    <a:solidFill>
                      <a:srgbClr val="0070C0"/>
                    </a:solidFill>
                    <a:ln>
                      <a:solidFill>
                        <a:srgbClr val="0070C0"/>
                      </a:solidFill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nwc!$E$6:$E$12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1.35</c:v>
                      </c:pt>
                      <c:pt idx="2">
                        <c:v>1.8</c:v>
                      </c:pt>
                      <c:pt idx="3">
                        <c:v>2.6</c:v>
                      </c:pt>
                      <c:pt idx="4">
                        <c:v>3.4</c:v>
                      </c:pt>
                      <c:pt idx="5">
                        <c:v>3.85</c:v>
                      </c:pt>
                      <c:pt idx="6">
                        <c:v>5.2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nwc!$F$22:$F$28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8.0126000000000003E-2</c:v>
                      </c:pt>
                      <c:pt idx="1">
                        <c:v>2.9967000000000001E-2</c:v>
                      </c:pt>
                      <c:pt idx="2">
                        <c:v>4.973E-3</c:v>
                      </c:pt>
                      <c:pt idx="3">
                        <c:v>-1.4515E-2</c:v>
                      </c:pt>
                      <c:pt idx="4">
                        <c:v>-4.5109999999999997E-2</c:v>
                      </c:pt>
                      <c:pt idx="5">
                        <c:v>-8.9935000000000001E-2</c:v>
                      </c:pt>
                      <c:pt idx="6">
                        <c:v>-4.9964000000000001E-2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0DD5-429C-A57F-C73DB2D6220D}"/>
                  </c:ext>
                </c:extLst>
              </c15:ser>
            </c15:filteredScatterSeries>
            <c15:filteredScatterSeries>
              <c15:ser>
                <c:idx val="10"/>
                <c:order val="21"/>
                <c:tx>
                  <c:v>P-NWC-B-90%Fmax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7"/>
                  <c:spPr>
                    <a:solidFill>
                      <a:srgbClr val="00B050"/>
                    </a:solidFill>
                    <a:ln>
                      <a:solidFill>
                        <a:srgbClr val="00B050"/>
                      </a:solidFill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nwc!$E$6:$E$12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1.35</c:v>
                      </c:pt>
                      <c:pt idx="2">
                        <c:v>1.8</c:v>
                      </c:pt>
                      <c:pt idx="3">
                        <c:v>2.6</c:v>
                      </c:pt>
                      <c:pt idx="4">
                        <c:v>3.4</c:v>
                      </c:pt>
                      <c:pt idx="5">
                        <c:v>3.85</c:v>
                      </c:pt>
                      <c:pt idx="6">
                        <c:v>5.2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nwc!$H$22:$H$28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0.33857599999999999</c:v>
                      </c:pt>
                      <c:pt idx="1">
                        <c:v>0.36037999999999998</c:v>
                      </c:pt>
                      <c:pt idx="2">
                        <c:v>4.5014999999999999E-2</c:v>
                      </c:pt>
                      <c:pt idx="3">
                        <c:v>-0.13100000000000001</c:v>
                      </c:pt>
                      <c:pt idx="4">
                        <c:v>-0.20527300000000001</c:v>
                      </c:pt>
                      <c:pt idx="5">
                        <c:v>-0.44977</c:v>
                      </c:pt>
                      <c:pt idx="6">
                        <c:v>-0.37966299999999997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0DD5-429C-A57F-C73DB2D6220D}"/>
                  </c:ext>
                </c:extLst>
              </c15:ser>
            </c15:filteredScatterSeries>
            <c15:filteredScatterSeries>
              <c15:ser>
                <c:idx val="11"/>
                <c:order val="22"/>
                <c:tx>
                  <c:v>P-NWC-B-Fmax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tx1"/>
                    </a:solidFill>
                    <a:ln>
                      <a:solidFill>
                        <a:schemeClr val="tx1"/>
                      </a:solidFill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nwc!$E$6:$E$12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1.35</c:v>
                      </c:pt>
                      <c:pt idx="2">
                        <c:v>1.8</c:v>
                      </c:pt>
                      <c:pt idx="3">
                        <c:v>2.6</c:v>
                      </c:pt>
                      <c:pt idx="4">
                        <c:v>3.4</c:v>
                      </c:pt>
                      <c:pt idx="5">
                        <c:v>3.85</c:v>
                      </c:pt>
                      <c:pt idx="6">
                        <c:v>5.2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nwc!$I$22:$I$28</c15:sqref>
                        </c15:formulaRef>
                      </c:ext>
                    </c:extLst>
                    <c:numCache>
                      <c:formatCode>0.00E+00</c:formatCode>
                      <c:ptCount val="7"/>
                      <c:pt idx="0">
                        <c:v>0.490089</c:v>
                      </c:pt>
                      <c:pt idx="1">
                        <c:v>0.61002699999999999</c:v>
                      </c:pt>
                      <c:pt idx="2">
                        <c:v>4.8798000000000001E-2</c:v>
                      </c:pt>
                      <c:pt idx="3">
                        <c:v>-0.13300000000000001</c:v>
                      </c:pt>
                      <c:pt idx="4">
                        <c:v>-0.23500499999999999</c:v>
                      </c:pt>
                      <c:pt idx="5">
                        <c:v>-0.479937</c:v>
                      </c:pt>
                      <c:pt idx="6">
                        <c:v>-0.39899000000000001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F-0DD5-429C-A57F-C73DB2D6220D}"/>
                  </c:ext>
                </c:extLst>
              </c15:ser>
            </c15:filteredScatterSeries>
            <c15:filteredScatterSeries>
              <c15:ser>
                <c:idx val="0"/>
                <c:order val="23"/>
                <c:tx>
                  <c:v>P-NWC-C-30%Fmax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quare"/>
                  <c:size val="7"/>
                  <c:spPr>
                    <a:solidFill>
                      <a:srgbClr val="0070C0"/>
                    </a:solidFill>
                    <a:ln w="9525">
                      <a:solidFill>
                        <a:srgbClr val="0070C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nwc!$E$6:$E$12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1.35</c:v>
                      </c:pt>
                      <c:pt idx="2">
                        <c:v>1.8</c:v>
                      </c:pt>
                      <c:pt idx="3">
                        <c:v>2.6</c:v>
                      </c:pt>
                      <c:pt idx="4">
                        <c:v>3.4</c:v>
                      </c:pt>
                      <c:pt idx="5">
                        <c:v>3.85</c:v>
                      </c:pt>
                      <c:pt idx="6">
                        <c:v>5.2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nwc!$F$36:$F$42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8.9892E-2</c:v>
                      </c:pt>
                      <c:pt idx="1">
                        <c:v>5.0451000000000003E-2</c:v>
                      </c:pt>
                      <c:pt idx="2">
                        <c:v>1.1313E-2</c:v>
                      </c:pt>
                      <c:pt idx="3">
                        <c:v>-1.252E-2</c:v>
                      </c:pt>
                      <c:pt idx="4">
                        <c:v>-2.9496999999999999E-2</c:v>
                      </c:pt>
                      <c:pt idx="5">
                        <c:v>-0.100383</c:v>
                      </c:pt>
                      <c:pt idx="6">
                        <c:v>-2.5264999999999999E-2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1-0DD5-429C-A57F-C73DB2D6220D}"/>
                  </c:ext>
                </c:extLst>
              </c15:ser>
            </c15:filteredScatterSeries>
            <c15:filteredScatterSeries>
              <c15:ser>
                <c:idx val="2"/>
                <c:order val="25"/>
                <c:tx>
                  <c:v>P-NWC-C-90%Fmax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7"/>
                  <c:spPr>
                    <a:solidFill>
                      <a:srgbClr val="00B050"/>
                    </a:solidFill>
                    <a:ln w="9525">
                      <a:solidFill>
                        <a:srgbClr val="00B05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nwc!$E$6:$E$12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1.35</c:v>
                      </c:pt>
                      <c:pt idx="2">
                        <c:v>1.8</c:v>
                      </c:pt>
                      <c:pt idx="3">
                        <c:v>2.6</c:v>
                      </c:pt>
                      <c:pt idx="4">
                        <c:v>3.4</c:v>
                      </c:pt>
                      <c:pt idx="5">
                        <c:v>3.85</c:v>
                      </c:pt>
                      <c:pt idx="6">
                        <c:v>5.2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nwc!$H$36:$H$42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0.37002099999999999</c:v>
                      </c:pt>
                      <c:pt idx="1">
                        <c:v>0.35041299999999997</c:v>
                      </c:pt>
                      <c:pt idx="2">
                        <c:v>7.3960999999999999E-2</c:v>
                      </c:pt>
                      <c:pt idx="3">
                        <c:v>-4.6323000000000003E-2</c:v>
                      </c:pt>
                      <c:pt idx="4">
                        <c:v>-0.16376399999999999</c:v>
                      </c:pt>
                      <c:pt idx="5">
                        <c:v>-0.44018299999999999</c:v>
                      </c:pt>
                      <c:pt idx="6">
                        <c:v>-0.27308500000000002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5-0DD5-429C-A57F-C73DB2D6220D}"/>
                  </c:ext>
                </c:extLst>
              </c15:ser>
            </c15:filteredScatterSeries>
            <c15:filteredScatterSeries>
              <c15:ser>
                <c:idx val="3"/>
                <c:order val="26"/>
                <c:tx>
                  <c:v>P-NWC-C-Fmax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tx1"/>
                    </a:solidFill>
                    <a:ln w="9525">
                      <a:solidFill>
                        <a:schemeClr val="tx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nwc!$E$6:$E$12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1.35</c:v>
                      </c:pt>
                      <c:pt idx="2">
                        <c:v>1.8</c:v>
                      </c:pt>
                      <c:pt idx="3">
                        <c:v>2.6</c:v>
                      </c:pt>
                      <c:pt idx="4">
                        <c:v>3.4</c:v>
                      </c:pt>
                      <c:pt idx="5">
                        <c:v>3.85</c:v>
                      </c:pt>
                      <c:pt idx="6">
                        <c:v>5.2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nwc!$I$36:$I$42</c15:sqref>
                        </c15:formulaRef>
                      </c:ext>
                    </c:extLst>
                    <c:numCache>
                      <c:formatCode>0.00E+00</c:formatCode>
                      <c:ptCount val="7"/>
                      <c:pt idx="0">
                        <c:v>0.62020900000000001</c:v>
                      </c:pt>
                      <c:pt idx="1">
                        <c:v>0.58027799999999996</c:v>
                      </c:pt>
                      <c:pt idx="2" formatCode="General">
                        <c:v>0.10353999999999999</c:v>
                      </c:pt>
                      <c:pt idx="3">
                        <c:v>-5.5100000000000003E-2</c:v>
                      </c:pt>
                      <c:pt idx="4">
                        <c:v>-0.208597</c:v>
                      </c:pt>
                      <c:pt idx="5">
                        <c:v>-0.72053999999999996</c:v>
                      </c:pt>
                      <c:pt idx="6">
                        <c:v>-0.58987800000000001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7-0DD5-429C-A57F-C73DB2D6220D}"/>
                  </c:ext>
                </c:extLst>
              </c15:ser>
            </c15:filteredScatterSeries>
          </c:ext>
        </c:extLst>
      </c:scatterChart>
      <c:valAx>
        <c:axId val="458696312"/>
        <c:scaling>
          <c:orientation val="minMax"/>
          <c:max val="5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Location along the length of the beam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58693360"/>
        <c:crosses val="autoZero"/>
        <c:crossBetween val="midCat"/>
        <c:majorUnit val="1.3"/>
      </c:valAx>
      <c:valAx>
        <c:axId val="45869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Slip</a:t>
                </a:r>
                <a:r>
                  <a:rPr lang="en-GB" sz="1200" baseline="0">
                    <a:solidFill>
                      <a:sysClr val="windowText" lastClr="000000"/>
                    </a:solidFill>
                  </a:rPr>
                  <a:t> (mm)</a:t>
                </a:r>
                <a:endParaRPr lang="en-GB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58696312"/>
        <c:crosses val="autoZero"/>
        <c:crossBetween val="midCat"/>
      </c:valAx>
    </c:plotArea>
    <c:legend>
      <c:legendPos val="r"/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P-NWC-A-30%Fmax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nwc!$E$6:$E$12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nwc!$F$6:$F$12</c:f>
              <c:numCache>
                <c:formatCode>General</c:formatCode>
                <c:ptCount val="7"/>
                <c:pt idx="0">
                  <c:v>6.9794999999999996E-2</c:v>
                </c:pt>
                <c:pt idx="1">
                  <c:v>4.0031999999999998E-2</c:v>
                </c:pt>
                <c:pt idx="2">
                  <c:v>4.8009999999999997E-3</c:v>
                </c:pt>
                <c:pt idx="3">
                  <c:v>-1.0073E-2</c:v>
                </c:pt>
                <c:pt idx="4">
                  <c:v>-4.4965999999999999E-2</c:v>
                </c:pt>
                <c:pt idx="5">
                  <c:v>-9.0162000000000006E-2</c:v>
                </c:pt>
                <c:pt idx="6">
                  <c:v>9.8080000000000007E-3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FE-4C0E-8511-617EAD782FC2}"/>
            </c:ext>
          </c:extLst>
        </c:ser>
        <c:ser>
          <c:idx val="1"/>
          <c:order val="1"/>
          <c:tx>
            <c:v>P-NWC-A-60%Fmax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nwc!$E$6:$E$12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nwc!$G$6:$G$12</c:f>
              <c:numCache>
                <c:formatCode>General</c:formatCode>
                <c:ptCount val="7"/>
                <c:pt idx="0">
                  <c:v>0.180063</c:v>
                </c:pt>
                <c:pt idx="1">
                  <c:v>0.156525</c:v>
                </c:pt>
                <c:pt idx="2">
                  <c:v>1.2101000000000001E-2</c:v>
                </c:pt>
                <c:pt idx="3">
                  <c:v>-2.061E-2</c:v>
                </c:pt>
                <c:pt idx="4">
                  <c:v>-9.9923999999999999E-2</c:v>
                </c:pt>
                <c:pt idx="5">
                  <c:v>-0.20039499999999999</c:v>
                </c:pt>
                <c:pt idx="6">
                  <c:v>-5.7500000000000002E-5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FE-4C0E-8511-617EAD782FC2}"/>
            </c:ext>
          </c:extLst>
        </c:ser>
        <c:ser>
          <c:idx val="2"/>
          <c:order val="2"/>
          <c:tx>
            <c:v>P-NWC-A-90%Fmax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nwc!$E$6:$E$12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nwc!$H$6:$H$12</c:f>
              <c:numCache>
                <c:formatCode>General</c:formatCode>
                <c:ptCount val="7"/>
                <c:pt idx="0">
                  <c:v>0.39003399999999999</c:v>
                </c:pt>
                <c:pt idx="1">
                  <c:v>0.37652200000000002</c:v>
                </c:pt>
                <c:pt idx="2">
                  <c:v>4.5643999999999997E-2</c:v>
                </c:pt>
                <c:pt idx="3">
                  <c:v>-4.0500000000000001E-2</c:v>
                </c:pt>
                <c:pt idx="4">
                  <c:v>-0.20496</c:v>
                </c:pt>
                <c:pt idx="5">
                  <c:v>-0.38021100000000002</c:v>
                </c:pt>
                <c:pt idx="6">
                  <c:v>-1.0995E-2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BFE-4C0E-8511-617EAD782FC2}"/>
            </c:ext>
          </c:extLst>
        </c:ser>
        <c:ser>
          <c:idx val="3"/>
          <c:order val="3"/>
          <c:tx>
            <c:v>P-NWC-A-Fmax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nwc!$E$6:$E$12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nwc!$I$6:$I$12</c:f>
              <c:numCache>
                <c:formatCode>0.00E+00</c:formatCode>
                <c:ptCount val="7"/>
                <c:pt idx="0">
                  <c:v>0.60457000000000005</c:v>
                </c:pt>
                <c:pt idx="1">
                  <c:v>0.60957600000000001</c:v>
                </c:pt>
                <c:pt idx="2" formatCode="General">
                  <c:v>9.9999000000000005E-2</c:v>
                </c:pt>
                <c:pt idx="3">
                  <c:v>-4.5100000000000001E-2</c:v>
                </c:pt>
                <c:pt idx="4">
                  <c:v>-0.24485100000000001</c:v>
                </c:pt>
                <c:pt idx="5">
                  <c:v>-0.46983999999999998</c:v>
                </c:pt>
                <c:pt idx="6">
                  <c:v>-2.0499999999999999E-6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BFE-4C0E-8511-617EAD782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696312"/>
        <c:axId val="458693360"/>
      </c:scatterChart>
      <c:valAx>
        <c:axId val="458696312"/>
        <c:scaling>
          <c:orientation val="minMax"/>
          <c:max val="5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Location along the length of the beam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58693360"/>
        <c:crosses val="autoZero"/>
        <c:crossBetween val="midCat"/>
        <c:majorUnit val="1.3"/>
      </c:valAx>
      <c:valAx>
        <c:axId val="458693360"/>
        <c:scaling>
          <c:orientation val="minMax"/>
          <c:min val="-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Slip</a:t>
                </a:r>
                <a:r>
                  <a:rPr lang="en-GB" sz="1200" baseline="0">
                    <a:solidFill>
                      <a:sysClr val="windowText" lastClr="000000"/>
                    </a:solidFill>
                  </a:rPr>
                  <a:t> (mm)</a:t>
                </a:r>
                <a:endParaRPr lang="en-GB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58696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P-NWC-B-30%Fmax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nwc!$E$6:$E$12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nwc!$F$22:$F$28</c:f>
              <c:numCache>
                <c:formatCode>General</c:formatCode>
                <c:ptCount val="7"/>
                <c:pt idx="0">
                  <c:v>8.0126000000000003E-2</c:v>
                </c:pt>
                <c:pt idx="1">
                  <c:v>2.9967000000000001E-2</c:v>
                </c:pt>
                <c:pt idx="2">
                  <c:v>4.973E-3</c:v>
                </c:pt>
                <c:pt idx="3">
                  <c:v>-1.4515E-2</c:v>
                </c:pt>
                <c:pt idx="4">
                  <c:v>-4.5109999999999997E-2</c:v>
                </c:pt>
                <c:pt idx="5">
                  <c:v>-8.9935000000000001E-2</c:v>
                </c:pt>
                <c:pt idx="6">
                  <c:v>-4.9964000000000001E-2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93-43E7-ABFD-A81D0D2BD875}"/>
            </c:ext>
          </c:extLst>
        </c:ser>
        <c:ser>
          <c:idx val="1"/>
          <c:order val="1"/>
          <c:tx>
            <c:v>P-NWC-B-60%Fmax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nwc!$E$6:$E$12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nwc!$G$22:$G$28</c:f>
              <c:numCache>
                <c:formatCode>General</c:formatCode>
                <c:ptCount val="7"/>
                <c:pt idx="0">
                  <c:v>0.14996799999999999</c:v>
                </c:pt>
                <c:pt idx="1">
                  <c:v>0.109865</c:v>
                </c:pt>
                <c:pt idx="2">
                  <c:v>1.489E-2</c:v>
                </c:pt>
                <c:pt idx="3">
                  <c:v>-3.5872000000000001E-2</c:v>
                </c:pt>
                <c:pt idx="4">
                  <c:v>-0.100467</c:v>
                </c:pt>
                <c:pt idx="5">
                  <c:v>-0.19001699999999999</c:v>
                </c:pt>
                <c:pt idx="6">
                  <c:v>-0.119854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93-43E7-ABFD-A81D0D2BD875}"/>
            </c:ext>
          </c:extLst>
        </c:ser>
        <c:ser>
          <c:idx val="2"/>
          <c:order val="2"/>
          <c:tx>
            <c:v>P-NWC-B-90%Fmax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nwc!$E$6:$E$12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nwc!$H$22:$H$28</c:f>
              <c:numCache>
                <c:formatCode>General</c:formatCode>
                <c:ptCount val="7"/>
                <c:pt idx="0">
                  <c:v>0.33857599999999999</c:v>
                </c:pt>
                <c:pt idx="1">
                  <c:v>0.36037999999999998</c:v>
                </c:pt>
                <c:pt idx="2">
                  <c:v>4.5014999999999999E-2</c:v>
                </c:pt>
                <c:pt idx="3">
                  <c:v>-0.13100000000000001</c:v>
                </c:pt>
                <c:pt idx="4">
                  <c:v>-0.20527300000000001</c:v>
                </c:pt>
                <c:pt idx="5">
                  <c:v>-0.44977</c:v>
                </c:pt>
                <c:pt idx="6">
                  <c:v>-0.37966299999999997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93-43E7-ABFD-A81D0D2BD875}"/>
            </c:ext>
          </c:extLst>
        </c:ser>
        <c:ser>
          <c:idx val="3"/>
          <c:order val="3"/>
          <c:tx>
            <c:v>P-NWC-B-Fmax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nwc!$E$6:$E$12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nwc!$I$22:$I$28</c:f>
              <c:numCache>
                <c:formatCode>0.00E+00</c:formatCode>
                <c:ptCount val="7"/>
                <c:pt idx="0">
                  <c:v>0.490089</c:v>
                </c:pt>
                <c:pt idx="1">
                  <c:v>0.61002699999999999</c:v>
                </c:pt>
                <c:pt idx="2">
                  <c:v>4.8798000000000001E-2</c:v>
                </c:pt>
                <c:pt idx="3">
                  <c:v>-0.13300000000000001</c:v>
                </c:pt>
                <c:pt idx="4">
                  <c:v>-0.23500499999999999</c:v>
                </c:pt>
                <c:pt idx="5">
                  <c:v>-0.479937</c:v>
                </c:pt>
                <c:pt idx="6">
                  <c:v>-0.39899000000000001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A93-43E7-ABFD-A81D0D2BD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696312"/>
        <c:axId val="458693360"/>
      </c:scatterChart>
      <c:valAx>
        <c:axId val="458696312"/>
        <c:scaling>
          <c:orientation val="minMax"/>
          <c:max val="5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Location along the length of the beam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58693360"/>
        <c:crosses val="autoZero"/>
        <c:crossBetween val="midCat"/>
        <c:majorUnit val="1.3"/>
      </c:valAx>
      <c:valAx>
        <c:axId val="458693360"/>
        <c:scaling>
          <c:orientation val="minMax"/>
          <c:min val="-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Slip</a:t>
                </a:r>
                <a:r>
                  <a:rPr lang="en-GB" sz="1200" baseline="0">
                    <a:solidFill>
                      <a:sysClr val="windowText" lastClr="000000"/>
                    </a:solidFill>
                  </a:rPr>
                  <a:t> (mm)</a:t>
                </a:r>
                <a:endParaRPr lang="en-GB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58696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P-NWC-C-30%Fmax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nwc!$E$6:$E$12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nwc!$F$36:$F$42</c:f>
              <c:numCache>
                <c:formatCode>General</c:formatCode>
                <c:ptCount val="7"/>
                <c:pt idx="0">
                  <c:v>8.9892E-2</c:v>
                </c:pt>
                <c:pt idx="1">
                  <c:v>5.0451000000000003E-2</c:v>
                </c:pt>
                <c:pt idx="2">
                  <c:v>1.1313E-2</c:v>
                </c:pt>
                <c:pt idx="3">
                  <c:v>-1.252E-2</c:v>
                </c:pt>
                <c:pt idx="4">
                  <c:v>-2.9496999999999999E-2</c:v>
                </c:pt>
                <c:pt idx="5">
                  <c:v>-0.100383</c:v>
                </c:pt>
                <c:pt idx="6">
                  <c:v>-2.5264999999999999E-2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FF-4BF4-8FE8-4E45FABF09FC}"/>
            </c:ext>
          </c:extLst>
        </c:ser>
        <c:ser>
          <c:idx val="1"/>
          <c:order val="1"/>
          <c:tx>
            <c:v>P-NWC-C-60%Fmax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nwc!$E$6:$E$12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nwc!$G$36:$G$42</c:f>
              <c:numCache>
                <c:formatCode>General</c:formatCode>
                <c:ptCount val="7"/>
                <c:pt idx="0">
                  <c:v>0.20994599999999999</c:v>
                </c:pt>
                <c:pt idx="1">
                  <c:v>0.160218</c:v>
                </c:pt>
                <c:pt idx="2">
                  <c:v>3.9940000000000003E-2</c:v>
                </c:pt>
                <c:pt idx="3">
                  <c:v>-2.9752000000000001E-2</c:v>
                </c:pt>
                <c:pt idx="4">
                  <c:v>-8.7464E-2</c:v>
                </c:pt>
                <c:pt idx="5">
                  <c:v>-0.24029300000000001</c:v>
                </c:pt>
                <c:pt idx="6">
                  <c:v>-0.11444600000000001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FF-4BF4-8FE8-4E45FABF09FC}"/>
            </c:ext>
          </c:extLst>
        </c:ser>
        <c:ser>
          <c:idx val="2"/>
          <c:order val="2"/>
          <c:tx>
            <c:v>P-NWC-C-90%Fmax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nwc!$E$6:$E$12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nwc!$H$36:$H$42</c:f>
              <c:numCache>
                <c:formatCode>General</c:formatCode>
                <c:ptCount val="7"/>
                <c:pt idx="0">
                  <c:v>0.37002099999999999</c:v>
                </c:pt>
                <c:pt idx="1">
                  <c:v>0.35041299999999997</c:v>
                </c:pt>
                <c:pt idx="2">
                  <c:v>7.3960999999999999E-2</c:v>
                </c:pt>
                <c:pt idx="3">
                  <c:v>-4.6323000000000003E-2</c:v>
                </c:pt>
                <c:pt idx="4">
                  <c:v>-0.16376399999999999</c:v>
                </c:pt>
                <c:pt idx="5">
                  <c:v>-0.44018299999999999</c:v>
                </c:pt>
                <c:pt idx="6">
                  <c:v>-0.27308500000000002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BFF-4BF4-8FE8-4E45FABF09FC}"/>
            </c:ext>
          </c:extLst>
        </c:ser>
        <c:ser>
          <c:idx val="3"/>
          <c:order val="3"/>
          <c:tx>
            <c:v>P-NWC-C-Fmax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nwc!$E$6:$E$12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nwc!$I$36:$I$42</c:f>
              <c:numCache>
                <c:formatCode>0.00E+00</c:formatCode>
                <c:ptCount val="7"/>
                <c:pt idx="0">
                  <c:v>0.62020900000000001</c:v>
                </c:pt>
                <c:pt idx="1">
                  <c:v>0.58027799999999996</c:v>
                </c:pt>
                <c:pt idx="2" formatCode="General">
                  <c:v>0.10353999999999999</c:v>
                </c:pt>
                <c:pt idx="3">
                  <c:v>-5.5100000000000003E-2</c:v>
                </c:pt>
                <c:pt idx="4">
                  <c:v>-0.208597</c:v>
                </c:pt>
                <c:pt idx="5">
                  <c:v>-0.72053999999999996</c:v>
                </c:pt>
                <c:pt idx="6">
                  <c:v>-0.58987800000000001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BFF-4BF4-8FE8-4E45FABF0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696312"/>
        <c:axId val="458693360"/>
      </c:scatterChart>
      <c:valAx>
        <c:axId val="458696312"/>
        <c:scaling>
          <c:orientation val="minMax"/>
          <c:max val="5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Location along the length of the beam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58693360"/>
        <c:crosses val="autoZero"/>
        <c:crossBetween val="midCat"/>
        <c:majorUnit val="1.3"/>
      </c:valAx>
      <c:valAx>
        <c:axId val="45869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Slip</a:t>
                </a:r>
                <a:r>
                  <a:rPr lang="en-GB" sz="1200" baseline="0">
                    <a:solidFill>
                      <a:sysClr val="windowText" lastClr="000000"/>
                    </a:solidFill>
                  </a:rPr>
                  <a:t> (mm)</a:t>
                </a:r>
                <a:endParaRPr lang="en-GB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58696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P-NWC-C-30%Fmax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nwc!$E$6:$E$12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nwc!$F$36:$F$42</c:f>
              <c:numCache>
                <c:formatCode>General</c:formatCode>
                <c:ptCount val="7"/>
                <c:pt idx="0">
                  <c:v>8.9892E-2</c:v>
                </c:pt>
                <c:pt idx="1">
                  <c:v>5.0451000000000003E-2</c:v>
                </c:pt>
                <c:pt idx="2">
                  <c:v>1.1313E-2</c:v>
                </c:pt>
                <c:pt idx="3">
                  <c:v>-1.252E-2</c:v>
                </c:pt>
                <c:pt idx="4">
                  <c:v>-2.9496999999999999E-2</c:v>
                </c:pt>
                <c:pt idx="5">
                  <c:v>-0.100383</c:v>
                </c:pt>
                <c:pt idx="6">
                  <c:v>-2.5264999999999999E-2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5F-4721-A498-00C3A60C7608}"/>
            </c:ext>
          </c:extLst>
        </c:ser>
        <c:ser>
          <c:idx val="1"/>
          <c:order val="1"/>
          <c:tx>
            <c:v>P-NWC-C-60%Fmax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nwc!$E$6:$E$12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nwc!$G$36:$G$42</c:f>
              <c:numCache>
                <c:formatCode>General</c:formatCode>
                <c:ptCount val="7"/>
                <c:pt idx="0">
                  <c:v>0.20994599999999999</c:v>
                </c:pt>
                <c:pt idx="1">
                  <c:v>0.160218</c:v>
                </c:pt>
                <c:pt idx="2">
                  <c:v>3.9940000000000003E-2</c:v>
                </c:pt>
                <c:pt idx="3">
                  <c:v>-2.9752000000000001E-2</c:v>
                </c:pt>
                <c:pt idx="4">
                  <c:v>-8.7464E-2</c:v>
                </c:pt>
                <c:pt idx="5">
                  <c:v>-0.24029300000000001</c:v>
                </c:pt>
                <c:pt idx="6">
                  <c:v>-0.11444600000000001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5F-4721-A498-00C3A60C7608}"/>
            </c:ext>
          </c:extLst>
        </c:ser>
        <c:ser>
          <c:idx val="2"/>
          <c:order val="2"/>
          <c:tx>
            <c:v>P-NWC-C-90%Fmax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nwc!$E$6:$E$12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nwc!$H$36:$H$42</c:f>
              <c:numCache>
                <c:formatCode>General</c:formatCode>
                <c:ptCount val="7"/>
                <c:pt idx="0">
                  <c:v>0.37002099999999999</c:v>
                </c:pt>
                <c:pt idx="1">
                  <c:v>0.35041299999999997</c:v>
                </c:pt>
                <c:pt idx="2">
                  <c:v>7.3960999999999999E-2</c:v>
                </c:pt>
                <c:pt idx="3">
                  <c:v>-4.6323000000000003E-2</c:v>
                </c:pt>
                <c:pt idx="4">
                  <c:v>-0.16376399999999999</c:v>
                </c:pt>
                <c:pt idx="5">
                  <c:v>-0.44018299999999999</c:v>
                </c:pt>
                <c:pt idx="6">
                  <c:v>-0.27308500000000002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15F-4721-A498-00C3A60C7608}"/>
            </c:ext>
          </c:extLst>
        </c:ser>
        <c:ser>
          <c:idx val="3"/>
          <c:order val="3"/>
          <c:tx>
            <c:v>P-NWC-C-Fmax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nwc!$E$6:$E$12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nwc!$I$36:$I$42</c:f>
              <c:numCache>
                <c:formatCode>0.00E+00</c:formatCode>
                <c:ptCount val="7"/>
                <c:pt idx="0">
                  <c:v>0.62020900000000001</c:v>
                </c:pt>
                <c:pt idx="1">
                  <c:v>0.58027799999999996</c:v>
                </c:pt>
                <c:pt idx="2" formatCode="General">
                  <c:v>0.10353999999999999</c:v>
                </c:pt>
                <c:pt idx="3">
                  <c:v>-5.5100000000000003E-2</c:v>
                </c:pt>
                <c:pt idx="4">
                  <c:v>-0.208597</c:v>
                </c:pt>
                <c:pt idx="5">
                  <c:v>-0.72053999999999996</c:v>
                </c:pt>
                <c:pt idx="6">
                  <c:v>-0.58987800000000001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15F-4721-A498-00C3A60C7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696312"/>
        <c:axId val="458693360"/>
      </c:scatterChart>
      <c:valAx>
        <c:axId val="458696312"/>
        <c:scaling>
          <c:orientation val="minMax"/>
          <c:max val="5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Location along the length of the beam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58693360"/>
        <c:crosses val="autoZero"/>
        <c:crossBetween val="midCat"/>
        <c:majorUnit val="1.3"/>
      </c:valAx>
      <c:valAx>
        <c:axId val="45869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Slip</a:t>
                </a:r>
                <a:r>
                  <a:rPr lang="en-GB" sz="1200" baseline="0">
                    <a:solidFill>
                      <a:sysClr val="windowText" lastClr="000000"/>
                    </a:solidFill>
                  </a:rPr>
                  <a:t> (mm)</a:t>
                </a:r>
                <a:endParaRPr lang="en-GB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58696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4"/>
          <c:order val="0"/>
          <c:tx>
            <c:v>P-NWC-30%Fmax</c:v>
          </c:tx>
          <c:spPr>
            <a:ln w="25400">
              <a:noFill/>
            </a:ln>
          </c:spPr>
          <c:marker>
            <c:symbol val="square"/>
            <c:size val="7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xVal>
            <c:numRef>
              <c:f>nwc!$E$6:$E$12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nwc!$F$6:$F$12</c:f>
              <c:numCache>
                <c:formatCode>General</c:formatCode>
                <c:ptCount val="7"/>
                <c:pt idx="0">
                  <c:v>6.9794999999999996E-2</c:v>
                </c:pt>
                <c:pt idx="1">
                  <c:v>4.0031999999999998E-2</c:v>
                </c:pt>
                <c:pt idx="2">
                  <c:v>4.8009999999999997E-3</c:v>
                </c:pt>
                <c:pt idx="3">
                  <c:v>-1.0073E-2</c:v>
                </c:pt>
                <c:pt idx="4">
                  <c:v>-4.4965999999999999E-2</c:v>
                </c:pt>
                <c:pt idx="5">
                  <c:v>-9.0162000000000006E-2</c:v>
                </c:pt>
                <c:pt idx="6">
                  <c:v>9.8080000000000007E-3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E10E-4146-8DA5-7FA5BE74C56F}"/>
            </c:ext>
          </c:extLst>
        </c:ser>
        <c:ser>
          <c:idx val="5"/>
          <c:order val="1"/>
          <c:tx>
            <c:v>P-NWC-60%Fmax</c:v>
          </c:tx>
          <c:spPr>
            <a:ln w="25400">
              <a:noFill/>
            </a:ln>
          </c:spPr>
          <c:marker>
            <c:symbol val="diamond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nwc!$E$6:$E$12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nwc!$G$6:$G$12</c:f>
              <c:numCache>
                <c:formatCode>General</c:formatCode>
                <c:ptCount val="7"/>
                <c:pt idx="0">
                  <c:v>0.180063</c:v>
                </c:pt>
                <c:pt idx="1">
                  <c:v>0.156525</c:v>
                </c:pt>
                <c:pt idx="2">
                  <c:v>1.2101000000000001E-2</c:v>
                </c:pt>
                <c:pt idx="3">
                  <c:v>-2.061E-2</c:v>
                </c:pt>
                <c:pt idx="4">
                  <c:v>-9.9923999999999999E-2</c:v>
                </c:pt>
                <c:pt idx="5">
                  <c:v>-0.20039499999999999</c:v>
                </c:pt>
                <c:pt idx="6">
                  <c:v>-5.7500000000000002E-5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E10E-4146-8DA5-7FA5BE74C56F}"/>
            </c:ext>
          </c:extLst>
        </c:ser>
        <c:ser>
          <c:idx val="6"/>
          <c:order val="2"/>
          <c:tx>
            <c:v>P-NWC-90%Fmax</c:v>
          </c:tx>
          <c:spPr>
            <a:ln w="25400">
              <a:noFill/>
            </a:ln>
          </c:spPr>
          <c:marker>
            <c:symbol val="triangle"/>
            <c:size val="7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nwc!$E$6:$E$12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nwc!$H$6:$H$12</c:f>
              <c:numCache>
                <c:formatCode>General</c:formatCode>
                <c:ptCount val="7"/>
                <c:pt idx="0">
                  <c:v>0.39003399999999999</c:v>
                </c:pt>
                <c:pt idx="1">
                  <c:v>0.37652200000000002</c:v>
                </c:pt>
                <c:pt idx="2">
                  <c:v>4.5643999999999997E-2</c:v>
                </c:pt>
                <c:pt idx="3">
                  <c:v>-4.0500000000000001E-2</c:v>
                </c:pt>
                <c:pt idx="4">
                  <c:v>-0.20496</c:v>
                </c:pt>
                <c:pt idx="5">
                  <c:v>-0.38021100000000002</c:v>
                </c:pt>
                <c:pt idx="6">
                  <c:v>-1.0995E-2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E10E-4146-8DA5-7FA5BE74C56F}"/>
            </c:ext>
          </c:extLst>
        </c:ser>
        <c:ser>
          <c:idx val="7"/>
          <c:order val="3"/>
          <c:tx>
            <c:v>P-NWC-Fmax</c:v>
          </c:tx>
          <c:spPr>
            <a:ln w="25400">
              <a:noFill/>
            </a:ln>
          </c:spPr>
          <c:marker>
            <c:symbol val="circle"/>
            <c:size val="7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nwc!$E$6:$E$12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nwc!$I$6:$I$12</c:f>
              <c:numCache>
                <c:formatCode>0.00E+00</c:formatCode>
                <c:ptCount val="7"/>
                <c:pt idx="0">
                  <c:v>0.60457000000000005</c:v>
                </c:pt>
                <c:pt idx="1">
                  <c:v>0.60957600000000001</c:v>
                </c:pt>
                <c:pt idx="2" formatCode="General">
                  <c:v>9.9999000000000005E-2</c:v>
                </c:pt>
                <c:pt idx="3">
                  <c:v>-4.5100000000000001E-2</c:v>
                </c:pt>
                <c:pt idx="4">
                  <c:v>-0.24485100000000001</c:v>
                </c:pt>
                <c:pt idx="5">
                  <c:v>-0.46983999999999998</c:v>
                </c:pt>
                <c:pt idx="6">
                  <c:v>-2.0499999999999999E-6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E10E-4146-8DA5-7FA5BE74C56F}"/>
            </c:ext>
          </c:extLst>
        </c:ser>
        <c:ser>
          <c:idx val="8"/>
          <c:order val="4"/>
          <c:tx>
            <c:v>P-NWC-B-30%Fmax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xVal>
            <c:numRef>
              <c:f>nwc!$E$6:$E$12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nwc!$F$22:$F$28</c:f>
              <c:numCache>
                <c:formatCode>General</c:formatCode>
                <c:ptCount val="7"/>
                <c:pt idx="0">
                  <c:v>8.0126000000000003E-2</c:v>
                </c:pt>
                <c:pt idx="1">
                  <c:v>2.9967000000000001E-2</c:v>
                </c:pt>
                <c:pt idx="2">
                  <c:v>4.973E-3</c:v>
                </c:pt>
                <c:pt idx="3">
                  <c:v>-1.4515E-2</c:v>
                </c:pt>
                <c:pt idx="4">
                  <c:v>-4.5109999999999997E-2</c:v>
                </c:pt>
                <c:pt idx="5">
                  <c:v>-8.9935000000000001E-2</c:v>
                </c:pt>
                <c:pt idx="6">
                  <c:v>-4.9964000000000001E-2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E10E-4146-8DA5-7FA5BE74C56F}"/>
            </c:ext>
          </c:extLst>
        </c:ser>
        <c:ser>
          <c:idx val="9"/>
          <c:order val="5"/>
          <c:tx>
            <c:v>P-NWC-B-60%Fmax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nwc!$E$6:$E$12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nwc!$G$22:$G$28</c:f>
              <c:numCache>
                <c:formatCode>General</c:formatCode>
                <c:ptCount val="7"/>
                <c:pt idx="0">
                  <c:v>0.14996799999999999</c:v>
                </c:pt>
                <c:pt idx="1">
                  <c:v>0.109865</c:v>
                </c:pt>
                <c:pt idx="2">
                  <c:v>1.489E-2</c:v>
                </c:pt>
                <c:pt idx="3">
                  <c:v>-3.5872000000000001E-2</c:v>
                </c:pt>
                <c:pt idx="4">
                  <c:v>-0.100467</c:v>
                </c:pt>
                <c:pt idx="5">
                  <c:v>-0.19001699999999999</c:v>
                </c:pt>
                <c:pt idx="6">
                  <c:v>-0.119854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E10E-4146-8DA5-7FA5BE74C56F}"/>
            </c:ext>
          </c:extLst>
        </c:ser>
        <c:ser>
          <c:idx val="10"/>
          <c:order val="6"/>
          <c:tx>
            <c:v>P-NWC-B-90%Fmax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nwc!$E$6:$E$12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nwc!$H$22:$H$28</c:f>
              <c:numCache>
                <c:formatCode>General</c:formatCode>
                <c:ptCount val="7"/>
                <c:pt idx="0">
                  <c:v>0.33857599999999999</c:v>
                </c:pt>
                <c:pt idx="1">
                  <c:v>0.36037999999999998</c:v>
                </c:pt>
                <c:pt idx="2">
                  <c:v>4.5014999999999999E-2</c:v>
                </c:pt>
                <c:pt idx="3">
                  <c:v>-0.13100000000000001</c:v>
                </c:pt>
                <c:pt idx="4">
                  <c:v>-0.20527300000000001</c:v>
                </c:pt>
                <c:pt idx="5">
                  <c:v>-0.44977</c:v>
                </c:pt>
                <c:pt idx="6">
                  <c:v>-0.37966299999999997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E10E-4146-8DA5-7FA5BE74C56F}"/>
            </c:ext>
          </c:extLst>
        </c:ser>
        <c:ser>
          <c:idx val="11"/>
          <c:order val="7"/>
          <c:tx>
            <c:v>P-NWC-B-Fmax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nwc!$E$6:$E$12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nwc!$I$22:$I$28</c:f>
              <c:numCache>
                <c:formatCode>0.00E+00</c:formatCode>
                <c:ptCount val="7"/>
                <c:pt idx="0">
                  <c:v>0.490089</c:v>
                </c:pt>
                <c:pt idx="1">
                  <c:v>0.61002699999999999</c:v>
                </c:pt>
                <c:pt idx="2">
                  <c:v>4.8798000000000001E-2</c:v>
                </c:pt>
                <c:pt idx="3">
                  <c:v>-0.13300000000000001</c:v>
                </c:pt>
                <c:pt idx="4">
                  <c:v>-0.23500499999999999</c:v>
                </c:pt>
                <c:pt idx="5">
                  <c:v>-0.479937</c:v>
                </c:pt>
                <c:pt idx="6">
                  <c:v>-0.39899000000000001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E10E-4146-8DA5-7FA5BE74C56F}"/>
            </c:ext>
          </c:extLst>
        </c:ser>
        <c:ser>
          <c:idx val="0"/>
          <c:order val="8"/>
          <c:tx>
            <c:v>P-NWC-C-30%Fmax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nwc!$E$6:$E$12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nwc!$F$36:$F$42</c:f>
              <c:numCache>
                <c:formatCode>General</c:formatCode>
                <c:ptCount val="7"/>
                <c:pt idx="0">
                  <c:v>8.9892E-2</c:v>
                </c:pt>
                <c:pt idx="1">
                  <c:v>5.0451000000000003E-2</c:v>
                </c:pt>
                <c:pt idx="2">
                  <c:v>1.1313E-2</c:v>
                </c:pt>
                <c:pt idx="3">
                  <c:v>-1.252E-2</c:v>
                </c:pt>
                <c:pt idx="4">
                  <c:v>-2.9496999999999999E-2</c:v>
                </c:pt>
                <c:pt idx="5">
                  <c:v>-0.100383</c:v>
                </c:pt>
                <c:pt idx="6">
                  <c:v>-2.5264999999999999E-2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E10E-4146-8DA5-7FA5BE74C56F}"/>
            </c:ext>
          </c:extLst>
        </c:ser>
        <c:ser>
          <c:idx val="1"/>
          <c:order val="9"/>
          <c:tx>
            <c:v>P-NWC-C-60%Fmax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nwc!$E$6:$E$12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nwc!$G$36:$G$42</c:f>
              <c:numCache>
                <c:formatCode>General</c:formatCode>
                <c:ptCount val="7"/>
                <c:pt idx="0">
                  <c:v>0.20994599999999999</c:v>
                </c:pt>
                <c:pt idx="1">
                  <c:v>0.160218</c:v>
                </c:pt>
                <c:pt idx="2">
                  <c:v>3.9940000000000003E-2</c:v>
                </c:pt>
                <c:pt idx="3">
                  <c:v>-2.9752000000000001E-2</c:v>
                </c:pt>
                <c:pt idx="4">
                  <c:v>-8.7464E-2</c:v>
                </c:pt>
                <c:pt idx="5">
                  <c:v>-0.24029300000000001</c:v>
                </c:pt>
                <c:pt idx="6">
                  <c:v>-0.11444600000000001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E10E-4146-8DA5-7FA5BE74C56F}"/>
            </c:ext>
          </c:extLst>
        </c:ser>
        <c:ser>
          <c:idx val="2"/>
          <c:order val="10"/>
          <c:tx>
            <c:v>P-NWC-C-90%Fmax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nwc!$E$6:$E$12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nwc!$H$36:$H$42</c:f>
              <c:numCache>
                <c:formatCode>General</c:formatCode>
                <c:ptCount val="7"/>
                <c:pt idx="0">
                  <c:v>0.37002099999999999</c:v>
                </c:pt>
                <c:pt idx="1">
                  <c:v>0.35041299999999997</c:v>
                </c:pt>
                <c:pt idx="2">
                  <c:v>7.3960999999999999E-2</c:v>
                </c:pt>
                <c:pt idx="3">
                  <c:v>-4.6323000000000003E-2</c:v>
                </c:pt>
                <c:pt idx="4">
                  <c:v>-0.16376399999999999</c:v>
                </c:pt>
                <c:pt idx="5">
                  <c:v>-0.44018299999999999</c:v>
                </c:pt>
                <c:pt idx="6">
                  <c:v>-0.27308500000000002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E10E-4146-8DA5-7FA5BE74C56F}"/>
            </c:ext>
          </c:extLst>
        </c:ser>
        <c:ser>
          <c:idx val="3"/>
          <c:order val="11"/>
          <c:tx>
            <c:v>P-NWC-C-Fmax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nwc!$E$6:$E$12</c:f>
              <c:numCache>
                <c:formatCode>General</c:formatCode>
                <c:ptCount val="7"/>
                <c:pt idx="0">
                  <c:v>0</c:v>
                </c:pt>
                <c:pt idx="1">
                  <c:v>1.35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3.85</c:v>
                </c:pt>
                <c:pt idx="6">
                  <c:v>5.2</c:v>
                </c:pt>
              </c:numCache>
            </c:numRef>
          </c:xVal>
          <c:yVal>
            <c:numRef>
              <c:f>nwc!$I$36:$I$42</c:f>
              <c:numCache>
                <c:formatCode>0.00E+00</c:formatCode>
                <c:ptCount val="7"/>
                <c:pt idx="0">
                  <c:v>0.62020900000000001</c:v>
                </c:pt>
                <c:pt idx="1">
                  <c:v>0.58027799999999996</c:v>
                </c:pt>
                <c:pt idx="2" formatCode="General">
                  <c:v>0.10353999999999999</c:v>
                </c:pt>
                <c:pt idx="3">
                  <c:v>-5.5100000000000003E-2</c:v>
                </c:pt>
                <c:pt idx="4">
                  <c:v>-0.208597</c:v>
                </c:pt>
                <c:pt idx="5">
                  <c:v>-0.72053999999999996</c:v>
                </c:pt>
                <c:pt idx="6">
                  <c:v>-0.58987800000000001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E10E-4146-8DA5-7FA5BE74C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696312"/>
        <c:axId val="458693360"/>
      </c:scatterChart>
      <c:valAx>
        <c:axId val="458696312"/>
        <c:scaling>
          <c:orientation val="minMax"/>
          <c:max val="5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Location along the length of the beam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58693360"/>
        <c:crosses val="autoZero"/>
        <c:crossBetween val="midCat"/>
        <c:majorUnit val="1.3"/>
      </c:valAx>
      <c:valAx>
        <c:axId val="45869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Slip</a:t>
                </a:r>
                <a:r>
                  <a:rPr lang="en-GB" sz="1200" baseline="0">
                    <a:solidFill>
                      <a:sysClr val="windowText" lastClr="000000"/>
                    </a:solidFill>
                  </a:rPr>
                  <a:t> (mm)</a:t>
                </a:r>
                <a:endParaRPr lang="en-GB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58696312"/>
        <c:crosses val="autoZero"/>
        <c:crossBetween val="midCat"/>
      </c:valAx>
    </c:plotArea>
    <c:legend>
      <c:legendPos val="r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47625</xdr:colOff>
      <xdr:row>0</xdr:row>
      <xdr:rowOff>28575</xdr:rowOff>
    </xdr:from>
    <xdr:to>
      <xdr:col>19</xdr:col>
      <xdr:colOff>352425</xdr:colOff>
      <xdr:row>14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28575</xdr:colOff>
      <xdr:row>15</xdr:row>
      <xdr:rowOff>180975</xdr:rowOff>
    </xdr:from>
    <xdr:to>
      <xdr:col>19</xdr:col>
      <xdr:colOff>333375</xdr:colOff>
      <xdr:row>30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32</xdr:row>
      <xdr:rowOff>0</xdr:rowOff>
    </xdr:from>
    <xdr:to>
      <xdr:col>19</xdr:col>
      <xdr:colOff>304800</xdr:colOff>
      <xdr:row>46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51287</xdr:colOff>
      <xdr:row>7</xdr:row>
      <xdr:rowOff>102577</xdr:rowOff>
    </xdr:from>
    <xdr:to>
      <xdr:col>29</xdr:col>
      <xdr:colOff>356088</xdr:colOff>
      <xdr:row>21</xdr:row>
      <xdr:rowOff>178777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79977E7-A567-416F-A5C7-6834BA3572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32845</xdr:colOff>
      <xdr:row>7</xdr:row>
      <xdr:rowOff>164224</xdr:rowOff>
    </xdr:from>
    <xdr:to>
      <xdr:col>38</xdr:col>
      <xdr:colOff>337646</xdr:colOff>
      <xdr:row>22</xdr:row>
      <xdr:rowOff>49924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5D3A0AF-56BC-4F23-8145-35A9FF7B74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47625</xdr:colOff>
      <xdr:row>0</xdr:row>
      <xdr:rowOff>28575</xdr:rowOff>
    </xdr:from>
    <xdr:to>
      <xdr:col>19</xdr:col>
      <xdr:colOff>352425</xdr:colOff>
      <xdr:row>14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28575</xdr:colOff>
      <xdr:row>15</xdr:row>
      <xdr:rowOff>180975</xdr:rowOff>
    </xdr:from>
    <xdr:to>
      <xdr:col>19</xdr:col>
      <xdr:colOff>333375</xdr:colOff>
      <xdr:row>30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32</xdr:row>
      <xdr:rowOff>0</xdr:rowOff>
    </xdr:from>
    <xdr:to>
      <xdr:col>19</xdr:col>
      <xdr:colOff>304800</xdr:colOff>
      <xdr:row>46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419978</xdr:colOff>
      <xdr:row>35</xdr:row>
      <xdr:rowOff>31668</xdr:rowOff>
    </xdr:from>
    <xdr:to>
      <xdr:col>30</xdr:col>
      <xdr:colOff>119660</xdr:colOff>
      <xdr:row>49</xdr:row>
      <xdr:rowOff>107868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84DEC0F-E86E-43D0-BD9B-C0AB8254C5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248846</xdr:colOff>
      <xdr:row>0</xdr:row>
      <xdr:rowOff>178521</xdr:rowOff>
    </xdr:from>
    <xdr:to>
      <xdr:col>30</xdr:col>
      <xdr:colOff>321879</xdr:colOff>
      <xdr:row>20</xdr:row>
      <xdr:rowOff>59121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BB51CB8-A90B-4A69-8D23-46CA04C8CE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PhD/Experimental%20data/Spring%202021%20-MP/P-LWC/%23%20P-LWC-all-REVIS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PhD/Conferences%20&amp;%20Papers/Papers/P5%20-%20FEM%20of%20bending%20tests/P5/P-NW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heet1"/>
      <sheetName val="A"/>
      <sheetName val="B"/>
      <sheetName val="C"/>
    </sheetNames>
    <sheetDataSet>
      <sheetData sheetId="0"/>
      <sheetData sheetId="1"/>
      <sheetData sheetId="2">
        <row r="201">
          <cell r="D201">
            <v>-0.119645</v>
          </cell>
          <cell r="G201">
            <v>5.2789999999999998E-3</v>
          </cell>
          <cell r="H201">
            <v>5.9804000000000003E-2</v>
          </cell>
          <cell r="K201">
            <v>-9.8099999999999993E-3</v>
          </cell>
          <cell r="N201">
            <v>-3.1958E-2</v>
          </cell>
          <cell r="O201">
            <v>-6.0118999999999999E-2</v>
          </cell>
          <cell r="Q201">
            <v>7.9899999999999999E-2</v>
          </cell>
          <cell r="R201">
            <v>18891.415980000002</v>
          </cell>
        </row>
        <row r="258">
          <cell r="D258">
            <v>-0.199707</v>
          </cell>
          <cell r="G258">
            <v>1.2867E-2</v>
          </cell>
          <cell r="H258">
            <v>0.20010800000000001</v>
          </cell>
          <cell r="K258">
            <v>-1.11E-2</v>
          </cell>
          <cell r="N258">
            <v>-8.0162999999999998E-2</v>
          </cell>
          <cell r="O258">
            <v>-0.179641</v>
          </cell>
          <cell r="Q258">
            <v>0.25515700000000002</v>
          </cell>
          <cell r="R258">
            <v>36666.962610000002</v>
          </cell>
        </row>
        <row r="288">
          <cell r="D288">
            <v>-0.33965699999999999</v>
          </cell>
          <cell r="G288">
            <v>3.4979999999999997E-2</v>
          </cell>
          <cell r="H288">
            <v>0.47014099999999998</v>
          </cell>
          <cell r="K288">
            <v>1.4149E-2</v>
          </cell>
          <cell r="N288">
            <v>-0.60286200000000001</v>
          </cell>
          <cell r="O288">
            <v>-1.709571</v>
          </cell>
          <cell r="Q288">
            <v>2.9348269999999999</v>
          </cell>
        </row>
        <row r="289">
          <cell r="D289">
            <v>-0.35960399999999998</v>
          </cell>
          <cell r="G289">
            <v>3.5001999999999998E-2</v>
          </cell>
          <cell r="H289">
            <v>0.49000500000000002</v>
          </cell>
          <cell r="K289">
            <v>4.5654E-2</v>
          </cell>
          <cell r="N289">
            <v>-0.711982</v>
          </cell>
          <cell r="O289">
            <v>-1.995242</v>
          </cell>
          <cell r="Q289">
            <v>3.330012</v>
          </cell>
          <cell r="R289">
            <v>56877.233410000001</v>
          </cell>
        </row>
        <row r="320">
          <cell r="D320">
            <v>-0.64962799999999998</v>
          </cell>
          <cell r="G320">
            <v>7.0205000000000004E-2</v>
          </cell>
          <cell r="H320">
            <v>0.85012299999999996</v>
          </cell>
          <cell r="K320">
            <v>0.20478499999999999</v>
          </cell>
          <cell r="N320">
            <v>-1.884565</v>
          </cell>
          <cell r="O320">
            <v>-3.9296570000000002</v>
          </cell>
          <cell r="Q320">
            <v>4.6994490000000004</v>
          </cell>
          <cell r="R320">
            <v>62616.658770000002</v>
          </cell>
        </row>
      </sheetData>
      <sheetData sheetId="3">
        <row r="188">
          <cell r="D188">
            <v>-4.9956E-2</v>
          </cell>
          <cell r="G188">
            <v>9.7940000000000006E-3</v>
          </cell>
          <cell r="H188">
            <v>9.8969999999999995E-3</v>
          </cell>
          <cell r="K188">
            <v>1.9904000000000002E-2</v>
          </cell>
          <cell r="N188">
            <v>-4.803E-3</v>
          </cell>
          <cell r="O188">
            <v>-9.8779999999999996E-3</v>
          </cell>
          <cell r="Q188">
            <v>3.581E-3</v>
          </cell>
          <cell r="R188">
            <v>17982.69988</v>
          </cell>
        </row>
        <row r="275">
          <cell r="D275">
            <v>-0.13017799999999999</v>
          </cell>
          <cell r="G275">
            <v>5.0042000000000003E-2</v>
          </cell>
          <cell r="H275">
            <v>8.0095E-2</v>
          </cell>
          <cell r="K275">
            <v>1.6400000000000001E-2</v>
          </cell>
          <cell r="N275">
            <v>-6.5325999999999995E-2</v>
          </cell>
          <cell r="O275">
            <v>-6.9802000000000003E-2</v>
          </cell>
          <cell r="Q275">
            <v>1.81E-3</v>
          </cell>
          <cell r="R275">
            <v>36625.136530000003</v>
          </cell>
        </row>
        <row r="320">
          <cell r="D320">
            <v>-0.54045399999999999</v>
          </cell>
          <cell r="G320">
            <v>0.17504800000000001</v>
          </cell>
          <cell r="H320">
            <v>0.51991699999999996</v>
          </cell>
          <cell r="K320">
            <v>8.5459999999999998E-3</v>
          </cell>
          <cell r="N320">
            <v>-0.220079</v>
          </cell>
          <cell r="O320">
            <v>-0.239894</v>
          </cell>
          <cell r="Q320">
            <v>1.882E-3</v>
          </cell>
          <cell r="R320">
            <v>56740.552770000002</v>
          </cell>
        </row>
        <row r="325">
          <cell r="D325">
            <v>-2.414266</v>
          </cell>
          <cell r="G325">
            <v>0.73051699999999997</v>
          </cell>
          <cell r="H325">
            <v>2.519625</v>
          </cell>
          <cell r="K325">
            <v>1.0217E-2</v>
          </cell>
          <cell r="N325">
            <v>-0.28018999999999999</v>
          </cell>
          <cell r="O325">
            <v>-0.31979800000000003</v>
          </cell>
          <cell r="Q325">
            <v>8.4580000000000002E-3</v>
          </cell>
          <cell r="R325">
            <v>58178.304559999997</v>
          </cell>
        </row>
        <row r="330">
          <cell r="D330">
            <v>-3.9702289999999998</v>
          </cell>
          <cell r="G330">
            <v>1.6393500000000001</v>
          </cell>
          <cell r="H330">
            <v>3.868201</v>
          </cell>
          <cell r="K330">
            <v>1.316E-2</v>
          </cell>
          <cell r="N330">
            <v>-0.60406599999999999</v>
          </cell>
          <cell r="O330">
            <v>-1.03678</v>
          </cell>
          <cell r="Q330">
            <v>0.17163100000000001</v>
          </cell>
          <cell r="R330">
            <v>63070.655019999998</v>
          </cell>
        </row>
      </sheetData>
      <sheetData sheetId="4">
        <row r="253">
          <cell r="G253">
            <v>2.5233999999999999E-2</v>
          </cell>
          <cell r="H253">
            <v>0.129858</v>
          </cell>
          <cell r="Q253">
            <v>3.0800000000000003E-5</v>
          </cell>
          <cell r="R253">
            <v>22179.556380000002</v>
          </cell>
          <cell r="T253">
            <v>0.13016800000000001</v>
          </cell>
          <cell r="U253">
            <v>5.3584E-2</v>
          </cell>
          <cell r="V253">
            <v>0.139851</v>
          </cell>
          <cell r="W253">
            <v>4.5114000000000001E-2</v>
          </cell>
        </row>
        <row r="281">
          <cell r="G281">
            <v>8.9967000000000005E-2</v>
          </cell>
          <cell r="H281">
            <v>0.35208400000000001</v>
          </cell>
          <cell r="K281">
            <v>-8.6800000000000002E-2</v>
          </cell>
          <cell r="Q281">
            <v>8.9800000000000005E-2</v>
          </cell>
          <cell r="R281">
            <v>44538.443310000002</v>
          </cell>
          <cell r="T281">
            <v>0.37021100000000001</v>
          </cell>
          <cell r="V281">
            <v>0.37994800000000001</v>
          </cell>
          <cell r="W281">
            <v>0.11031100000000001</v>
          </cell>
        </row>
        <row r="306">
          <cell r="D306">
            <v>-0.80227099999999996</v>
          </cell>
          <cell r="G306">
            <v>0.18998499999999999</v>
          </cell>
          <cell r="H306">
            <v>0.79962100000000003</v>
          </cell>
          <cell r="K306">
            <v>-8.3585999999999994E-2</v>
          </cell>
          <cell r="N306">
            <v>-0.18509</v>
          </cell>
          <cell r="O306">
            <v>-0.60017900000000002</v>
          </cell>
          <cell r="Q306">
            <v>0.29955700000000002</v>
          </cell>
          <cell r="R306">
            <v>58545.862410000002</v>
          </cell>
        </row>
        <row r="391">
          <cell r="D391">
            <v>-3.0906229999999999</v>
          </cell>
          <cell r="G391">
            <v>0.96031599999999995</v>
          </cell>
          <cell r="H391">
            <v>2.8391489999999999</v>
          </cell>
          <cell r="K391">
            <v>-1.9227000000000001E-2</v>
          </cell>
          <cell r="N391">
            <v>-0.30529699999999999</v>
          </cell>
          <cell r="O391">
            <v>-1.0198119999999999</v>
          </cell>
          <cell r="Q391">
            <v>0.85957399999999995</v>
          </cell>
          <cell r="R391">
            <v>66284.302200000006</v>
          </cell>
        </row>
        <row r="480">
          <cell r="G480">
            <v>1.4853559999999999</v>
          </cell>
          <cell r="H480">
            <v>4.2979839999999996</v>
          </cell>
          <cell r="N480">
            <v>-1.1891879999999999</v>
          </cell>
          <cell r="O480">
            <v>-2.7465609999999998</v>
          </cell>
          <cell r="Q480">
            <v>2.962297</v>
          </cell>
          <cell r="R480">
            <v>73476.337710000007</v>
          </cell>
          <cell r="T480">
            <v>4.4002150000000002</v>
          </cell>
          <cell r="U480">
            <v>-6.4129000000000005E-2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A"/>
      <sheetName val="B"/>
      <sheetName val="C"/>
    </sheetNames>
    <sheetDataSet>
      <sheetData sheetId="0"/>
      <sheetData sheetId="1">
        <row r="297">
          <cell r="R297">
            <v>20784.80501</v>
          </cell>
        </row>
        <row r="380">
          <cell r="R380">
            <v>40964.17699</v>
          </cell>
        </row>
        <row r="459">
          <cell r="R459">
            <v>61901.713920000002</v>
          </cell>
        </row>
        <row r="470">
          <cell r="D470">
            <v>0.60457000000000005</v>
          </cell>
          <cell r="G470">
            <v>9.9999000000000005E-2</v>
          </cell>
          <cell r="H470">
            <v>0.60957600000000001</v>
          </cell>
          <cell r="K470">
            <v>-4.5100000000000001E-2</v>
          </cell>
          <cell r="N470">
            <v>-0.24485100000000001</v>
          </cell>
          <cell r="O470">
            <v>-0.46983999999999998</v>
          </cell>
          <cell r="Q470">
            <v>2.0499999999999999E-6</v>
          </cell>
          <cell r="R470">
            <v>68226.242710000006</v>
          </cell>
        </row>
      </sheetData>
      <sheetData sheetId="2">
        <row r="214">
          <cell r="R214">
            <v>20231.206900000001</v>
          </cell>
        </row>
        <row r="262">
          <cell r="R262">
            <v>40310.975339999997</v>
          </cell>
        </row>
        <row r="315">
          <cell r="R315">
            <v>60564.745069999997</v>
          </cell>
        </row>
        <row r="346">
          <cell r="D346">
            <v>-0.490089</v>
          </cell>
          <cell r="G346">
            <v>4.8798000000000001E-2</v>
          </cell>
          <cell r="H346">
            <v>0.61002699999999999</v>
          </cell>
          <cell r="K346">
            <v>-0.13300000000000001</v>
          </cell>
          <cell r="N346">
            <v>-0.23500499999999999</v>
          </cell>
          <cell r="O346">
            <v>-0.479937</v>
          </cell>
          <cell r="Q346">
            <v>-0.39899000000000001</v>
          </cell>
          <cell r="R346">
            <v>67155.345090000003</v>
          </cell>
        </row>
      </sheetData>
      <sheetData sheetId="3">
        <row r="253">
          <cell r="R253">
            <v>21100</v>
          </cell>
        </row>
        <row r="280">
          <cell r="R280">
            <v>41600</v>
          </cell>
        </row>
        <row r="353">
          <cell r="R353">
            <v>63800</v>
          </cell>
        </row>
        <row r="368">
          <cell r="D368">
            <v>-0.62020900000000001</v>
          </cell>
          <cell r="G368">
            <v>0.10353999999999999</v>
          </cell>
          <cell r="H368">
            <v>0.58027799999999996</v>
          </cell>
          <cell r="K368">
            <v>-5.5100000000000003E-2</v>
          </cell>
          <cell r="N368">
            <v>-0.208597</v>
          </cell>
          <cell r="O368">
            <v>-0.72053999999999996</v>
          </cell>
          <cell r="Q368">
            <v>0.58987800000000001</v>
          </cell>
          <cell r="R368">
            <v>70600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J42"/>
  <sheetViews>
    <sheetView tabSelected="1" topLeftCell="AC6" zoomScale="145" zoomScaleNormal="145" workbookViewId="0">
      <selection activeCell="AJ27" sqref="AJ27"/>
    </sheetView>
  </sheetViews>
  <sheetFormatPr defaultRowHeight="15" x14ac:dyDescent="0.25"/>
  <cols>
    <col min="1" max="4" width="9.140625" style="2"/>
    <col min="5" max="5" width="9.28515625" style="2" bestFit="1" customWidth="1"/>
    <col min="6" max="6" width="10.7109375" style="2" bestFit="1" customWidth="1"/>
    <col min="7" max="10" width="9.28515625" style="2" bestFit="1" customWidth="1"/>
    <col min="11" max="16384" width="9.140625" style="2"/>
  </cols>
  <sheetData>
    <row r="2" spans="3:10" x14ac:dyDescent="0.25">
      <c r="F2" s="2">
        <f>AVERAGE(F6,F12)</f>
        <v>1.9872500000000001E-2</v>
      </c>
      <c r="G2" s="2">
        <f t="shared" ref="G2:J2" si="0">AVERAGE(G6,G12)</f>
        <v>-2.7725000000000014E-2</v>
      </c>
      <c r="H2" s="2">
        <f t="shared" si="0"/>
        <v>-1.485204</v>
      </c>
      <c r="I2" s="2">
        <f t="shared" si="0"/>
        <v>-2.0249105000000003</v>
      </c>
      <c r="J2" s="2">
        <f t="shared" si="0"/>
        <v>-1.297585</v>
      </c>
    </row>
    <row r="3" spans="3:10" x14ac:dyDescent="0.25">
      <c r="F3" s="2">
        <f>[1]A!$R$201</f>
        <v>18891.415980000002</v>
      </c>
      <c r="G3" s="2">
        <f>[1]A!$R$258</f>
        <v>36666.962610000002</v>
      </c>
      <c r="H3" s="2">
        <f>[1]A!$R$289</f>
        <v>56877.233410000001</v>
      </c>
      <c r="I3" s="1">
        <f>[1]A!$R$320</f>
        <v>62616.658770000002</v>
      </c>
      <c r="J3" s="2">
        <f>-[1]A!$D$288</f>
        <v>0.33965699999999999</v>
      </c>
    </row>
    <row r="4" spans="3:10" x14ac:dyDescent="0.25">
      <c r="C4" s="2" t="s">
        <v>12</v>
      </c>
      <c r="F4" s="2" t="s">
        <v>0</v>
      </c>
      <c r="G4" s="2" t="s">
        <v>1</v>
      </c>
      <c r="H4" s="2" t="s">
        <v>2</v>
      </c>
      <c r="I4" s="2" t="s">
        <v>15</v>
      </c>
      <c r="J4" s="2" t="s">
        <v>16</v>
      </c>
    </row>
    <row r="5" spans="3:10" x14ac:dyDescent="0.25">
      <c r="E5" s="2" t="s">
        <v>3</v>
      </c>
      <c r="F5" s="2" t="s">
        <v>4</v>
      </c>
      <c r="G5" s="2" t="s">
        <v>4</v>
      </c>
      <c r="H5" s="2" t="s">
        <v>4</v>
      </c>
      <c r="I5" s="2" t="s">
        <v>4</v>
      </c>
      <c r="J5" s="2" t="s">
        <v>4</v>
      </c>
    </row>
    <row r="6" spans="3:10" x14ac:dyDescent="0.25">
      <c r="D6" s="2" t="s">
        <v>5</v>
      </c>
      <c r="E6" s="2">
        <v>0</v>
      </c>
      <c r="F6" s="2">
        <f>-[1]A!$D$201</f>
        <v>0.119645</v>
      </c>
      <c r="G6" s="2">
        <f>-[1]A!$D$258</f>
        <v>0.199707</v>
      </c>
      <c r="H6" s="2">
        <f>-[1]A!$D$289</f>
        <v>0.35960399999999998</v>
      </c>
      <c r="I6" s="2">
        <f>-[1]A!$D$320</f>
        <v>0.64962799999999998</v>
      </c>
      <c r="J6" s="2">
        <f>-[1]A!$D$288</f>
        <v>0.33965699999999999</v>
      </c>
    </row>
    <row r="7" spans="3:10" x14ac:dyDescent="0.25">
      <c r="D7" s="2" t="s">
        <v>6</v>
      </c>
      <c r="E7" s="2">
        <v>1.35</v>
      </c>
      <c r="F7" s="2">
        <f>[1]A!$H$201</f>
        <v>5.9804000000000003E-2</v>
      </c>
      <c r="G7" s="2">
        <f>[1]A!$H$258</f>
        <v>0.20010800000000001</v>
      </c>
      <c r="H7" s="2">
        <f>[1]A!$H$289</f>
        <v>0.49000500000000002</v>
      </c>
      <c r="I7" s="2">
        <f>[1]A!$H$320</f>
        <v>0.85012299999999996</v>
      </c>
      <c r="J7" s="1">
        <f>[1]A!$H$288</f>
        <v>0.47014099999999998</v>
      </c>
    </row>
    <row r="8" spans="3:10" x14ac:dyDescent="0.25">
      <c r="D8" s="2" t="s">
        <v>7</v>
      </c>
      <c r="E8" s="2">
        <v>1.8</v>
      </c>
      <c r="F8" s="2">
        <f>[1]A!$G$201</f>
        <v>5.2789999999999998E-3</v>
      </c>
      <c r="G8" s="2">
        <f>[1]A!$G$258</f>
        <v>1.2867E-2</v>
      </c>
      <c r="H8" s="2">
        <f>[1]A!$G$289</f>
        <v>3.5001999999999998E-2</v>
      </c>
      <c r="I8" s="2">
        <f>[1]A!$G$320</f>
        <v>7.0205000000000004E-2</v>
      </c>
      <c r="J8" s="1">
        <f>[1]A!$G$288</f>
        <v>3.4979999999999997E-2</v>
      </c>
    </row>
    <row r="9" spans="3:10" x14ac:dyDescent="0.25">
      <c r="D9" s="2" t="s">
        <v>8</v>
      </c>
      <c r="E9" s="2">
        <v>2.6</v>
      </c>
      <c r="F9" s="2">
        <f>[1]A!$K$201</f>
        <v>-9.8099999999999993E-3</v>
      </c>
      <c r="G9" s="2">
        <f>[1]A!$K$258</f>
        <v>-1.11E-2</v>
      </c>
      <c r="H9" s="2">
        <f>-[1]A!$K$289</f>
        <v>-4.5654E-2</v>
      </c>
      <c r="I9" s="2">
        <f>-[1]A!$K$320</f>
        <v>-0.20478499999999999</v>
      </c>
      <c r="J9" s="1">
        <f>-[1]A!$K$288</f>
        <v>-1.4149E-2</v>
      </c>
    </row>
    <row r="10" spans="3:10" x14ac:dyDescent="0.25">
      <c r="D10" s="2" t="s">
        <v>9</v>
      </c>
      <c r="E10" s="2">
        <v>3.4</v>
      </c>
      <c r="F10" s="2">
        <f>[1]A!$N$201</f>
        <v>-3.1958E-2</v>
      </c>
      <c r="G10" s="2">
        <f>[1]A!$N$258</f>
        <v>-8.0162999999999998E-2</v>
      </c>
      <c r="H10" s="2">
        <f>[1]A!$N$289</f>
        <v>-0.711982</v>
      </c>
      <c r="I10" s="2">
        <f>[1]A!$N$320</f>
        <v>-1.884565</v>
      </c>
      <c r="J10" s="1">
        <f>[1]A!$N$288</f>
        <v>-0.60286200000000001</v>
      </c>
    </row>
    <row r="11" spans="3:10" x14ac:dyDescent="0.25">
      <c r="D11" s="2" t="s">
        <v>10</v>
      </c>
      <c r="E11" s="2">
        <v>3.85</v>
      </c>
      <c r="F11" s="2">
        <f>[1]A!$O$201</f>
        <v>-6.0118999999999999E-2</v>
      </c>
      <c r="G11" s="2">
        <f>[1]A!$O$258</f>
        <v>-0.179641</v>
      </c>
      <c r="H11" s="2">
        <f>[1]A!$O$289</f>
        <v>-1.995242</v>
      </c>
      <c r="I11" s="2">
        <f>[1]A!$O$320</f>
        <v>-3.9296570000000002</v>
      </c>
      <c r="J11" s="1">
        <f>[1]A!$O$288</f>
        <v>-1.709571</v>
      </c>
    </row>
    <row r="12" spans="3:10" x14ac:dyDescent="0.25">
      <c r="D12" s="2" t="s">
        <v>11</v>
      </c>
      <c r="E12" s="2">
        <v>5.2</v>
      </c>
      <c r="F12" s="2">
        <f>-[1]A!$Q$201</f>
        <v>-7.9899999999999999E-2</v>
      </c>
      <c r="G12" s="2">
        <f>-[1]A!$Q$258</f>
        <v>-0.25515700000000002</v>
      </c>
      <c r="H12" s="2">
        <f>-[1]A!$Q$289</f>
        <v>-3.330012</v>
      </c>
      <c r="I12" s="2">
        <f>-[1]A!$Q$320</f>
        <v>-4.6994490000000004</v>
      </c>
      <c r="J12" s="1">
        <f>-[1]A!$Q$288</f>
        <v>-2.9348269999999999</v>
      </c>
    </row>
    <row r="18" spans="3:10" x14ac:dyDescent="0.25">
      <c r="F18" s="2">
        <f>AVERAGE(F22,F28)</f>
        <v>2.31875E-2</v>
      </c>
      <c r="G18" s="2">
        <f t="shared" ref="G18:J18" si="1">AVERAGE(G22,G28)</f>
        <v>6.4183999999999991E-2</v>
      </c>
      <c r="H18" s="2">
        <f t="shared" si="1"/>
        <v>0.26928599999999997</v>
      </c>
      <c r="I18" s="2">
        <f t="shared" si="1"/>
        <v>1.8992989999999998</v>
      </c>
      <c r="J18" s="2">
        <f t="shared" si="1"/>
        <v>1.211362</v>
      </c>
    </row>
    <row r="19" spans="3:10" x14ac:dyDescent="0.25">
      <c r="F19" s="2">
        <f>[1]B!$R$188</f>
        <v>17982.69988</v>
      </c>
      <c r="G19" s="2">
        <f>[1]B!$R$275</f>
        <v>36625.136530000003</v>
      </c>
      <c r="H19" s="2">
        <f>[1]B!$R$320</f>
        <v>56740.552770000002</v>
      </c>
      <c r="I19" s="2">
        <f>[1]B!$R$330</f>
        <v>63070.655019999998</v>
      </c>
      <c r="J19" s="1">
        <f>-[1]B!$R$325</f>
        <v>-58178.304559999997</v>
      </c>
    </row>
    <row r="20" spans="3:10" x14ac:dyDescent="0.25">
      <c r="C20" s="2" t="s">
        <v>13</v>
      </c>
      <c r="F20" s="2" t="s">
        <v>0</v>
      </c>
      <c r="G20" s="2" t="s">
        <v>1</v>
      </c>
      <c r="H20" s="2" t="s">
        <v>2</v>
      </c>
      <c r="J20" s="2" t="s">
        <v>16</v>
      </c>
    </row>
    <row r="21" spans="3:10" x14ac:dyDescent="0.25">
      <c r="E21" s="2" t="s">
        <v>3</v>
      </c>
      <c r="F21" s="2" t="s">
        <v>4</v>
      </c>
      <c r="G21" s="2" t="s">
        <v>4</v>
      </c>
      <c r="H21" s="2" t="s">
        <v>4</v>
      </c>
      <c r="I21" s="2" t="s">
        <v>4</v>
      </c>
      <c r="J21" s="2" t="s">
        <v>4</v>
      </c>
    </row>
    <row r="22" spans="3:10" x14ac:dyDescent="0.25">
      <c r="D22" s="2" t="s">
        <v>5</v>
      </c>
      <c r="E22" s="2">
        <v>0</v>
      </c>
      <c r="F22" s="2">
        <f>-[1]B!$D$188</f>
        <v>4.9956E-2</v>
      </c>
      <c r="G22" s="2">
        <f>-[1]B!$D$275</f>
        <v>0.13017799999999999</v>
      </c>
      <c r="H22" s="2">
        <f>-[1]B!$D$320</f>
        <v>0.54045399999999999</v>
      </c>
      <c r="I22" s="2">
        <f>-[1]B!$D$330</f>
        <v>3.9702289999999998</v>
      </c>
      <c r="J22" s="1">
        <f>-[1]B!$D$325</f>
        <v>2.414266</v>
      </c>
    </row>
    <row r="23" spans="3:10" x14ac:dyDescent="0.25">
      <c r="D23" s="2" t="s">
        <v>6</v>
      </c>
      <c r="E23" s="2">
        <v>1.35</v>
      </c>
      <c r="F23" s="2">
        <f>[1]B!$H$188</f>
        <v>9.8969999999999995E-3</v>
      </c>
      <c r="G23" s="2">
        <f>[1]B!$H$275</f>
        <v>8.0095E-2</v>
      </c>
      <c r="H23" s="2">
        <f>[1]B!$H$320</f>
        <v>0.51991699999999996</v>
      </c>
      <c r="I23" s="2">
        <f>[1]B!$H$330</f>
        <v>3.868201</v>
      </c>
      <c r="J23" s="1">
        <f>[1]B!$H$325</f>
        <v>2.519625</v>
      </c>
    </row>
    <row r="24" spans="3:10" x14ac:dyDescent="0.25">
      <c r="D24" s="2" t="s">
        <v>7</v>
      </c>
      <c r="E24" s="2">
        <v>1.8</v>
      </c>
      <c r="F24" s="2">
        <f>[1]B!$G$188</f>
        <v>9.7940000000000006E-3</v>
      </c>
      <c r="G24" s="2">
        <f>[1]B!$G$275</f>
        <v>5.0042000000000003E-2</v>
      </c>
      <c r="H24" s="2">
        <f>[1]B!$G$320</f>
        <v>0.17504800000000001</v>
      </c>
      <c r="I24" s="2">
        <f>[1]B!$G$330</f>
        <v>1.6393500000000001</v>
      </c>
      <c r="J24" s="1">
        <f>[1]B!$G$325</f>
        <v>0.73051699999999997</v>
      </c>
    </row>
    <row r="25" spans="3:10" x14ac:dyDescent="0.25">
      <c r="D25" s="2" t="s">
        <v>8</v>
      </c>
      <c r="E25" s="2">
        <v>2.6</v>
      </c>
      <c r="F25" s="2">
        <f>-[1]B!$K$188</f>
        <v>-1.9904000000000002E-2</v>
      </c>
      <c r="G25" s="2">
        <f>-[1]B!$K$275</f>
        <v>-1.6400000000000001E-2</v>
      </c>
      <c r="H25" s="2">
        <f>-[1]B!$K$320</f>
        <v>-8.5459999999999998E-3</v>
      </c>
      <c r="I25" s="2">
        <f>-[1]B!$K$330</f>
        <v>-1.316E-2</v>
      </c>
      <c r="J25" s="2">
        <f>-[1]B!$K$325</f>
        <v>-1.0217E-2</v>
      </c>
    </row>
    <row r="26" spans="3:10" x14ac:dyDescent="0.25">
      <c r="D26" s="2" t="s">
        <v>9</v>
      </c>
      <c r="E26" s="2">
        <v>3.4</v>
      </c>
      <c r="F26" s="2">
        <f>[1]B!$N$188</f>
        <v>-4.803E-3</v>
      </c>
      <c r="G26" s="2">
        <f>[1]B!$N$275</f>
        <v>-6.5325999999999995E-2</v>
      </c>
      <c r="H26" s="2">
        <f>[1]B!$N$320</f>
        <v>-0.220079</v>
      </c>
      <c r="I26" s="2">
        <f>[1]B!$N$330</f>
        <v>-0.60406599999999999</v>
      </c>
      <c r="J26" s="1">
        <f>[1]B!$N$325</f>
        <v>-0.28018999999999999</v>
      </c>
    </row>
    <row r="27" spans="3:10" x14ac:dyDescent="0.25">
      <c r="D27" s="2" t="s">
        <v>10</v>
      </c>
      <c r="E27" s="2">
        <v>3.85</v>
      </c>
      <c r="F27" s="2">
        <f>[1]B!$O$188</f>
        <v>-9.8779999999999996E-3</v>
      </c>
      <c r="G27" s="2">
        <f>[1]B!$O$275</f>
        <v>-6.9802000000000003E-2</v>
      </c>
      <c r="H27" s="2">
        <f>[1]B!$O$320</f>
        <v>-0.239894</v>
      </c>
      <c r="I27" s="2">
        <f>[1]B!$O$330</f>
        <v>-1.03678</v>
      </c>
      <c r="J27" s="1">
        <f>[1]B!$O$325</f>
        <v>-0.31979800000000003</v>
      </c>
    </row>
    <row r="28" spans="3:10" x14ac:dyDescent="0.25">
      <c r="D28" s="2" t="s">
        <v>11</v>
      </c>
      <c r="E28" s="2">
        <v>5.2</v>
      </c>
      <c r="F28" s="2">
        <f>-[1]B!$Q$188</f>
        <v>-3.581E-3</v>
      </c>
      <c r="G28" s="2">
        <f>-[1]B!$Q$275</f>
        <v>-1.81E-3</v>
      </c>
      <c r="H28" s="2">
        <f>-[1]B!$Q$320</f>
        <v>-1.882E-3</v>
      </c>
      <c r="I28" s="2">
        <f>-[1]B!$Q$330</f>
        <v>-0.17163100000000001</v>
      </c>
      <c r="J28" s="1">
        <f>[1]B!$Q$325</f>
        <v>8.4580000000000002E-3</v>
      </c>
    </row>
    <row r="32" spans="3:10" x14ac:dyDescent="0.25">
      <c r="F32" s="2">
        <f>AVERAGE(F36,F42)</f>
        <v>6.5068600000000004E-2</v>
      </c>
      <c r="G32" s="2">
        <f t="shared" ref="G32:J32" si="2">AVERAGE(G36,G42)</f>
        <v>0.14020550000000001</v>
      </c>
      <c r="H32" s="2">
        <f t="shared" si="2"/>
        <v>1.1155245</v>
      </c>
      <c r="I32" s="2">
        <f t="shared" si="2"/>
        <v>0.71895900000000013</v>
      </c>
      <c r="J32" s="2">
        <f t="shared" si="2"/>
        <v>0.25135699999999994</v>
      </c>
    </row>
    <row r="33" spans="3:10" x14ac:dyDescent="0.25">
      <c r="F33" s="2">
        <f>[1]C!$R$253</f>
        <v>22179.556380000002</v>
      </c>
      <c r="G33" s="2">
        <f>[1]C!$R$281</f>
        <v>44538.443310000002</v>
      </c>
      <c r="H33" s="2">
        <f>[1]C!$R$391</f>
        <v>66284.302200000006</v>
      </c>
      <c r="I33" s="2">
        <f>[1]C!$R$480</f>
        <v>73476.337710000007</v>
      </c>
      <c r="J33" s="1">
        <f>[1]C!$R$306</f>
        <v>58545.862410000002</v>
      </c>
    </row>
    <row r="34" spans="3:10" x14ac:dyDescent="0.25">
      <c r="C34" s="2" t="s">
        <v>14</v>
      </c>
      <c r="F34" s="2" t="s">
        <v>0</v>
      </c>
      <c r="G34" s="2" t="s">
        <v>1</v>
      </c>
      <c r="H34" s="2" t="s">
        <v>2</v>
      </c>
      <c r="J34" s="2" t="s">
        <v>16</v>
      </c>
    </row>
    <row r="35" spans="3:10" x14ac:dyDescent="0.25">
      <c r="E35" s="2" t="s">
        <v>3</v>
      </c>
      <c r="F35" s="2" t="s">
        <v>4</v>
      </c>
      <c r="G35" s="2" t="s">
        <v>4</v>
      </c>
      <c r="H35" s="2" t="s">
        <v>4</v>
      </c>
      <c r="I35" s="2" t="s">
        <v>4</v>
      </c>
      <c r="J35" s="2" t="s">
        <v>4</v>
      </c>
    </row>
    <row r="36" spans="3:10" x14ac:dyDescent="0.25">
      <c r="D36" s="2" t="s">
        <v>5</v>
      </c>
      <c r="E36" s="2">
        <v>0</v>
      </c>
      <c r="F36" s="2">
        <f>[1]C!$T$253</f>
        <v>0.13016800000000001</v>
      </c>
      <c r="G36" s="2">
        <f>[1]C!$T$281</f>
        <v>0.37021100000000001</v>
      </c>
      <c r="H36" s="2">
        <f>-[1]C!$D$391</f>
        <v>3.0906229999999999</v>
      </c>
      <c r="I36" s="2">
        <f>[1]C!$T$480</f>
        <v>4.4002150000000002</v>
      </c>
      <c r="J36" s="1">
        <f>-[1]C!$D$306</f>
        <v>0.80227099999999996</v>
      </c>
    </row>
    <row r="37" spans="3:10" x14ac:dyDescent="0.25">
      <c r="D37" s="2" t="s">
        <v>6</v>
      </c>
      <c r="E37" s="2">
        <v>1.35</v>
      </c>
      <c r="F37" s="2">
        <f>[1]C!$H$253</f>
        <v>0.129858</v>
      </c>
      <c r="G37" s="2">
        <f>[1]C!$H$281</f>
        <v>0.35208400000000001</v>
      </c>
      <c r="H37" s="2">
        <f>[1]C!$H$391</f>
        <v>2.8391489999999999</v>
      </c>
      <c r="I37" s="2">
        <f>[1]C!$H$480</f>
        <v>4.2979839999999996</v>
      </c>
      <c r="J37" s="1">
        <f>[1]C!$H$306</f>
        <v>0.79962100000000003</v>
      </c>
    </row>
    <row r="38" spans="3:10" x14ac:dyDescent="0.25">
      <c r="D38" s="2" t="s">
        <v>7</v>
      </c>
      <c r="E38" s="2">
        <v>1.8</v>
      </c>
      <c r="F38" s="2">
        <f>[1]C!$G$253</f>
        <v>2.5233999999999999E-2</v>
      </c>
      <c r="G38" s="2">
        <f>[1]C!$G$281</f>
        <v>8.9967000000000005E-2</v>
      </c>
      <c r="H38" s="2">
        <f>[1]C!$G$391</f>
        <v>0.96031599999999995</v>
      </c>
      <c r="I38" s="2">
        <f>[1]C!$G$480</f>
        <v>1.4853559999999999</v>
      </c>
      <c r="J38" s="1">
        <f>[1]C!$G$306</f>
        <v>0.18998499999999999</v>
      </c>
    </row>
    <row r="39" spans="3:10" x14ac:dyDescent="0.25">
      <c r="D39" s="2" t="s">
        <v>8</v>
      </c>
      <c r="E39" s="2">
        <v>2.6</v>
      </c>
      <c r="F39" s="2">
        <f>-[1]C!$U$253</f>
        <v>-5.3584E-2</v>
      </c>
      <c r="G39" s="2">
        <f>[1]C!$K$281</f>
        <v>-8.6800000000000002E-2</v>
      </c>
      <c r="H39" s="2">
        <f>[1]C!$K$391</f>
        <v>-1.9227000000000001E-2</v>
      </c>
      <c r="I39" s="2">
        <f>[1]C!$U$480</f>
        <v>-6.4129000000000005E-2</v>
      </c>
      <c r="J39" s="1">
        <f>[1]C!$K$306</f>
        <v>-8.3585999999999994E-2</v>
      </c>
    </row>
    <row r="40" spans="3:10" x14ac:dyDescent="0.25">
      <c r="D40" s="2" t="s">
        <v>9</v>
      </c>
      <c r="E40" s="2">
        <v>3.4</v>
      </c>
      <c r="F40" s="2">
        <f>-[1]C!$W$253</f>
        <v>-4.5114000000000001E-2</v>
      </c>
      <c r="G40" s="2">
        <f>-[1]C!$W$281</f>
        <v>-0.11031100000000001</v>
      </c>
      <c r="H40" s="2">
        <f>[1]C!$N$391</f>
        <v>-0.30529699999999999</v>
      </c>
      <c r="I40" s="2">
        <f>[1]C!$N$480</f>
        <v>-1.1891879999999999</v>
      </c>
      <c r="J40" s="1">
        <f>[1]C!$N$306</f>
        <v>-0.18509</v>
      </c>
    </row>
    <row r="41" spans="3:10" x14ac:dyDescent="0.25">
      <c r="D41" s="2" t="s">
        <v>10</v>
      </c>
      <c r="E41" s="2">
        <v>3.85</v>
      </c>
      <c r="F41" s="2">
        <f>-[1]C!$V$253</f>
        <v>-0.139851</v>
      </c>
      <c r="G41" s="2">
        <f>-[1]C!$V$281</f>
        <v>-0.37994800000000001</v>
      </c>
      <c r="H41" s="2">
        <f>[1]C!$O$391</f>
        <v>-1.0198119999999999</v>
      </c>
      <c r="I41" s="2">
        <f>[1]C!$O$480</f>
        <v>-2.7465609999999998</v>
      </c>
      <c r="J41" s="1">
        <f>[1]C!$O$306</f>
        <v>-0.60017900000000002</v>
      </c>
    </row>
    <row r="42" spans="3:10" x14ac:dyDescent="0.25">
      <c r="D42" s="2" t="s">
        <v>11</v>
      </c>
      <c r="E42" s="2">
        <v>5.2</v>
      </c>
      <c r="F42" s="2">
        <f>-[1]C!$Q$253</f>
        <v>-3.0800000000000003E-5</v>
      </c>
      <c r="G42" s="2">
        <f>-[1]C!$Q$281</f>
        <v>-8.9800000000000005E-2</v>
      </c>
      <c r="H42" s="2">
        <f>-[1]C!$Q$391</f>
        <v>-0.85957399999999995</v>
      </c>
      <c r="I42" s="2">
        <f>-[1]C!$Q$480</f>
        <v>-2.962297</v>
      </c>
      <c r="J42" s="1">
        <f>-[1]C!$Q$306</f>
        <v>-0.29955700000000002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I42"/>
  <sheetViews>
    <sheetView topLeftCell="O1" zoomScale="115" zoomScaleNormal="115" workbookViewId="0">
      <selection activeCell="U25" sqref="U25"/>
    </sheetView>
  </sheetViews>
  <sheetFormatPr defaultRowHeight="15" x14ac:dyDescent="0.25"/>
  <sheetData>
    <row r="3" spans="3:9" x14ac:dyDescent="0.25">
      <c r="F3">
        <f>[2]A!$R$297</f>
        <v>20784.80501</v>
      </c>
      <c r="G3">
        <f>[2]A!$R$380</f>
        <v>40964.17699</v>
      </c>
      <c r="H3">
        <f>[2]A!$R$459</f>
        <v>61901.713920000002</v>
      </c>
      <c r="I3">
        <f>[2]A!$R$470</f>
        <v>68226.242710000006</v>
      </c>
    </row>
    <row r="4" spans="3:9" x14ac:dyDescent="0.25">
      <c r="C4" t="s">
        <v>12</v>
      </c>
      <c r="F4" t="s">
        <v>0</v>
      </c>
      <c r="G4" t="s">
        <v>1</v>
      </c>
      <c r="H4" t="s">
        <v>2</v>
      </c>
      <c r="I4" t="s">
        <v>15</v>
      </c>
    </row>
    <row r="5" spans="3:9" x14ac:dyDescent="0.25">
      <c r="E5" t="s">
        <v>3</v>
      </c>
      <c r="F5" t="s">
        <v>4</v>
      </c>
      <c r="G5" t="s">
        <v>4</v>
      </c>
      <c r="H5" t="s">
        <v>4</v>
      </c>
    </row>
    <row r="6" spans="3:9" x14ac:dyDescent="0.25">
      <c r="D6" t="s">
        <v>5</v>
      </c>
      <c r="E6">
        <v>0</v>
      </c>
      <c r="F6">
        <v>6.9794999999999996E-2</v>
      </c>
      <c r="G6">
        <v>0.180063</v>
      </c>
      <c r="H6">
        <v>0.39003399999999999</v>
      </c>
      <c r="I6" s="1">
        <f>[2]A!$D$470</f>
        <v>0.60457000000000005</v>
      </c>
    </row>
    <row r="7" spans="3:9" x14ac:dyDescent="0.25">
      <c r="D7" t="s">
        <v>6</v>
      </c>
      <c r="E7">
        <v>1.35</v>
      </c>
      <c r="F7">
        <v>4.0031999999999998E-2</v>
      </c>
      <c r="G7">
        <v>0.156525</v>
      </c>
      <c r="H7">
        <v>0.37652200000000002</v>
      </c>
      <c r="I7" s="1">
        <f>[2]A!$H$470</f>
        <v>0.60957600000000001</v>
      </c>
    </row>
    <row r="8" spans="3:9" x14ac:dyDescent="0.25">
      <c r="D8" t="s">
        <v>7</v>
      </c>
      <c r="E8">
        <v>1.8</v>
      </c>
      <c r="F8">
        <v>4.8009999999999997E-3</v>
      </c>
      <c r="G8">
        <v>1.2101000000000001E-2</v>
      </c>
      <c r="H8">
        <v>4.5643999999999997E-2</v>
      </c>
      <c r="I8">
        <f>[2]A!$G$470</f>
        <v>9.9999000000000005E-2</v>
      </c>
    </row>
    <row r="9" spans="3:9" x14ac:dyDescent="0.25">
      <c r="D9" t="s">
        <v>8</v>
      </c>
      <c r="E9">
        <v>2.6</v>
      </c>
      <c r="F9">
        <v>-1.0073E-2</v>
      </c>
      <c r="G9">
        <v>-2.061E-2</v>
      </c>
      <c r="H9">
        <v>-4.0500000000000001E-2</v>
      </c>
      <c r="I9" s="1">
        <f>[2]A!$K$470</f>
        <v>-4.5100000000000001E-2</v>
      </c>
    </row>
    <row r="10" spans="3:9" x14ac:dyDescent="0.25">
      <c r="D10" t="s">
        <v>9</v>
      </c>
      <c r="E10">
        <v>3.4</v>
      </c>
      <c r="F10">
        <v>-4.4965999999999999E-2</v>
      </c>
      <c r="G10">
        <v>-9.9923999999999999E-2</v>
      </c>
      <c r="H10">
        <v>-0.20496</v>
      </c>
      <c r="I10" s="1">
        <f>[2]A!$N$470</f>
        <v>-0.24485100000000001</v>
      </c>
    </row>
    <row r="11" spans="3:9" x14ac:dyDescent="0.25">
      <c r="D11" t="s">
        <v>10</v>
      </c>
      <c r="E11">
        <v>3.85</v>
      </c>
      <c r="F11">
        <v>-9.0162000000000006E-2</v>
      </c>
      <c r="G11">
        <v>-0.20039499999999999</v>
      </c>
      <c r="H11">
        <v>-0.38021100000000002</v>
      </c>
      <c r="I11" s="1">
        <f>[2]A!$O$470</f>
        <v>-0.46983999999999998</v>
      </c>
    </row>
    <row r="12" spans="3:9" x14ac:dyDescent="0.25">
      <c r="D12" t="s">
        <v>11</v>
      </c>
      <c r="E12">
        <v>5.2</v>
      </c>
      <c r="F12">
        <v>9.8080000000000007E-3</v>
      </c>
      <c r="G12">
        <v>-5.7500000000000002E-5</v>
      </c>
      <c r="H12">
        <v>-1.0995E-2</v>
      </c>
      <c r="I12" s="1">
        <f>-[2]A!$Q$470</f>
        <v>-2.0499999999999999E-6</v>
      </c>
    </row>
    <row r="19" spans="3:9" x14ac:dyDescent="0.25">
      <c r="F19">
        <f>[2]B!$R$214</f>
        <v>20231.206900000001</v>
      </c>
      <c r="G19">
        <f>[2]B!$R$262</f>
        <v>40310.975339999997</v>
      </c>
      <c r="H19">
        <f>[2]B!$R$315</f>
        <v>60564.745069999997</v>
      </c>
      <c r="I19">
        <f>[2]B!$R$346</f>
        <v>67155.345090000003</v>
      </c>
    </row>
    <row r="20" spans="3:9" x14ac:dyDescent="0.25">
      <c r="C20" t="s">
        <v>13</v>
      </c>
      <c r="F20" t="s">
        <v>0</v>
      </c>
      <c r="G20" t="s">
        <v>1</v>
      </c>
      <c r="H20" t="s">
        <v>2</v>
      </c>
    </row>
    <row r="21" spans="3:9" x14ac:dyDescent="0.25">
      <c r="E21" t="s">
        <v>3</v>
      </c>
      <c r="F21" t="s">
        <v>4</v>
      </c>
      <c r="G21" t="s">
        <v>4</v>
      </c>
      <c r="H21" t="s">
        <v>4</v>
      </c>
    </row>
    <row r="22" spans="3:9" x14ac:dyDescent="0.25">
      <c r="D22" t="s">
        <v>5</v>
      </c>
      <c r="E22">
        <v>0</v>
      </c>
      <c r="F22">
        <v>8.0126000000000003E-2</v>
      </c>
      <c r="G22">
        <v>0.14996799999999999</v>
      </c>
      <c r="H22">
        <v>0.33857599999999999</v>
      </c>
      <c r="I22" s="1">
        <f>-[2]B!$D$346</f>
        <v>0.490089</v>
      </c>
    </row>
    <row r="23" spans="3:9" x14ac:dyDescent="0.25">
      <c r="D23" t="s">
        <v>6</v>
      </c>
      <c r="E23">
        <v>1.35</v>
      </c>
      <c r="F23">
        <v>2.9967000000000001E-2</v>
      </c>
      <c r="G23">
        <v>0.109865</v>
      </c>
      <c r="H23">
        <v>0.36037999999999998</v>
      </c>
      <c r="I23" s="1">
        <f>[2]B!$H$346</f>
        <v>0.61002699999999999</v>
      </c>
    </row>
    <row r="24" spans="3:9" x14ac:dyDescent="0.25">
      <c r="D24" t="s">
        <v>7</v>
      </c>
      <c r="E24">
        <v>1.8</v>
      </c>
      <c r="F24">
        <v>4.973E-3</v>
      </c>
      <c r="G24">
        <v>1.489E-2</v>
      </c>
      <c r="H24">
        <v>4.5014999999999999E-2</v>
      </c>
      <c r="I24" s="1">
        <f>[2]B!$G$346</f>
        <v>4.8798000000000001E-2</v>
      </c>
    </row>
    <row r="25" spans="3:9" x14ac:dyDescent="0.25">
      <c r="D25" t="s">
        <v>8</v>
      </c>
      <c r="E25">
        <v>2.6</v>
      </c>
      <c r="F25">
        <v>-1.4515E-2</v>
      </c>
      <c r="G25">
        <v>-3.5872000000000001E-2</v>
      </c>
      <c r="H25">
        <v>-0.13100000000000001</v>
      </c>
      <c r="I25" s="1">
        <f>[2]B!$K$346</f>
        <v>-0.13300000000000001</v>
      </c>
    </row>
    <row r="26" spans="3:9" x14ac:dyDescent="0.25">
      <c r="D26" t="s">
        <v>9</v>
      </c>
      <c r="E26">
        <v>3.4</v>
      </c>
      <c r="F26">
        <v>-4.5109999999999997E-2</v>
      </c>
      <c r="G26">
        <v>-0.100467</v>
      </c>
      <c r="H26">
        <v>-0.20527300000000001</v>
      </c>
      <c r="I26" s="1">
        <f>[2]B!$N$346</f>
        <v>-0.23500499999999999</v>
      </c>
    </row>
    <row r="27" spans="3:9" x14ac:dyDescent="0.25">
      <c r="D27" t="s">
        <v>10</v>
      </c>
      <c r="E27">
        <v>3.85</v>
      </c>
      <c r="F27">
        <v>-8.9935000000000001E-2</v>
      </c>
      <c r="G27">
        <v>-0.19001699999999999</v>
      </c>
      <c r="H27">
        <v>-0.44977</v>
      </c>
      <c r="I27" s="1">
        <f>[2]B!$O$346</f>
        <v>-0.479937</v>
      </c>
    </row>
    <row r="28" spans="3:9" x14ac:dyDescent="0.25">
      <c r="D28" t="s">
        <v>11</v>
      </c>
      <c r="E28">
        <v>5.2</v>
      </c>
      <c r="F28">
        <v>-4.9964000000000001E-2</v>
      </c>
      <c r="G28">
        <v>-0.119854</v>
      </c>
      <c r="H28">
        <v>-0.37966299999999997</v>
      </c>
      <c r="I28" s="1">
        <f>[2]B!$Q$346</f>
        <v>-0.39899000000000001</v>
      </c>
    </row>
    <row r="33" spans="3:9" x14ac:dyDescent="0.25">
      <c r="F33" s="3">
        <f>[2]C!$R$253</f>
        <v>21100</v>
      </c>
      <c r="G33" s="3">
        <f>[2]C!$R$280</f>
        <v>41600</v>
      </c>
      <c r="H33" s="3">
        <f>[2]C!$R$353</f>
        <v>63800</v>
      </c>
      <c r="I33" s="3">
        <f>[2]C!$R$368</f>
        <v>70600</v>
      </c>
    </row>
    <row r="34" spans="3:9" x14ac:dyDescent="0.25">
      <c r="C34" t="s">
        <v>14</v>
      </c>
      <c r="F34" t="s">
        <v>0</v>
      </c>
      <c r="G34" t="s">
        <v>1</v>
      </c>
      <c r="H34" t="s">
        <v>2</v>
      </c>
    </row>
    <row r="35" spans="3:9" x14ac:dyDescent="0.25">
      <c r="E35" t="s">
        <v>3</v>
      </c>
      <c r="F35" t="s">
        <v>4</v>
      </c>
      <c r="G35" t="s">
        <v>4</v>
      </c>
      <c r="H35" t="s">
        <v>4</v>
      </c>
    </row>
    <row r="36" spans="3:9" x14ac:dyDescent="0.25">
      <c r="D36" t="s">
        <v>5</v>
      </c>
      <c r="E36">
        <v>0</v>
      </c>
      <c r="F36">
        <v>8.9892E-2</v>
      </c>
      <c r="G36">
        <v>0.20994599999999999</v>
      </c>
      <c r="H36">
        <v>0.37002099999999999</v>
      </c>
      <c r="I36" s="1">
        <f>-[2]C!$D$368</f>
        <v>0.62020900000000001</v>
      </c>
    </row>
    <row r="37" spans="3:9" x14ac:dyDescent="0.25">
      <c r="D37" t="s">
        <v>6</v>
      </c>
      <c r="E37">
        <v>1.35</v>
      </c>
      <c r="F37">
        <v>5.0451000000000003E-2</v>
      </c>
      <c r="G37">
        <v>0.160218</v>
      </c>
      <c r="H37">
        <v>0.35041299999999997</v>
      </c>
      <c r="I37" s="1">
        <f>[2]C!$H$368</f>
        <v>0.58027799999999996</v>
      </c>
    </row>
    <row r="38" spans="3:9" x14ac:dyDescent="0.25">
      <c r="D38" t="s">
        <v>7</v>
      </c>
      <c r="E38">
        <v>1.8</v>
      </c>
      <c r="F38">
        <v>1.1313E-2</v>
      </c>
      <c r="G38">
        <v>3.9940000000000003E-2</v>
      </c>
      <c r="H38">
        <v>7.3960999999999999E-2</v>
      </c>
      <c r="I38">
        <f>[2]C!$G$368</f>
        <v>0.10353999999999999</v>
      </c>
    </row>
    <row r="39" spans="3:9" x14ac:dyDescent="0.25">
      <c r="D39" t="s">
        <v>8</v>
      </c>
      <c r="E39">
        <v>2.6</v>
      </c>
      <c r="F39">
        <v>-1.252E-2</v>
      </c>
      <c r="G39">
        <v>-2.9752000000000001E-2</v>
      </c>
      <c r="H39">
        <v>-4.6323000000000003E-2</v>
      </c>
      <c r="I39" s="1">
        <f>[2]C!$K$368</f>
        <v>-5.5100000000000003E-2</v>
      </c>
    </row>
    <row r="40" spans="3:9" x14ac:dyDescent="0.25">
      <c r="D40" t="s">
        <v>9</v>
      </c>
      <c r="E40">
        <v>3.4</v>
      </c>
      <c r="F40">
        <v>-2.9496999999999999E-2</v>
      </c>
      <c r="G40">
        <v>-8.7464E-2</v>
      </c>
      <c r="H40">
        <v>-0.16376399999999999</v>
      </c>
      <c r="I40" s="1">
        <f>[2]C!$N$368</f>
        <v>-0.208597</v>
      </c>
    </row>
    <row r="41" spans="3:9" x14ac:dyDescent="0.25">
      <c r="D41" t="s">
        <v>10</v>
      </c>
      <c r="E41">
        <v>3.85</v>
      </c>
      <c r="F41">
        <v>-0.100383</v>
      </c>
      <c r="G41">
        <v>-0.24029300000000001</v>
      </c>
      <c r="H41">
        <v>-0.44018299999999999</v>
      </c>
      <c r="I41" s="1">
        <f>[2]C!$O$368</f>
        <v>-0.72053999999999996</v>
      </c>
    </row>
    <row r="42" spans="3:9" x14ac:dyDescent="0.25">
      <c r="D42" t="s">
        <v>11</v>
      </c>
      <c r="E42">
        <v>5.2</v>
      </c>
      <c r="F42">
        <v>-2.5264999999999999E-2</v>
      </c>
      <c r="G42">
        <v>-0.11444600000000001</v>
      </c>
      <c r="H42">
        <v>-0.27308500000000002</v>
      </c>
      <c r="I42" s="1">
        <f>-[2]C!$Q$368</f>
        <v>-0.58987800000000001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lwc</vt:lpstr>
      <vt:lpstr>nwc</vt:lpstr>
    </vt:vector>
  </TitlesOfParts>
  <Company>UHasselt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APPAVURAVTHER SUMICHRAST Elif Tuba</dc:creator>
  <cp:lastModifiedBy>APPAVURAVTHER Elif </cp:lastModifiedBy>
  <dcterms:created xsi:type="dcterms:W3CDTF">2023-08-21T08:17:19Z</dcterms:created>
  <dcterms:modified xsi:type="dcterms:W3CDTF">2025-12-17T18:20:27Z</dcterms:modified>
</cp:coreProperties>
</file>